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MetaPi_Data Analytics_Training\Excel-Week_1_&amp;_2\"/>
    </mc:Choice>
  </mc:AlternateContent>
  <xr:revisionPtr revIDLastSave="0" documentId="13_ncr:1_{3DF7A297-7817-463B-90D6-C66F928930A4}" xr6:coauthVersionLast="47" xr6:coauthVersionMax="47" xr10:uidLastSave="{00000000-0000-0000-0000-000000000000}"/>
  <bookViews>
    <workbookView xWindow="-120" yWindow="-120" windowWidth="20730" windowHeight="11160" firstSheet="4" activeTab="10" xr2:uid="{D3174B96-B874-4587-8FA6-17C658AECA05}"/>
  </bookViews>
  <sheets>
    <sheet name="Sheet9" sheetId="31" r:id="rId1"/>
    <sheet name="Main Data" sheetId="1" r:id="rId2"/>
    <sheet name="Main Pivot" sheetId="10" r:id="rId3"/>
    <sheet name="Detail1" sheetId="20" r:id="rId4"/>
    <sheet name="Pivot" sheetId="8" r:id="rId5"/>
    <sheet name="Male" sheetId="27" r:id="rId6"/>
    <sheet name="Detail2" sheetId="28" r:id="rId7"/>
    <sheet name="Detail3" sheetId="30" r:id="rId8"/>
    <sheet name="Sheet8" sheetId="29" r:id="rId9"/>
    <sheet name="Main Short Data" sheetId="2" r:id="rId10"/>
    <sheet name="Main pivot Final" sheetId="19" r:id="rId11"/>
  </sheets>
  <definedNames>
    <definedName name="_xlnm._FilterDatabase" localSheetId="1" hidden="1">'Main Data'!$A$1:$N$993</definedName>
    <definedName name="_xlchart.v1.0" hidden="1">'Main pivot Final'!$E$7:$F$18</definedName>
    <definedName name="_xlchart.v1.1" hidden="1">'Main pivot Final'!$G$6</definedName>
    <definedName name="_xlchart.v1.2" hidden="1">'Main pivot Final'!$G$7:$G$18</definedName>
    <definedName name="_xlchart.v5.3" hidden="1">'Main pivot Final'!$A$36</definedName>
    <definedName name="_xlchart.v5.4" hidden="1">'Main pivot Final'!$A$37:$A$57</definedName>
    <definedName name="_xlchart.v5.5" hidden="1">'Main pivot Final'!$B$36</definedName>
    <definedName name="_xlchart.v5.6" hidden="1">'Main pivot Final'!$B$37:$B$57</definedName>
    <definedName name="NativeTimeline_date">#N/A</definedName>
    <definedName name="_xlnm.Print_Titles" localSheetId="10">'Main pivot Final'!$A:$A,'Main pivot Final'!$6:$6</definedName>
    <definedName name="Slicer_City">#N/A</definedName>
    <definedName name="Slicer_Gender">#N/A</definedName>
  </definedNames>
  <calcPr calcId="191029"/>
  <pivotCaches>
    <pivotCache cacheId="0" r:id="rId12"/>
    <pivotCache cacheId="1" r:id="rId13"/>
    <pivotCache cacheId="2" r:id="rId14"/>
    <pivotCache cacheId="3" r:id="rId15"/>
    <pivotCache cacheId="9"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93" i="1" l="1"/>
  <c r="M993" i="1" s="1"/>
  <c r="N993" i="1" s="1"/>
  <c r="K993" i="1"/>
  <c r="L992" i="1"/>
  <c r="M992" i="1" s="1"/>
  <c r="N992" i="1" s="1"/>
  <c r="K992" i="1"/>
  <c r="L991" i="1"/>
  <c r="M991" i="1" s="1"/>
  <c r="N991" i="1" s="1"/>
  <c r="K991" i="1"/>
  <c r="L990" i="1"/>
  <c r="M990" i="1" s="1"/>
  <c r="N990" i="1" s="1"/>
  <c r="K990" i="1"/>
  <c r="L989" i="1"/>
  <c r="M989" i="1" s="1"/>
  <c r="N989" i="1" s="1"/>
  <c r="K989" i="1"/>
  <c r="L988" i="1"/>
  <c r="M988" i="1" s="1"/>
  <c r="N988" i="1" s="1"/>
  <c r="K988" i="1"/>
  <c r="Q987" i="1"/>
  <c r="L987" i="1"/>
  <c r="K987" i="1"/>
  <c r="M987" i="1" s="1"/>
  <c r="N987" i="1" s="1"/>
  <c r="L986" i="1"/>
  <c r="M986" i="1" s="1"/>
  <c r="N986" i="1" s="1"/>
  <c r="K986" i="1"/>
  <c r="L985" i="1"/>
  <c r="M985" i="1" s="1"/>
  <c r="N985" i="1" s="1"/>
  <c r="K985" i="1"/>
  <c r="L984" i="1"/>
  <c r="M984" i="1" s="1"/>
  <c r="N984" i="1" s="1"/>
  <c r="K984" i="1"/>
  <c r="L983" i="1"/>
  <c r="K983" i="1"/>
  <c r="M983" i="1" s="1"/>
  <c r="N983" i="1" s="1"/>
  <c r="L982" i="1"/>
  <c r="M982" i="1" s="1"/>
  <c r="N982" i="1" s="1"/>
  <c r="K982" i="1"/>
  <c r="M981" i="1"/>
  <c r="N981" i="1" s="1"/>
  <c r="L981" i="1"/>
  <c r="K981" i="1"/>
  <c r="M980" i="1"/>
  <c r="N980" i="1" s="1"/>
  <c r="L980" i="1"/>
  <c r="K980" i="1"/>
  <c r="L979" i="1"/>
  <c r="M979" i="1" s="1"/>
  <c r="N979" i="1" s="1"/>
  <c r="K979" i="1"/>
  <c r="L978" i="1"/>
  <c r="M978" i="1" s="1"/>
  <c r="N978" i="1" s="1"/>
  <c r="K978" i="1"/>
  <c r="L977" i="1"/>
  <c r="M977" i="1" s="1"/>
  <c r="N977" i="1" s="1"/>
  <c r="K977" i="1"/>
  <c r="M976" i="1"/>
  <c r="N976" i="1" s="1"/>
  <c r="L976" i="1"/>
  <c r="K976" i="1"/>
  <c r="L975" i="1"/>
  <c r="K975" i="1"/>
  <c r="M975" i="1" s="1"/>
  <c r="N975" i="1" s="1"/>
  <c r="M974" i="1"/>
  <c r="N974" i="1" s="1"/>
  <c r="L974" i="1"/>
  <c r="K974" i="1"/>
  <c r="M973" i="1"/>
  <c r="N973" i="1" s="1"/>
  <c r="L973" i="1"/>
  <c r="K973" i="1"/>
  <c r="M972" i="1"/>
  <c r="N972" i="1" s="1"/>
  <c r="L972" i="1"/>
  <c r="K972" i="1"/>
  <c r="L971" i="1"/>
  <c r="M971" i="1" s="1"/>
  <c r="N971" i="1" s="1"/>
  <c r="K971" i="1"/>
  <c r="L970" i="1"/>
  <c r="M970" i="1" s="1"/>
  <c r="N970" i="1" s="1"/>
  <c r="K970" i="1"/>
  <c r="L969" i="1"/>
  <c r="M969" i="1" s="1"/>
  <c r="N969" i="1" s="1"/>
  <c r="K969" i="1"/>
  <c r="L968" i="1"/>
  <c r="K968" i="1"/>
  <c r="M968" i="1" s="1"/>
  <c r="N968" i="1" s="1"/>
  <c r="L967" i="1"/>
  <c r="M967" i="1" s="1"/>
  <c r="N967" i="1" s="1"/>
  <c r="K967" i="1"/>
  <c r="M966" i="1"/>
  <c r="N966" i="1" s="1"/>
  <c r="L966" i="1"/>
  <c r="K966" i="1"/>
  <c r="M965" i="1"/>
  <c r="N965" i="1" s="1"/>
  <c r="L965" i="1"/>
  <c r="K965" i="1"/>
  <c r="M964" i="1"/>
  <c r="N964" i="1" s="1"/>
  <c r="L964" i="1"/>
  <c r="K964" i="1"/>
  <c r="L963" i="1"/>
  <c r="M963" i="1" s="1"/>
  <c r="N963" i="1" s="1"/>
  <c r="K963" i="1"/>
  <c r="L962" i="1"/>
  <c r="M962" i="1" s="1"/>
  <c r="N962" i="1" s="1"/>
  <c r="K962" i="1"/>
  <c r="L961" i="1"/>
  <c r="K961" i="1"/>
  <c r="M961" i="1" s="1"/>
  <c r="N961" i="1" s="1"/>
  <c r="M960" i="1"/>
  <c r="N960" i="1" s="1"/>
  <c r="L960" i="1"/>
  <c r="K960" i="1"/>
  <c r="L959" i="1"/>
  <c r="M959" i="1" s="1"/>
  <c r="N959" i="1" s="1"/>
  <c r="K959" i="1"/>
  <c r="L958" i="1"/>
  <c r="M958" i="1" s="1"/>
  <c r="N958" i="1" s="1"/>
  <c r="K958" i="1"/>
  <c r="L957" i="1"/>
  <c r="M957" i="1" s="1"/>
  <c r="N957" i="1" s="1"/>
  <c r="K957" i="1"/>
  <c r="L956" i="1"/>
  <c r="K956" i="1"/>
  <c r="M956" i="1" s="1"/>
  <c r="N956" i="1" s="1"/>
  <c r="L955" i="1"/>
  <c r="M955" i="1" s="1"/>
  <c r="N955" i="1" s="1"/>
  <c r="K955" i="1"/>
  <c r="L954" i="1"/>
  <c r="K954" i="1"/>
  <c r="M954" i="1" s="1"/>
  <c r="N954" i="1" s="1"/>
  <c r="L953" i="1"/>
  <c r="M953" i="1" s="1"/>
  <c r="N953" i="1" s="1"/>
  <c r="K953" i="1"/>
  <c r="L952" i="1"/>
  <c r="M952" i="1" s="1"/>
  <c r="N952" i="1" s="1"/>
  <c r="K952" i="1"/>
  <c r="L951" i="1"/>
  <c r="K951" i="1"/>
  <c r="N950" i="1"/>
  <c r="L950" i="1"/>
  <c r="K950" i="1"/>
  <c r="M950" i="1" s="1"/>
  <c r="L949" i="1"/>
  <c r="M949" i="1" s="1"/>
  <c r="N949" i="1" s="1"/>
  <c r="K949" i="1"/>
  <c r="L948" i="1"/>
  <c r="M948" i="1" s="1"/>
  <c r="N948" i="1" s="1"/>
  <c r="K948" i="1"/>
  <c r="L947" i="1"/>
  <c r="M947" i="1" s="1"/>
  <c r="N947" i="1" s="1"/>
  <c r="K947" i="1"/>
  <c r="L946" i="1"/>
  <c r="K946" i="1"/>
  <c r="L945" i="1"/>
  <c r="M945" i="1" s="1"/>
  <c r="N945" i="1" s="1"/>
  <c r="K945" i="1"/>
  <c r="L944" i="1"/>
  <c r="M944" i="1" s="1"/>
  <c r="N944" i="1" s="1"/>
  <c r="K944" i="1"/>
  <c r="M943" i="1"/>
  <c r="N943" i="1" s="1"/>
  <c r="L943" i="1"/>
  <c r="K943" i="1"/>
  <c r="N942" i="1"/>
  <c r="M942" i="1"/>
  <c r="L942" i="1"/>
  <c r="K942" i="1"/>
  <c r="L941" i="1"/>
  <c r="M941" i="1" s="1"/>
  <c r="N941" i="1" s="1"/>
  <c r="K941" i="1"/>
  <c r="L940" i="1"/>
  <c r="K940" i="1"/>
  <c r="M940" i="1" s="1"/>
  <c r="N940" i="1" s="1"/>
  <c r="L939" i="1"/>
  <c r="K939" i="1"/>
  <c r="L938" i="1"/>
  <c r="M938" i="1" s="1"/>
  <c r="N938" i="1" s="1"/>
  <c r="K938" i="1"/>
  <c r="L937" i="1"/>
  <c r="K937" i="1"/>
  <c r="M937" i="1" s="1"/>
  <c r="N937" i="1" s="1"/>
  <c r="M936" i="1"/>
  <c r="N936" i="1" s="1"/>
  <c r="L936" i="1"/>
  <c r="K936" i="1"/>
  <c r="M935" i="1"/>
  <c r="N935" i="1" s="1"/>
  <c r="L935" i="1"/>
  <c r="K935" i="1"/>
  <c r="L934" i="1"/>
  <c r="M934" i="1" s="1"/>
  <c r="N934" i="1" s="1"/>
  <c r="K934" i="1"/>
  <c r="L933" i="1"/>
  <c r="M933" i="1" s="1"/>
  <c r="N933" i="1" s="1"/>
  <c r="K933" i="1"/>
  <c r="N932" i="1"/>
  <c r="L932" i="1"/>
  <c r="M932" i="1" s="1"/>
  <c r="K932" i="1"/>
  <c r="L931" i="1"/>
  <c r="M931" i="1" s="1"/>
  <c r="N931" i="1" s="1"/>
  <c r="K931" i="1"/>
  <c r="L930" i="1"/>
  <c r="K930" i="1"/>
  <c r="M930" i="1" s="1"/>
  <c r="N930" i="1" s="1"/>
  <c r="L929" i="1"/>
  <c r="M929" i="1" s="1"/>
  <c r="N929" i="1" s="1"/>
  <c r="K929" i="1"/>
  <c r="L928" i="1"/>
  <c r="M928" i="1" s="1"/>
  <c r="N928" i="1" s="1"/>
  <c r="K928" i="1"/>
  <c r="L927" i="1"/>
  <c r="M927" i="1" s="1"/>
  <c r="N927" i="1" s="1"/>
  <c r="K927" i="1"/>
  <c r="L926" i="1"/>
  <c r="K926" i="1"/>
  <c r="M926" i="1" s="1"/>
  <c r="N926" i="1" s="1"/>
  <c r="M925" i="1"/>
  <c r="N925" i="1" s="1"/>
  <c r="L925" i="1"/>
  <c r="K925" i="1"/>
  <c r="L924" i="1"/>
  <c r="K924" i="1"/>
  <c r="M924" i="1" s="1"/>
  <c r="N924" i="1" s="1"/>
  <c r="L923" i="1"/>
  <c r="K923" i="1"/>
  <c r="L922" i="1"/>
  <c r="M922" i="1" s="1"/>
  <c r="N922" i="1" s="1"/>
  <c r="K922" i="1"/>
  <c r="M921" i="1"/>
  <c r="N921" i="1" s="1"/>
  <c r="L921" i="1"/>
  <c r="K921" i="1"/>
  <c r="L920" i="1"/>
  <c r="M920" i="1" s="1"/>
  <c r="N920" i="1" s="1"/>
  <c r="K920" i="1"/>
  <c r="L919" i="1"/>
  <c r="K919" i="1"/>
  <c r="M919" i="1" s="1"/>
  <c r="N919" i="1" s="1"/>
  <c r="L918" i="1"/>
  <c r="M918" i="1" s="1"/>
  <c r="N918" i="1" s="1"/>
  <c r="K918" i="1"/>
  <c r="L917" i="1"/>
  <c r="M917" i="1" s="1"/>
  <c r="N917" i="1" s="1"/>
  <c r="K917" i="1"/>
  <c r="L916" i="1"/>
  <c r="M916" i="1" s="1"/>
  <c r="N916" i="1" s="1"/>
  <c r="K916" i="1"/>
  <c r="L915" i="1"/>
  <c r="M915" i="1" s="1"/>
  <c r="N915" i="1" s="1"/>
  <c r="K915" i="1"/>
  <c r="L914" i="1"/>
  <c r="M914" i="1" s="1"/>
  <c r="N914" i="1" s="1"/>
  <c r="K914" i="1"/>
  <c r="M913" i="1"/>
  <c r="N913" i="1" s="1"/>
  <c r="L913" i="1"/>
  <c r="K913" i="1"/>
  <c r="L912" i="1"/>
  <c r="M912" i="1" s="1"/>
  <c r="N912" i="1" s="1"/>
  <c r="K912" i="1"/>
  <c r="M911" i="1"/>
  <c r="N911" i="1" s="1"/>
  <c r="L911" i="1"/>
  <c r="K911" i="1"/>
  <c r="L910" i="1"/>
  <c r="M910" i="1" s="1"/>
  <c r="N910" i="1" s="1"/>
  <c r="K910" i="1"/>
  <c r="L909" i="1"/>
  <c r="K909" i="1"/>
  <c r="L908" i="1"/>
  <c r="K908" i="1"/>
  <c r="M908" i="1" s="1"/>
  <c r="N908" i="1" s="1"/>
  <c r="M907" i="1"/>
  <c r="N907" i="1" s="1"/>
  <c r="L907" i="1"/>
  <c r="K907" i="1"/>
  <c r="L906" i="1"/>
  <c r="K906" i="1"/>
  <c r="M906" i="1" s="1"/>
  <c r="N906" i="1" s="1"/>
  <c r="L905" i="1"/>
  <c r="M905" i="1" s="1"/>
  <c r="N905" i="1" s="1"/>
  <c r="K905" i="1"/>
  <c r="L904" i="1"/>
  <c r="M904" i="1" s="1"/>
  <c r="N904" i="1" s="1"/>
  <c r="K904" i="1"/>
  <c r="L903" i="1"/>
  <c r="K903" i="1"/>
  <c r="L902" i="1"/>
  <c r="K902" i="1"/>
  <c r="L901" i="1"/>
  <c r="M901" i="1" s="1"/>
  <c r="N901" i="1" s="1"/>
  <c r="K901" i="1"/>
  <c r="M900" i="1"/>
  <c r="N900" i="1" s="1"/>
  <c r="L900" i="1"/>
  <c r="K900" i="1"/>
  <c r="M899" i="1"/>
  <c r="N899" i="1" s="1"/>
  <c r="L899" i="1"/>
  <c r="K899" i="1"/>
  <c r="N898" i="1"/>
  <c r="M898" i="1"/>
  <c r="L898" i="1"/>
  <c r="K898" i="1"/>
  <c r="M897" i="1"/>
  <c r="N897" i="1" s="1"/>
  <c r="L897" i="1"/>
  <c r="K897" i="1"/>
  <c r="M896" i="1"/>
  <c r="N896" i="1" s="1"/>
  <c r="L896" i="1"/>
  <c r="K896" i="1"/>
  <c r="L895" i="1"/>
  <c r="M895" i="1" s="1"/>
  <c r="N895" i="1" s="1"/>
  <c r="K895" i="1"/>
  <c r="M894" i="1"/>
  <c r="N894" i="1" s="1"/>
  <c r="L894" i="1"/>
  <c r="K894" i="1"/>
  <c r="L893" i="1"/>
  <c r="K893" i="1"/>
  <c r="M893" i="1" s="1"/>
  <c r="N893" i="1" s="1"/>
  <c r="L892" i="1"/>
  <c r="M892" i="1" s="1"/>
  <c r="N892" i="1" s="1"/>
  <c r="K892" i="1"/>
  <c r="L891" i="1"/>
  <c r="K891" i="1"/>
  <c r="M891" i="1" s="1"/>
  <c r="N891" i="1" s="1"/>
  <c r="L890" i="1"/>
  <c r="M890" i="1" s="1"/>
  <c r="N890" i="1" s="1"/>
  <c r="K890" i="1"/>
  <c r="M889" i="1"/>
  <c r="N889" i="1" s="1"/>
  <c r="L889" i="1"/>
  <c r="K889" i="1"/>
  <c r="L888" i="1"/>
  <c r="M888" i="1" s="1"/>
  <c r="N888" i="1" s="1"/>
  <c r="K888" i="1"/>
  <c r="M887" i="1"/>
  <c r="N887" i="1" s="1"/>
  <c r="L887" i="1"/>
  <c r="K887" i="1"/>
  <c r="L886" i="1"/>
  <c r="K886" i="1"/>
  <c r="M886" i="1" s="1"/>
  <c r="N886" i="1" s="1"/>
  <c r="M885" i="1"/>
  <c r="N885" i="1" s="1"/>
  <c r="L885" i="1"/>
  <c r="K885" i="1"/>
  <c r="L884" i="1"/>
  <c r="K884" i="1"/>
  <c r="M884" i="1" s="1"/>
  <c r="N884" i="1" s="1"/>
  <c r="M883" i="1"/>
  <c r="N883" i="1" s="1"/>
  <c r="L883" i="1"/>
  <c r="K883" i="1"/>
  <c r="N882" i="1"/>
  <c r="L882" i="1"/>
  <c r="K882" i="1"/>
  <c r="M882" i="1" s="1"/>
  <c r="L881" i="1"/>
  <c r="M881" i="1" s="1"/>
  <c r="N881" i="1" s="1"/>
  <c r="K881" i="1"/>
  <c r="L880" i="1"/>
  <c r="M880" i="1" s="1"/>
  <c r="N880" i="1" s="1"/>
  <c r="K880" i="1"/>
  <c r="L879" i="1"/>
  <c r="M879" i="1" s="1"/>
  <c r="N879" i="1" s="1"/>
  <c r="K879" i="1"/>
  <c r="L878" i="1"/>
  <c r="K878" i="1"/>
  <c r="M878" i="1" s="1"/>
  <c r="N878" i="1" s="1"/>
  <c r="L877" i="1"/>
  <c r="M877" i="1" s="1"/>
  <c r="N877" i="1" s="1"/>
  <c r="K877" i="1"/>
  <c r="M876" i="1"/>
  <c r="N876" i="1" s="1"/>
  <c r="L876" i="1"/>
  <c r="K876" i="1"/>
  <c r="M875" i="1"/>
  <c r="N875" i="1" s="1"/>
  <c r="L875" i="1"/>
  <c r="K875" i="1"/>
  <c r="L874" i="1"/>
  <c r="M874" i="1" s="1"/>
  <c r="N874" i="1" s="1"/>
  <c r="K874" i="1"/>
  <c r="L873" i="1"/>
  <c r="M873" i="1" s="1"/>
  <c r="N873" i="1" s="1"/>
  <c r="K873" i="1"/>
  <c r="N872" i="1"/>
  <c r="M872" i="1"/>
  <c r="L872" i="1"/>
  <c r="K872" i="1"/>
  <c r="L871" i="1"/>
  <c r="K871" i="1"/>
  <c r="M871" i="1" s="1"/>
  <c r="N871" i="1" s="1"/>
  <c r="L870" i="1"/>
  <c r="K870" i="1"/>
  <c r="M870" i="1" s="1"/>
  <c r="N870" i="1" s="1"/>
  <c r="M869" i="1"/>
  <c r="N869" i="1" s="1"/>
  <c r="L869" i="1"/>
  <c r="K869" i="1"/>
  <c r="N868" i="1"/>
  <c r="L868" i="1"/>
  <c r="K868" i="1"/>
  <c r="M868" i="1" s="1"/>
  <c r="M867" i="1"/>
  <c r="N867" i="1" s="1"/>
  <c r="L867" i="1"/>
  <c r="K867" i="1"/>
  <c r="M866" i="1"/>
  <c r="N866" i="1" s="1"/>
  <c r="L866" i="1"/>
  <c r="K866" i="1"/>
  <c r="L865" i="1"/>
  <c r="K865" i="1"/>
  <c r="M865" i="1" s="1"/>
  <c r="N865" i="1" s="1"/>
  <c r="L864" i="1"/>
  <c r="K864" i="1"/>
  <c r="M864" i="1" s="1"/>
  <c r="N864" i="1" s="1"/>
  <c r="L863" i="1"/>
  <c r="M863" i="1" s="1"/>
  <c r="N863" i="1" s="1"/>
  <c r="K863" i="1"/>
  <c r="M862" i="1"/>
  <c r="N862" i="1" s="1"/>
  <c r="L862" i="1"/>
  <c r="K862" i="1"/>
  <c r="M861" i="1"/>
  <c r="N861" i="1" s="1"/>
  <c r="L861" i="1"/>
  <c r="K861" i="1"/>
  <c r="M860" i="1"/>
  <c r="N860" i="1" s="1"/>
  <c r="L860" i="1"/>
  <c r="K860" i="1"/>
  <c r="N859" i="1"/>
  <c r="M859" i="1"/>
  <c r="L859" i="1"/>
  <c r="K859" i="1"/>
  <c r="L858" i="1"/>
  <c r="K858" i="1"/>
  <c r="M858" i="1" s="1"/>
  <c r="N858" i="1" s="1"/>
  <c r="L857" i="1"/>
  <c r="K857" i="1"/>
  <c r="M857" i="1" s="1"/>
  <c r="N857" i="1" s="1"/>
  <c r="M856" i="1"/>
  <c r="N856" i="1" s="1"/>
  <c r="L856" i="1"/>
  <c r="K856" i="1"/>
  <c r="M855" i="1"/>
  <c r="N855" i="1" s="1"/>
  <c r="L855" i="1"/>
  <c r="K855" i="1"/>
  <c r="L854" i="1"/>
  <c r="K854" i="1"/>
  <c r="M854" i="1" s="1"/>
  <c r="N854" i="1" s="1"/>
  <c r="L853" i="1"/>
  <c r="M853" i="1" s="1"/>
  <c r="N853" i="1" s="1"/>
  <c r="K853" i="1"/>
  <c r="N852" i="1"/>
  <c r="L852" i="1"/>
  <c r="K852" i="1"/>
  <c r="M852" i="1" s="1"/>
  <c r="L851" i="1"/>
  <c r="M851" i="1" s="1"/>
  <c r="N851" i="1" s="1"/>
  <c r="K851" i="1"/>
  <c r="L850" i="1"/>
  <c r="K850" i="1"/>
  <c r="M850" i="1" s="1"/>
  <c r="N850" i="1" s="1"/>
  <c r="L849" i="1"/>
  <c r="M849" i="1" s="1"/>
  <c r="N849" i="1" s="1"/>
  <c r="K849" i="1"/>
  <c r="M848" i="1"/>
  <c r="N848" i="1" s="1"/>
  <c r="L848" i="1"/>
  <c r="K848" i="1"/>
  <c r="L847" i="1"/>
  <c r="K847" i="1"/>
  <c r="M847" i="1" s="1"/>
  <c r="N847" i="1" s="1"/>
  <c r="L846" i="1"/>
  <c r="M846" i="1" s="1"/>
  <c r="N846" i="1" s="1"/>
  <c r="K846" i="1"/>
  <c r="L845" i="1"/>
  <c r="M845" i="1" s="1"/>
  <c r="N845" i="1" s="1"/>
  <c r="K845" i="1"/>
  <c r="L844" i="1"/>
  <c r="K844" i="1"/>
  <c r="M844" i="1" s="1"/>
  <c r="N844" i="1" s="1"/>
  <c r="L843" i="1"/>
  <c r="K843" i="1"/>
  <c r="M843" i="1" s="1"/>
  <c r="N843" i="1" s="1"/>
  <c r="M842" i="1"/>
  <c r="N842" i="1" s="1"/>
  <c r="L842" i="1"/>
  <c r="K842" i="1"/>
  <c r="L841" i="1"/>
  <c r="M841" i="1" s="1"/>
  <c r="N841" i="1" s="1"/>
  <c r="K841" i="1"/>
  <c r="L840" i="1"/>
  <c r="K840" i="1"/>
  <c r="M839" i="1"/>
  <c r="N839" i="1" s="1"/>
  <c r="L839" i="1"/>
  <c r="K839" i="1"/>
  <c r="L838" i="1"/>
  <c r="M838" i="1" s="1"/>
  <c r="N838" i="1" s="1"/>
  <c r="K838" i="1"/>
  <c r="L837" i="1"/>
  <c r="K837" i="1"/>
  <c r="M837" i="1" s="1"/>
  <c r="N837" i="1" s="1"/>
  <c r="L836" i="1"/>
  <c r="M836" i="1" s="1"/>
  <c r="N836" i="1" s="1"/>
  <c r="K836" i="1"/>
  <c r="L835" i="1"/>
  <c r="K835" i="1"/>
  <c r="L834" i="1"/>
  <c r="M834" i="1" s="1"/>
  <c r="N834" i="1" s="1"/>
  <c r="K834" i="1"/>
  <c r="L833" i="1"/>
  <c r="K833" i="1"/>
  <c r="L832" i="1"/>
  <c r="M832" i="1" s="1"/>
  <c r="N832" i="1" s="1"/>
  <c r="K832" i="1"/>
  <c r="L831" i="1"/>
  <c r="M831" i="1" s="1"/>
  <c r="N831" i="1" s="1"/>
  <c r="K831" i="1"/>
  <c r="L830" i="1"/>
  <c r="K830" i="1"/>
  <c r="M830" i="1" s="1"/>
  <c r="N830" i="1" s="1"/>
  <c r="L829" i="1"/>
  <c r="M829" i="1" s="1"/>
  <c r="N829" i="1" s="1"/>
  <c r="K829" i="1"/>
  <c r="L828" i="1"/>
  <c r="M828" i="1" s="1"/>
  <c r="N828" i="1" s="1"/>
  <c r="K828" i="1"/>
  <c r="L827" i="1"/>
  <c r="K827" i="1"/>
  <c r="N826" i="1"/>
  <c r="M826" i="1"/>
  <c r="L826" i="1"/>
  <c r="K826" i="1"/>
  <c r="M825" i="1"/>
  <c r="N825" i="1" s="1"/>
  <c r="L825" i="1"/>
  <c r="K825" i="1"/>
  <c r="M824" i="1"/>
  <c r="N824" i="1" s="1"/>
  <c r="L824" i="1"/>
  <c r="K824" i="1"/>
  <c r="M823" i="1"/>
  <c r="N823" i="1" s="1"/>
  <c r="L823" i="1"/>
  <c r="K823" i="1"/>
  <c r="L822" i="1"/>
  <c r="M822" i="1" s="1"/>
  <c r="N822" i="1" s="1"/>
  <c r="K822" i="1"/>
  <c r="M821" i="1"/>
  <c r="N821" i="1" s="1"/>
  <c r="L821" i="1"/>
  <c r="K821" i="1"/>
  <c r="M820" i="1"/>
  <c r="N820" i="1" s="1"/>
  <c r="L820" i="1"/>
  <c r="K820" i="1"/>
  <c r="L819" i="1"/>
  <c r="K819" i="1"/>
  <c r="M819" i="1" s="1"/>
  <c r="N819" i="1" s="1"/>
  <c r="L818" i="1"/>
  <c r="M818" i="1" s="1"/>
  <c r="N818" i="1" s="1"/>
  <c r="K818" i="1"/>
  <c r="M817" i="1"/>
  <c r="N817" i="1" s="1"/>
  <c r="L817" i="1"/>
  <c r="K817" i="1"/>
  <c r="M816" i="1"/>
  <c r="N816" i="1" s="1"/>
  <c r="L816" i="1"/>
  <c r="K816" i="1"/>
  <c r="L815" i="1"/>
  <c r="K815" i="1"/>
  <c r="M815" i="1" s="1"/>
  <c r="N815" i="1" s="1"/>
  <c r="M814" i="1"/>
  <c r="N814" i="1" s="1"/>
  <c r="L814" i="1"/>
  <c r="K814" i="1"/>
  <c r="L813" i="1"/>
  <c r="M813" i="1" s="1"/>
  <c r="N813" i="1" s="1"/>
  <c r="K813" i="1"/>
  <c r="L812" i="1"/>
  <c r="K812" i="1"/>
  <c r="M812" i="1" s="1"/>
  <c r="N812" i="1" s="1"/>
  <c r="M811" i="1"/>
  <c r="N811" i="1" s="1"/>
  <c r="L811" i="1"/>
  <c r="K811" i="1"/>
  <c r="M810" i="1"/>
  <c r="N810" i="1" s="1"/>
  <c r="L810" i="1"/>
  <c r="K810" i="1"/>
  <c r="M809" i="1"/>
  <c r="N809" i="1" s="1"/>
  <c r="L809" i="1"/>
  <c r="K809" i="1"/>
  <c r="L808" i="1"/>
  <c r="M808" i="1" s="1"/>
  <c r="N808" i="1" s="1"/>
  <c r="K808" i="1"/>
  <c r="M807" i="1"/>
  <c r="N807" i="1" s="1"/>
  <c r="L807" i="1"/>
  <c r="K807" i="1"/>
  <c r="L806" i="1"/>
  <c r="K806" i="1"/>
  <c r="M806" i="1" s="1"/>
  <c r="N806" i="1" s="1"/>
  <c r="L805" i="1"/>
  <c r="M805" i="1" s="1"/>
  <c r="N805" i="1" s="1"/>
  <c r="K805" i="1"/>
  <c r="N804" i="1"/>
  <c r="M804" i="1"/>
  <c r="L804" i="1"/>
  <c r="K804" i="1"/>
  <c r="L803" i="1"/>
  <c r="M803" i="1" s="1"/>
  <c r="N803" i="1" s="1"/>
  <c r="K803" i="1"/>
  <c r="M802" i="1"/>
  <c r="N802" i="1" s="1"/>
  <c r="L802" i="1"/>
  <c r="K802" i="1"/>
  <c r="L801" i="1"/>
  <c r="K801" i="1"/>
  <c r="M801" i="1" s="1"/>
  <c r="N801" i="1" s="1"/>
  <c r="L800" i="1"/>
  <c r="M800" i="1" s="1"/>
  <c r="N800" i="1" s="1"/>
  <c r="K800" i="1"/>
  <c r="L799" i="1"/>
  <c r="K799" i="1"/>
  <c r="M799" i="1" s="1"/>
  <c r="N799" i="1" s="1"/>
  <c r="M798" i="1"/>
  <c r="N798" i="1" s="1"/>
  <c r="L798" i="1"/>
  <c r="K798" i="1"/>
  <c r="L797" i="1"/>
  <c r="M797" i="1" s="1"/>
  <c r="N797" i="1" s="1"/>
  <c r="K797" i="1"/>
  <c r="M796" i="1"/>
  <c r="N796" i="1" s="1"/>
  <c r="L796" i="1"/>
  <c r="K796" i="1"/>
  <c r="M795" i="1"/>
  <c r="N795" i="1" s="1"/>
  <c r="L795" i="1"/>
  <c r="K795" i="1"/>
  <c r="L794" i="1"/>
  <c r="M794" i="1" s="1"/>
  <c r="N794" i="1" s="1"/>
  <c r="K794" i="1"/>
  <c r="N793" i="1"/>
  <c r="L793" i="1"/>
  <c r="K793" i="1"/>
  <c r="M793" i="1" s="1"/>
  <c r="L792" i="1"/>
  <c r="M792" i="1" s="1"/>
  <c r="N792" i="1" s="1"/>
  <c r="K792" i="1"/>
  <c r="L791" i="1"/>
  <c r="K791" i="1"/>
  <c r="M790" i="1"/>
  <c r="N790" i="1" s="1"/>
  <c r="L790" i="1"/>
  <c r="K790" i="1"/>
  <c r="L789" i="1"/>
  <c r="M789" i="1" s="1"/>
  <c r="N789" i="1" s="1"/>
  <c r="K789" i="1"/>
  <c r="M788" i="1"/>
  <c r="N788" i="1" s="1"/>
  <c r="L788" i="1"/>
  <c r="K788" i="1"/>
  <c r="L787" i="1"/>
  <c r="M787" i="1" s="1"/>
  <c r="N787" i="1" s="1"/>
  <c r="K787" i="1"/>
  <c r="M786" i="1"/>
  <c r="N786" i="1" s="1"/>
  <c r="L786" i="1"/>
  <c r="K786" i="1"/>
  <c r="L785" i="1"/>
  <c r="M785" i="1" s="1"/>
  <c r="N785" i="1" s="1"/>
  <c r="K785" i="1"/>
  <c r="L784" i="1"/>
  <c r="K784" i="1"/>
  <c r="L783" i="1"/>
  <c r="M783" i="1" s="1"/>
  <c r="N783" i="1" s="1"/>
  <c r="K783" i="1"/>
  <c r="N782" i="1"/>
  <c r="M782" i="1"/>
  <c r="L782" i="1"/>
  <c r="K782" i="1"/>
  <c r="L781" i="1"/>
  <c r="K781" i="1"/>
  <c r="M781" i="1" s="1"/>
  <c r="N781" i="1" s="1"/>
  <c r="L780" i="1"/>
  <c r="K780" i="1"/>
  <c r="M780" i="1" s="1"/>
  <c r="N780" i="1" s="1"/>
  <c r="L779" i="1"/>
  <c r="M779" i="1" s="1"/>
  <c r="N779" i="1" s="1"/>
  <c r="K779" i="1"/>
  <c r="L778" i="1"/>
  <c r="M778" i="1" s="1"/>
  <c r="N778" i="1" s="1"/>
  <c r="K778" i="1"/>
  <c r="L777" i="1"/>
  <c r="K777" i="1"/>
  <c r="M776" i="1"/>
  <c r="N776" i="1" s="1"/>
  <c r="L776" i="1"/>
  <c r="K776" i="1"/>
  <c r="M775" i="1"/>
  <c r="N775" i="1" s="1"/>
  <c r="L775" i="1"/>
  <c r="K775" i="1"/>
  <c r="N774" i="1"/>
  <c r="M774" i="1"/>
  <c r="L774" i="1"/>
  <c r="K774" i="1"/>
  <c r="L773" i="1"/>
  <c r="M773" i="1" s="1"/>
  <c r="N773" i="1" s="1"/>
  <c r="K773" i="1"/>
  <c r="L772" i="1"/>
  <c r="M772" i="1" s="1"/>
  <c r="N772" i="1" s="1"/>
  <c r="K772" i="1"/>
  <c r="L771" i="1"/>
  <c r="M771" i="1" s="1"/>
  <c r="N771" i="1" s="1"/>
  <c r="K771" i="1"/>
  <c r="L770" i="1"/>
  <c r="M770" i="1" s="1"/>
  <c r="N770" i="1" s="1"/>
  <c r="K770" i="1"/>
  <c r="L769" i="1"/>
  <c r="M769" i="1" s="1"/>
  <c r="N769" i="1" s="1"/>
  <c r="K769" i="1"/>
  <c r="L768" i="1"/>
  <c r="K768" i="1"/>
  <c r="M768" i="1" s="1"/>
  <c r="N768" i="1" s="1"/>
  <c r="M767" i="1"/>
  <c r="N767" i="1" s="1"/>
  <c r="L767" i="1"/>
  <c r="K767" i="1"/>
  <c r="L766" i="1"/>
  <c r="M766" i="1" s="1"/>
  <c r="N766" i="1" s="1"/>
  <c r="K766" i="1"/>
  <c r="M765" i="1"/>
  <c r="N765" i="1" s="1"/>
  <c r="L765" i="1"/>
  <c r="K765" i="1"/>
  <c r="M764" i="1"/>
  <c r="N764" i="1" s="1"/>
  <c r="L764" i="1"/>
  <c r="K764" i="1"/>
  <c r="M763" i="1"/>
  <c r="N763" i="1" s="1"/>
  <c r="L763" i="1"/>
  <c r="K763" i="1"/>
  <c r="N762" i="1"/>
  <c r="M762" i="1"/>
  <c r="L762" i="1"/>
  <c r="K762" i="1"/>
  <c r="L761" i="1"/>
  <c r="K761" i="1"/>
  <c r="M761" i="1" s="1"/>
  <c r="N761" i="1" s="1"/>
  <c r="L760" i="1"/>
  <c r="M760" i="1" s="1"/>
  <c r="N760" i="1" s="1"/>
  <c r="K760" i="1"/>
  <c r="L759" i="1"/>
  <c r="K759" i="1"/>
  <c r="M759" i="1" s="1"/>
  <c r="N759" i="1" s="1"/>
  <c r="M758" i="1"/>
  <c r="N758" i="1" s="1"/>
  <c r="L758" i="1"/>
  <c r="K758" i="1"/>
  <c r="M757" i="1"/>
  <c r="N757" i="1" s="1"/>
  <c r="L757" i="1"/>
  <c r="K757" i="1"/>
  <c r="N756" i="1"/>
  <c r="M756" i="1"/>
  <c r="L756" i="1"/>
  <c r="K756" i="1"/>
  <c r="L755" i="1"/>
  <c r="M755" i="1" s="1"/>
  <c r="N755" i="1" s="1"/>
  <c r="K755" i="1"/>
  <c r="N754" i="1"/>
  <c r="M754" i="1"/>
  <c r="L754" i="1"/>
  <c r="K754" i="1"/>
  <c r="L753" i="1"/>
  <c r="K753" i="1"/>
  <c r="M753" i="1" s="1"/>
  <c r="N753" i="1" s="1"/>
  <c r="M752" i="1"/>
  <c r="N752" i="1" s="1"/>
  <c r="L752" i="1"/>
  <c r="K752" i="1"/>
  <c r="L751" i="1"/>
  <c r="K751" i="1"/>
  <c r="L750" i="1"/>
  <c r="K750" i="1"/>
  <c r="L749" i="1"/>
  <c r="M749" i="1" s="1"/>
  <c r="N749" i="1" s="1"/>
  <c r="K749" i="1"/>
  <c r="N748" i="1"/>
  <c r="M748" i="1"/>
  <c r="L748" i="1"/>
  <c r="K748" i="1"/>
  <c r="L747" i="1"/>
  <c r="K747" i="1"/>
  <c r="M747" i="1" s="1"/>
  <c r="N747" i="1" s="1"/>
  <c r="L746" i="1"/>
  <c r="K746" i="1"/>
  <c r="M746" i="1" s="1"/>
  <c r="N746" i="1" s="1"/>
  <c r="M745" i="1"/>
  <c r="N745" i="1" s="1"/>
  <c r="L745" i="1"/>
  <c r="K745" i="1"/>
  <c r="L744" i="1"/>
  <c r="K744" i="1"/>
  <c r="L743" i="1"/>
  <c r="K743" i="1"/>
  <c r="M743" i="1" s="1"/>
  <c r="N743" i="1" s="1"/>
  <c r="L742" i="1"/>
  <c r="M742" i="1" s="1"/>
  <c r="N742" i="1" s="1"/>
  <c r="K742" i="1"/>
  <c r="L741" i="1"/>
  <c r="M741" i="1" s="1"/>
  <c r="N741" i="1" s="1"/>
  <c r="K741" i="1"/>
  <c r="L740" i="1"/>
  <c r="K740" i="1"/>
  <c r="M740" i="1" s="1"/>
  <c r="N740" i="1" s="1"/>
  <c r="L739" i="1"/>
  <c r="M739" i="1" s="1"/>
  <c r="N739" i="1" s="1"/>
  <c r="K739" i="1"/>
  <c r="L738" i="1"/>
  <c r="K738" i="1"/>
  <c r="L737" i="1"/>
  <c r="M737" i="1" s="1"/>
  <c r="N737" i="1" s="1"/>
  <c r="K737" i="1"/>
  <c r="L736" i="1"/>
  <c r="M736" i="1" s="1"/>
  <c r="N736" i="1" s="1"/>
  <c r="K736" i="1"/>
  <c r="L735" i="1"/>
  <c r="M735" i="1" s="1"/>
  <c r="N735" i="1" s="1"/>
  <c r="K735" i="1"/>
  <c r="N734" i="1"/>
  <c r="L734" i="1"/>
  <c r="K734" i="1"/>
  <c r="M734" i="1" s="1"/>
  <c r="L733" i="1"/>
  <c r="K733" i="1"/>
  <c r="M733" i="1" s="1"/>
  <c r="N733" i="1" s="1"/>
  <c r="L732" i="1"/>
  <c r="M732" i="1" s="1"/>
  <c r="N732" i="1" s="1"/>
  <c r="K732" i="1"/>
  <c r="L731" i="1"/>
  <c r="K731" i="1"/>
  <c r="M731" i="1" s="1"/>
  <c r="N731" i="1" s="1"/>
  <c r="L730" i="1"/>
  <c r="M730" i="1" s="1"/>
  <c r="N730" i="1" s="1"/>
  <c r="K730" i="1"/>
  <c r="L729" i="1"/>
  <c r="K729" i="1"/>
  <c r="M729" i="1" s="1"/>
  <c r="N729" i="1" s="1"/>
  <c r="M728" i="1"/>
  <c r="N728" i="1" s="1"/>
  <c r="L728" i="1"/>
  <c r="K728" i="1"/>
  <c r="M727" i="1"/>
  <c r="N727" i="1" s="1"/>
  <c r="L727" i="1"/>
  <c r="K727" i="1"/>
  <c r="L726" i="1"/>
  <c r="M726" i="1" s="1"/>
  <c r="N726" i="1" s="1"/>
  <c r="K726" i="1"/>
  <c r="L725" i="1"/>
  <c r="M725" i="1" s="1"/>
  <c r="N725" i="1" s="1"/>
  <c r="K725" i="1"/>
  <c r="L724" i="1"/>
  <c r="K724" i="1"/>
  <c r="L723" i="1"/>
  <c r="M723" i="1" s="1"/>
  <c r="N723" i="1" s="1"/>
  <c r="K723" i="1"/>
  <c r="L722" i="1"/>
  <c r="K722" i="1"/>
  <c r="N721" i="1"/>
  <c r="L721" i="1"/>
  <c r="K721" i="1"/>
  <c r="M721" i="1" s="1"/>
  <c r="M720" i="1"/>
  <c r="N720" i="1" s="1"/>
  <c r="L720" i="1"/>
  <c r="K720" i="1"/>
  <c r="L719" i="1"/>
  <c r="K719" i="1"/>
  <c r="M719" i="1" s="1"/>
  <c r="N719" i="1" s="1"/>
  <c r="L718" i="1"/>
  <c r="M718" i="1" s="1"/>
  <c r="N718" i="1" s="1"/>
  <c r="K718" i="1"/>
  <c r="M717" i="1"/>
  <c r="N717" i="1" s="1"/>
  <c r="L717" i="1"/>
  <c r="K717" i="1"/>
  <c r="L716" i="1"/>
  <c r="K716" i="1"/>
  <c r="L715" i="1"/>
  <c r="M715" i="1" s="1"/>
  <c r="N715" i="1" s="1"/>
  <c r="K715" i="1"/>
  <c r="L714" i="1"/>
  <c r="K714" i="1"/>
  <c r="M714" i="1" s="1"/>
  <c r="N714" i="1" s="1"/>
  <c r="L713" i="1"/>
  <c r="K713" i="1"/>
  <c r="L712" i="1"/>
  <c r="M712" i="1" s="1"/>
  <c r="N712" i="1" s="1"/>
  <c r="K712" i="1"/>
  <c r="L711" i="1"/>
  <c r="M711" i="1" s="1"/>
  <c r="N711" i="1" s="1"/>
  <c r="K711" i="1"/>
  <c r="L710" i="1"/>
  <c r="K710" i="1"/>
  <c r="L709" i="1"/>
  <c r="M709" i="1" s="1"/>
  <c r="N709" i="1" s="1"/>
  <c r="K709" i="1"/>
  <c r="L708" i="1"/>
  <c r="K708" i="1"/>
  <c r="M708" i="1" s="1"/>
  <c r="N708" i="1" s="1"/>
  <c r="L707" i="1"/>
  <c r="M707" i="1" s="1"/>
  <c r="N707" i="1" s="1"/>
  <c r="K707" i="1"/>
  <c r="L706" i="1"/>
  <c r="M706" i="1" s="1"/>
  <c r="N706" i="1" s="1"/>
  <c r="K706" i="1"/>
  <c r="L705" i="1"/>
  <c r="K705" i="1"/>
  <c r="M705" i="1" s="1"/>
  <c r="N705" i="1" s="1"/>
  <c r="L704" i="1"/>
  <c r="M704" i="1" s="1"/>
  <c r="N704" i="1" s="1"/>
  <c r="K704" i="1"/>
  <c r="L703" i="1"/>
  <c r="K703" i="1"/>
  <c r="L702" i="1"/>
  <c r="M702" i="1" s="1"/>
  <c r="N702" i="1" s="1"/>
  <c r="K702" i="1"/>
  <c r="L701" i="1"/>
  <c r="M701" i="1" s="1"/>
  <c r="N701" i="1" s="1"/>
  <c r="K701" i="1"/>
  <c r="L700" i="1"/>
  <c r="M700" i="1" s="1"/>
  <c r="N700" i="1" s="1"/>
  <c r="K700" i="1"/>
  <c r="M699" i="1"/>
  <c r="N699" i="1" s="1"/>
  <c r="L699" i="1"/>
  <c r="K699" i="1"/>
  <c r="L698" i="1"/>
  <c r="M698" i="1" s="1"/>
  <c r="N698" i="1" s="1"/>
  <c r="K698" i="1"/>
  <c r="L697" i="1"/>
  <c r="K697" i="1"/>
  <c r="M697" i="1" s="1"/>
  <c r="N697" i="1" s="1"/>
  <c r="M696" i="1"/>
  <c r="N696" i="1" s="1"/>
  <c r="L696" i="1"/>
  <c r="K696" i="1"/>
  <c r="M695" i="1"/>
  <c r="N695" i="1" s="1"/>
  <c r="L695" i="1"/>
  <c r="K695" i="1"/>
  <c r="L694" i="1"/>
  <c r="K694" i="1"/>
  <c r="L693" i="1"/>
  <c r="M693" i="1" s="1"/>
  <c r="N693" i="1" s="1"/>
  <c r="K693" i="1"/>
  <c r="N692" i="1"/>
  <c r="M692" i="1"/>
  <c r="L692" i="1"/>
  <c r="K692" i="1"/>
  <c r="M691" i="1"/>
  <c r="N691" i="1" s="1"/>
  <c r="L691" i="1"/>
  <c r="K691" i="1"/>
  <c r="L690" i="1"/>
  <c r="M690" i="1" s="1"/>
  <c r="N690" i="1" s="1"/>
  <c r="K690" i="1"/>
  <c r="M689" i="1"/>
  <c r="N689" i="1" s="1"/>
  <c r="L689" i="1"/>
  <c r="K689" i="1"/>
  <c r="L688" i="1"/>
  <c r="M688" i="1" s="1"/>
  <c r="N688" i="1" s="1"/>
  <c r="K688" i="1"/>
  <c r="L687" i="1"/>
  <c r="K687" i="1"/>
  <c r="L686" i="1"/>
  <c r="M686" i="1" s="1"/>
  <c r="N686" i="1" s="1"/>
  <c r="K686" i="1"/>
  <c r="M685" i="1"/>
  <c r="N685" i="1" s="1"/>
  <c r="L685" i="1"/>
  <c r="K685" i="1"/>
  <c r="M684" i="1"/>
  <c r="N684" i="1" s="1"/>
  <c r="L684" i="1"/>
  <c r="K684" i="1"/>
  <c r="L683" i="1"/>
  <c r="K683" i="1"/>
  <c r="M683" i="1" s="1"/>
  <c r="N683" i="1" s="1"/>
  <c r="M682" i="1"/>
  <c r="N682" i="1" s="1"/>
  <c r="L682" i="1"/>
  <c r="K682" i="1"/>
  <c r="L681" i="1"/>
  <c r="K681" i="1"/>
  <c r="M681" i="1" s="1"/>
  <c r="N681" i="1" s="1"/>
  <c r="L680" i="1"/>
  <c r="M680" i="1" s="1"/>
  <c r="N680" i="1" s="1"/>
  <c r="K680" i="1"/>
  <c r="L679" i="1"/>
  <c r="M679" i="1" s="1"/>
  <c r="N679" i="1" s="1"/>
  <c r="K679" i="1"/>
  <c r="N678" i="1"/>
  <c r="L678" i="1"/>
  <c r="K678" i="1"/>
  <c r="M678" i="1" s="1"/>
  <c r="L677" i="1"/>
  <c r="K677" i="1"/>
  <c r="M677" i="1" s="1"/>
  <c r="N677" i="1" s="1"/>
  <c r="M676" i="1"/>
  <c r="N676" i="1" s="1"/>
  <c r="L676" i="1"/>
  <c r="K676" i="1"/>
  <c r="L675" i="1"/>
  <c r="K675" i="1"/>
  <c r="M675" i="1" s="1"/>
  <c r="N675" i="1" s="1"/>
  <c r="L674" i="1"/>
  <c r="M674" i="1" s="1"/>
  <c r="N674" i="1" s="1"/>
  <c r="K674" i="1"/>
  <c r="M673" i="1"/>
  <c r="N673" i="1" s="1"/>
  <c r="L673" i="1"/>
  <c r="K673" i="1"/>
  <c r="N672" i="1"/>
  <c r="M672" i="1"/>
  <c r="L672" i="1"/>
  <c r="K672" i="1"/>
  <c r="M671" i="1"/>
  <c r="N671" i="1" s="1"/>
  <c r="L671" i="1"/>
  <c r="K671" i="1"/>
  <c r="L670" i="1"/>
  <c r="K670" i="1"/>
  <c r="M670" i="1" s="1"/>
  <c r="N670" i="1" s="1"/>
  <c r="L669" i="1"/>
  <c r="M669" i="1" s="1"/>
  <c r="N669" i="1" s="1"/>
  <c r="K669" i="1"/>
  <c r="M668" i="1"/>
  <c r="N668" i="1" s="1"/>
  <c r="L668" i="1"/>
  <c r="K668" i="1"/>
  <c r="M667" i="1"/>
  <c r="N667" i="1" s="1"/>
  <c r="L667" i="1"/>
  <c r="K667" i="1"/>
  <c r="L666" i="1"/>
  <c r="M666" i="1" s="1"/>
  <c r="N666" i="1" s="1"/>
  <c r="K666" i="1"/>
  <c r="M665" i="1"/>
  <c r="N665" i="1" s="1"/>
  <c r="L665" i="1"/>
  <c r="K665" i="1"/>
  <c r="N664" i="1"/>
  <c r="L664" i="1"/>
  <c r="K664" i="1"/>
  <c r="M664" i="1" s="1"/>
  <c r="L663" i="1"/>
  <c r="K663" i="1"/>
  <c r="M663" i="1" s="1"/>
  <c r="N663" i="1" s="1"/>
  <c r="N662" i="1"/>
  <c r="L662" i="1"/>
  <c r="K662" i="1"/>
  <c r="M662" i="1" s="1"/>
  <c r="L661" i="1"/>
  <c r="M661" i="1" s="1"/>
  <c r="N661" i="1" s="1"/>
  <c r="K661" i="1"/>
  <c r="M660" i="1"/>
  <c r="N660" i="1" s="1"/>
  <c r="L660" i="1"/>
  <c r="K660" i="1"/>
  <c r="M659" i="1"/>
  <c r="N659" i="1" s="1"/>
  <c r="L659" i="1"/>
  <c r="K659" i="1"/>
  <c r="L658" i="1"/>
  <c r="M658" i="1" s="1"/>
  <c r="N658" i="1" s="1"/>
  <c r="K658" i="1"/>
  <c r="M657" i="1"/>
  <c r="N657" i="1" s="1"/>
  <c r="L657" i="1"/>
  <c r="K657" i="1"/>
  <c r="N656" i="1"/>
  <c r="M656" i="1"/>
  <c r="L656" i="1"/>
  <c r="K656" i="1"/>
  <c r="M655" i="1"/>
  <c r="N655" i="1" s="1"/>
  <c r="L655" i="1"/>
  <c r="K655" i="1"/>
  <c r="M654" i="1"/>
  <c r="N654" i="1" s="1"/>
  <c r="L654" i="1"/>
  <c r="K654" i="1"/>
  <c r="M653" i="1"/>
  <c r="N653" i="1" s="1"/>
  <c r="L653" i="1"/>
  <c r="K653" i="1"/>
  <c r="N652" i="1"/>
  <c r="L652" i="1"/>
  <c r="M652" i="1" s="1"/>
  <c r="K652" i="1"/>
  <c r="L651" i="1"/>
  <c r="M651" i="1" s="1"/>
  <c r="N651" i="1" s="1"/>
  <c r="K651" i="1"/>
  <c r="N650" i="1"/>
  <c r="L650" i="1"/>
  <c r="K650" i="1"/>
  <c r="M650" i="1" s="1"/>
  <c r="L649" i="1"/>
  <c r="K649" i="1"/>
  <c r="M649" i="1" s="1"/>
  <c r="N649" i="1" s="1"/>
  <c r="L648" i="1"/>
  <c r="M648" i="1" s="1"/>
  <c r="N648" i="1" s="1"/>
  <c r="K648" i="1"/>
  <c r="L647" i="1"/>
  <c r="M647" i="1" s="1"/>
  <c r="N647" i="1" s="1"/>
  <c r="K647" i="1"/>
  <c r="M646" i="1"/>
  <c r="N646" i="1" s="1"/>
  <c r="L646" i="1"/>
  <c r="K646" i="1"/>
  <c r="M645" i="1"/>
  <c r="N645" i="1" s="1"/>
  <c r="L645" i="1"/>
  <c r="K645" i="1"/>
  <c r="M644" i="1"/>
  <c r="N644" i="1" s="1"/>
  <c r="L644" i="1"/>
  <c r="K644" i="1"/>
  <c r="N643" i="1"/>
  <c r="M643" i="1"/>
  <c r="L643" i="1"/>
  <c r="K643" i="1"/>
  <c r="L642" i="1"/>
  <c r="K642" i="1"/>
  <c r="M642" i="1" s="1"/>
  <c r="N642" i="1" s="1"/>
  <c r="L641" i="1"/>
  <c r="M641" i="1" s="1"/>
  <c r="N641" i="1" s="1"/>
  <c r="K641" i="1"/>
  <c r="N640" i="1"/>
  <c r="M640" i="1"/>
  <c r="L640" i="1"/>
  <c r="K640" i="1"/>
  <c r="M639" i="1"/>
  <c r="N639" i="1" s="1"/>
  <c r="L639" i="1"/>
  <c r="K639" i="1"/>
  <c r="L638" i="1"/>
  <c r="M638" i="1" s="1"/>
  <c r="N638" i="1" s="1"/>
  <c r="K638" i="1"/>
  <c r="M637" i="1"/>
  <c r="N637" i="1" s="1"/>
  <c r="L637" i="1"/>
  <c r="K637" i="1"/>
  <c r="L636" i="1"/>
  <c r="K636" i="1"/>
  <c r="M636" i="1" s="1"/>
  <c r="N636" i="1" s="1"/>
  <c r="L635" i="1"/>
  <c r="M635" i="1" s="1"/>
  <c r="N635" i="1" s="1"/>
  <c r="K635" i="1"/>
  <c r="L634" i="1"/>
  <c r="M634" i="1" s="1"/>
  <c r="N634" i="1" s="1"/>
  <c r="K634" i="1"/>
  <c r="M633" i="1"/>
  <c r="N633" i="1" s="1"/>
  <c r="L633" i="1"/>
  <c r="K633" i="1"/>
  <c r="M632" i="1"/>
  <c r="N632" i="1" s="1"/>
  <c r="L632" i="1"/>
  <c r="K632" i="1"/>
  <c r="L631" i="1"/>
  <c r="K631" i="1"/>
  <c r="M631" i="1" s="1"/>
  <c r="N631" i="1" s="1"/>
  <c r="L630" i="1"/>
  <c r="M630" i="1" s="1"/>
  <c r="N630" i="1" s="1"/>
  <c r="K630" i="1"/>
  <c r="L629" i="1"/>
  <c r="M629" i="1" s="1"/>
  <c r="N629" i="1" s="1"/>
  <c r="K629" i="1"/>
  <c r="L628" i="1"/>
  <c r="K628" i="1"/>
  <c r="M628" i="1" s="1"/>
  <c r="N628" i="1" s="1"/>
  <c r="L627" i="1"/>
  <c r="M627" i="1" s="1"/>
  <c r="N627" i="1" s="1"/>
  <c r="K627" i="1"/>
  <c r="M626" i="1"/>
  <c r="N626" i="1" s="1"/>
  <c r="L626" i="1"/>
  <c r="K626" i="1"/>
  <c r="L625" i="1"/>
  <c r="K625" i="1"/>
  <c r="L624" i="1"/>
  <c r="M624" i="1" s="1"/>
  <c r="N624" i="1" s="1"/>
  <c r="K624" i="1"/>
  <c r="M623" i="1"/>
  <c r="N623" i="1" s="1"/>
  <c r="L623" i="1"/>
  <c r="K623" i="1"/>
  <c r="L622" i="1"/>
  <c r="K622" i="1"/>
  <c r="L621" i="1"/>
  <c r="K621" i="1"/>
  <c r="M621" i="1" s="1"/>
  <c r="N621" i="1" s="1"/>
  <c r="L620" i="1"/>
  <c r="K620" i="1"/>
  <c r="M620" i="1" s="1"/>
  <c r="N620" i="1" s="1"/>
  <c r="L619" i="1"/>
  <c r="M619" i="1" s="1"/>
  <c r="N619" i="1" s="1"/>
  <c r="K619" i="1"/>
  <c r="L618" i="1"/>
  <c r="K618" i="1"/>
  <c r="L617" i="1"/>
  <c r="M617" i="1" s="1"/>
  <c r="N617" i="1" s="1"/>
  <c r="K617" i="1"/>
  <c r="L616" i="1"/>
  <c r="M616" i="1" s="1"/>
  <c r="N616" i="1" s="1"/>
  <c r="K616" i="1"/>
  <c r="M615" i="1"/>
  <c r="N615" i="1" s="1"/>
  <c r="L615" i="1"/>
  <c r="K615" i="1"/>
  <c r="L614" i="1"/>
  <c r="K614" i="1"/>
  <c r="M614" i="1" s="1"/>
  <c r="N614" i="1" s="1"/>
  <c r="L613" i="1"/>
  <c r="K613" i="1"/>
  <c r="M613" i="1" s="1"/>
  <c r="N613" i="1" s="1"/>
  <c r="L612" i="1"/>
  <c r="K612" i="1"/>
  <c r="L611" i="1"/>
  <c r="K611" i="1"/>
  <c r="M610" i="1"/>
  <c r="N610" i="1" s="1"/>
  <c r="L610" i="1"/>
  <c r="K610" i="1"/>
  <c r="L609" i="1"/>
  <c r="K609" i="1"/>
  <c r="M609" i="1" s="1"/>
  <c r="N609" i="1" s="1"/>
  <c r="L608" i="1"/>
  <c r="M608" i="1" s="1"/>
  <c r="N608" i="1" s="1"/>
  <c r="K608" i="1"/>
  <c r="L607" i="1"/>
  <c r="K607" i="1"/>
  <c r="M607" i="1" s="1"/>
  <c r="N607" i="1" s="1"/>
  <c r="L606" i="1"/>
  <c r="M606" i="1" s="1"/>
  <c r="N606" i="1" s="1"/>
  <c r="K606" i="1"/>
  <c r="L605" i="1"/>
  <c r="M605" i="1" s="1"/>
  <c r="N605" i="1" s="1"/>
  <c r="K605" i="1"/>
  <c r="L604" i="1"/>
  <c r="M604" i="1" s="1"/>
  <c r="N604" i="1" s="1"/>
  <c r="K604" i="1"/>
  <c r="L603" i="1"/>
  <c r="K603" i="1"/>
  <c r="M603" i="1" s="1"/>
  <c r="N603" i="1" s="1"/>
  <c r="L602" i="1"/>
  <c r="M602" i="1" s="1"/>
  <c r="N602" i="1" s="1"/>
  <c r="K602" i="1"/>
  <c r="L601" i="1"/>
  <c r="M601" i="1" s="1"/>
  <c r="N601" i="1" s="1"/>
  <c r="K601" i="1"/>
  <c r="L600" i="1"/>
  <c r="K600" i="1"/>
  <c r="M600" i="1" s="1"/>
  <c r="N600" i="1" s="1"/>
  <c r="L599" i="1"/>
  <c r="K599" i="1"/>
  <c r="L598" i="1"/>
  <c r="M598" i="1" s="1"/>
  <c r="N598" i="1" s="1"/>
  <c r="K598" i="1"/>
  <c r="L597" i="1"/>
  <c r="M597" i="1" s="1"/>
  <c r="N597" i="1" s="1"/>
  <c r="K597" i="1"/>
  <c r="M596" i="1"/>
  <c r="N596" i="1" s="1"/>
  <c r="L596" i="1"/>
  <c r="K596" i="1"/>
  <c r="M595" i="1"/>
  <c r="N595" i="1" s="1"/>
  <c r="L595" i="1"/>
  <c r="K595" i="1"/>
  <c r="M594" i="1"/>
  <c r="N594" i="1" s="1"/>
  <c r="L594" i="1"/>
  <c r="K594" i="1"/>
  <c r="L593" i="1"/>
  <c r="K593" i="1"/>
  <c r="M593" i="1" s="1"/>
  <c r="N593" i="1" s="1"/>
  <c r="L592" i="1"/>
  <c r="M592" i="1" s="1"/>
  <c r="N592" i="1" s="1"/>
  <c r="K592" i="1"/>
  <c r="L591" i="1"/>
  <c r="M591" i="1" s="1"/>
  <c r="N591" i="1" s="1"/>
  <c r="K591" i="1"/>
  <c r="L590" i="1"/>
  <c r="K590" i="1"/>
  <c r="M590" i="1" s="1"/>
  <c r="N590" i="1" s="1"/>
  <c r="L589" i="1"/>
  <c r="M589" i="1" s="1"/>
  <c r="N589" i="1" s="1"/>
  <c r="K589" i="1"/>
  <c r="L588" i="1"/>
  <c r="M588" i="1" s="1"/>
  <c r="N588" i="1" s="1"/>
  <c r="K588" i="1"/>
  <c r="L587" i="1"/>
  <c r="M587" i="1" s="1"/>
  <c r="N587" i="1" s="1"/>
  <c r="K587" i="1"/>
  <c r="L586" i="1"/>
  <c r="K586" i="1"/>
  <c r="M586" i="1" s="1"/>
  <c r="N586" i="1" s="1"/>
  <c r="L585" i="1"/>
  <c r="K585" i="1"/>
  <c r="L584" i="1"/>
  <c r="M584" i="1" s="1"/>
  <c r="N584" i="1" s="1"/>
  <c r="K584" i="1"/>
  <c r="L583" i="1"/>
  <c r="K583" i="1"/>
  <c r="M583" i="1" s="1"/>
  <c r="N583" i="1" s="1"/>
  <c r="L582" i="1"/>
  <c r="M582" i="1" s="1"/>
  <c r="N582" i="1" s="1"/>
  <c r="K582" i="1"/>
  <c r="L581" i="1"/>
  <c r="M581" i="1" s="1"/>
  <c r="N581" i="1" s="1"/>
  <c r="K581" i="1"/>
  <c r="M580" i="1"/>
  <c r="N580" i="1" s="1"/>
  <c r="L580" i="1"/>
  <c r="K580" i="1"/>
  <c r="M579" i="1"/>
  <c r="N579" i="1" s="1"/>
  <c r="L579" i="1"/>
  <c r="K579" i="1"/>
  <c r="L578" i="1"/>
  <c r="M578" i="1" s="1"/>
  <c r="N578" i="1" s="1"/>
  <c r="K578" i="1"/>
  <c r="L577" i="1"/>
  <c r="K577" i="1"/>
  <c r="M577" i="1" s="1"/>
  <c r="N577" i="1" s="1"/>
  <c r="L576" i="1"/>
  <c r="M576" i="1" s="1"/>
  <c r="N576" i="1" s="1"/>
  <c r="K576" i="1"/>
  <c r="L575" i="1"/>
  <c r="K575" i="1"/>
  <c r="L574" i="1"/>
  <c r="M574" i="1" s="1"/>
  <c r="N574" i="1" s="1"/>
  <c r="K574" i="1"/>
  <c r="L573" i="1"/>
  <c r="M573" i="1" s="1"/>
  <c r="N573" i="1" s="1"/>
  <c r="K573" i="1"/>
  <c r="M572" i="1"/>
  <c r="N572" i="1" s="1"/>
  <c r="L572" i="1"/>
  <c r="K572" i="1"/>
  <c r="L571" i="1"/>
  <c r="M571" i="1" s="1"/>
  <c r="N571" i="1" s="1"/>
  <c r="K571" i="1"/>
  <c r="L570" i="1"/>
  <c r="K570" i="1"/>
  <c r="M570" i="1" s="1"/>
  <c r="N570" i="1" s="1"/>
  <c r="L569" i="1"/>
  <c r="M569" i="1" s="1"/>
  <c r="N569" i="1" s="1"/>
  <c r="K569" i="1"/>
  <c r="L568" i="1"/>
  <c r="K568" i="1"/>
  <c r="L567" i="1"/>
  <c r="M567" i="1" s="1"/>
  <c r="N567" i="1" s="1"/>
  <c r="K567" i="1"/>
  <c r="M566" i="1"/>
  <c r="N566" i="1" s="1"/>
  <c r="L566" i="1"/>
  <c r="K566" i="1"/>
  <c r="N565" i="1"/>
  <c r="L565" i="1"/>
  <c r="M565" i="1" s="1"/>
  <c r="K565" i="1"/>
  <c r="N564" i="1"/>
  <c r="L564" i="1"/>
  <c r="K564" i="1"/>
  <c r="M564" i="1" s="1"/>
  <c r="L563" i="1"/>
  <c r="K563" i="1"/>
  <c r="M562" i="1"/>
  <c r="N562" i="1" s="1"/>
  <c r="L562" i="1"/>
  <c r="K562" i="1"/>
  <c r="L561" i="1"/>
  <c r="M561" i="1" s="1"/>
  <c r="N561" i="1" s="1"/>
  <c r="K561" i="1"/>
  <c r="L560" i="1"/>
  <c r="M560" i="1" s="1"/>
  <c r="N560" i="1" s="1"/>
  <c r="K560" i="1"/>
  <c r="M559" i="1"/>
  <c r="N559" i="1" s="1"/>
  <c r="L559" i="1"/>
  <c r="K559" i="1"/>
  <c r="N558" i="1"/>
  <c r="L558" i="1"/>
  <c r="M558" i="1" s="1"/>
  <c r="K558" i="1"/>
  <c r="L557" i="1"/>
  <c r="M557" i="1" s="1"/>
  <c r="N557" i="1" s="1"/>
  <c r="K557" i="1"/>
  <c r="L556" i="1"/>
  <c r="M556" i="1" s="1"/>
  <c r="N556" i="1" s="1"/>
  <c r="K556" i="1"/>
  <c r="M555" i="1"/>
  <c r="N555" i="1" s="1"/>
  <c r="L555" i="1"/>
  <c r="K555" i="1"/>
  <c r="M554" i="1"/>
  <c r="N554" i="1" s="1"/>
  <c r="L554" i="1"/>
  <c r="K554" i="1"/>
  <c r="M553" i="1"/>
  <c r="N553" i="1" s="1"/>
  <c r="L553" i="1"/>
  <c r="K553" i="1"/>
  <c r="L552" i="1"/>
  <c r="K552" i="1"/>
  <c r="M552" i="1" s="1"/>
  <c r="N552" i="1" s="1"/>
  <c r="M551" i="1"/>
  <c r="N551" i="1" s="1"/>
  <c r="L551" i="1"/>
  <c r="K551" i="1"/>
  <c r="N550" i="1"/>
  <c r="L550" i="1"/>
  <c r="M550" i="1" s="1"/>
  <c r="K550" i="1"/>
  <c r="L549" i="1"/>
  <c r="M549" i="1" s="1"/>
  <c r="N549" i="1" s="1"/>
  <c r="K549" i="1"/>
  <c r="L548" i="1"/>
  <c r="M548" i="1" s="1"/>
  <c r="N548" i="1" s="1"/>
  <c r="K548" i="1"/>
  <c r="L547" i="1"/>
  <c r="M547" i="1" s="1"/>
  <c r="N547" i="1" s="1"/>
  <c r="K547" i="1"/>
  <c r="L546" i="1"/>
  <c r="K546" i="1"/>
  <c r="M546" i="1" s="1"/>
  <c r="N546" i="1" s="1"/>
  <c r="L545" i="1"/>
  <c r="K545" i="1"/>
  <c r="L544" i="1"/>
  <c r="M544" i="1" s="1"/>
  <c r="N544" i="1" s="1"/>
  <c r="K544" i="1"/>
  <c r="L543" i="1"/>
  <c r="M543" i="1" s="1"/>
  <c r="N543" i="1" s="1"/>
  <c r="K543" i="1"/>
  <c r="L542" i="1"/>
  <c r="M542" i="1" s="1"/>
  <c r="N542" i="1" s="1"/>
  <c r="K542" i="1"/>
  <c r="L541" i="1"/>
  <c r="M541" i="1" s="1"/>
  <c r="N541" i="1" s="1"/>
  <c r="K541" i="1"/>
  <c r="L540" i="1"/>
  <c r="M540" i="1" s="1"/>
  <c r="N540" i="1" s="1"/>
  <c r="K540" i="1"/>
  <c r="M539" i="1"/>
  <c r="N539" i="1" s="1"/>
  <c r="L539" i="1"/>
  <c r="K539" i="1"/>
  <c r="N538" i="1"/>
  <c r="M538" i="1"/>
  <c r="L538" i="1"/>
  <c r="K538" i="1"/>
  <c r="M537" i="1"/>
  <c r="N537" i="1" s="1"/>
  <c r="L537" i="1"/>
  <c r="K537" i="1"/>
  <c r="M536" i="1"/>
  <c r="N536" i="1" s="1"/>
  <c r="L536" i="1"/>
  <c r="K536" i="1"/>
  <c r="L535" i="1"/>
  <c r="M535" i="1" s="1"/>
  <c r="N535" i="1" s="1"/>
  <c r="K535" i="1"/>
  <c r="M534" i="1"/>
  <c r="N534" i="1" s="1"/>
  <c r="L534" i="1"/>
  <c r="K534" i="1"/>
  <c r="L533" i="1"/>
  <c r="M533" i="1" s="1"/>
  <c r="N533" i="1" s="1"/>
  <c r="K533" i="1"/>
  <c r="L532" i="1"/>
  <c r="M532" i="1" s="1"/>
  <c r="N532" i="1" s="1"/>
  <c r="K532" i="1"/>
  <c r="L531" i="1"/>
  <c r="K531" i="1"/>
  <c r="M531" i="1" s="1"/>
  <c r="N531" i="1" s="1"/>
  <c r="L530" i="1"/>
  <c r="M530" i="1" s="1"/>
  <c r="N530" i="1" s="1"/>
  <c r="K530" i="1"/>
  <c r="M529" i="1"/>
  <c r="N529" i="1" s="1"/>
  <c r="L529" i="1"/>
  <c r="K529" i="1"/>
  <c r="L528" i="1"/>
  <c r="M528" i="1" s="1"/>
  <c r="N528" i="1" s="1"/>
  <c r="K528" i="1"/>
  <c r="L527" i="1"/>
  <c r="K527" i="1"/>
  <c r="M526" i="1"/>
  <c r="N526" i="1" s="1"/>
  <c r="L526" i="1"/>
  <c r="K526" i="1"/>
  <c r="M525" i="1"/>
  <c r="N525" i="1" s="1"/>
  <c r="L525" i="1"/>
  <c r="K525" i="1"/>
  <c r="L524" i="1"/>
  <c r="K524" i="1"/>
  <c r="M524" i="1" s="1"/>
  <c r="N524" i="1" s="1"/>
  <c r="M523" i="1"/>
  <c r="N523" i="1" s="1"/>
  <c r="L523" i="1"/>
  <c r="K523" i="1"/>
  <c r="L522" i="1"/>
  <c r="K522" i="1"/>
  <c r="L521" i="1"/>
  <c r="M521" i="1" s="1"/>
  <c r="N521" i="1" s="1"/>
  <c r="K521" i="1"/>
  <c r="M520" i="1"/>
  <c r="N520" i="1" s="1"/>
  <c r="L520" i="1"/>
  <c r="K520" i="1"/>
  <c r="L519" i="1"/>
  <c r="M519" i="1" s="1"/>
  <c r="N519" i="1" s="1"/>
  <c r="K519" i="1"/>
  <c r="L518" i="1"/>
  <c r="K518" i="1"/>
  <c r="M518" i="1" s="1"/>
  <c r="N518" i="1" s="1"/>
  <c r="L517" i="1"/>
  <c r="K517" i="1"/>
  <c r="M516" i="1"/>
  <c r="N516" i="1" s="1"/>
  <c r="L516" i="1"/>
  <c r="K516" i="1"/>
  <c r="M515" i="1"/>
  <c r="N515" i="1" s="1"/>
  <c r="L515" i="1"/>
  <c r="K515" i="1"/>
  <c r="L514" i="1"/>
  <c r="M514" i="1" s="1"/>
  <c r="N514" i="1" s="1"/>
  <c r="K514" i="1"/>
  <c r="L513" i="1"/>
  <c r="M513" i="1" s="1"/>
  <c r="N513" i="1" s="1"/>
  <c r="K513" i="1"/>
  <c r="M512" i="1"/>
  <c r="N512" i="1" s="1"/>
  <c r="L512" i="1"/>
  <c r="K512" i="1"/>
  <c r="L511" i="1"/>
  <c r="K511" i="1"/>
  <c r="M511" i="1" s="1"/>
  <c r="N511" i="1" s="1"/>
  <c r="L510" i="1"/>
  <c r="M510" i="1" s="1"/>
  <c r="N510" i="1" s="1"/>
  <c r="K510" i="1"/>
  <c r="M509" i="1"/>
  <c r="N509" i="1" s="1"/>
  <c r="L509" i="1"/>
  <c r="K509" i="1"/>
  <c r="L508" i="1"/>
  <c r="M508" i="1" s="1"/>
  <c r="N508" i="1" s="1"/>
  <c r="K508" i="1"/>
  <c r="L507" i="1"/>
  <c r="M507" i="1" s="1"/>
  <c r="N507" i="1" s="1"/>
  <c r="K507" i="1"/>
  <c r="L506" i="1"/>
  <c r="M506" i="1" s="1"/>
  <c r="N506" i="1" s="1"/>
  <c r="K506" i="1"/>
  <c r="L505" i="1"/>
  <c r="K505" i="1"/>
  <c r="M505" i="1" s="1"/>
  <c r="N505" i="1" s="1"/>
  <c r="L504" i="1"/>
  <c r="K504" i="1"/>
  <c r="M504" i="1" s="1"/>
  <c r="N504" i="1" s="1"/>
  <c r="L503" i="1"/>
  <c r="K503" i="1"/>
  <c r="M502" i="1"/>
  <c r="N502" i="1" s="1"/>
  <c r="L502" i="1"/>
  <c r="K502" i="1"/>
  <c r="M501" i="1"/>
  <c r="N501" i="1" s="1"/>
  <c r="L501" i="1"/>
  <c r="K501" i="1"/>
  <c r="L500" i="1"/>
  <c r="M500" i="1" s="1"/>
  <c r="N500" i="1" s="1"/>
  <c r="K500" i="1"/>
  <c r="L499" i="1"/>
  <c r="M499" i="1" s="1"/>
  <c r="N499" i="1" s="1"/>
  <c r="K499" i="1"/>
  <c r="L498" i="1"/>
  <c r="K498" i="1"/>
  <c r="M498" i="1" s="1"/>
  <c r="N498" i="1" s="1"/>
  <c r="L497" i="1"/>
  <c r="K497" i="1"/>
  <c r="M497" i="1" s="1"/>
  <c r="N497" i="1" s="1"/>
  <c r="L496" i="1"/>
  <c r="M496" i="1" s="1"/>
  <c r="N496" i="1" s="1"/>
  <c r="K496" i="1"/>
  <c r="M495" i="1"/>
  <c r="N495" i="1" s="1"/>
  <c r="L495" i="1"/>
  <c r="K495" i="1"/>
  <c r="N494" i="1"/>
  <c r="L494" i="1"/>
  <c r="M494" i="1" s="1"/>
  <c r="K494" i="1"/>
  <c r="N493" i="1"/>
  <c r="M493" i="1"/>
  <c r="L493" i="1"/>
  <c r="K493" i="1"/>
  <c r="N492" i="1"/>
  <c r="L492" i="1"/>
  <c r="K492" i="1"/>
  <c r="M492" i="1" s="1"/>
  <c r="L491" i="1"/>
  <c r="K491" i="1"/>
  <c r="N490" i="1"/>
  <c r="L490" i="1"/>
  <c r="K490" i="1"/>
  <c r="M490" i="1" s="1"/>
  <c r="L489" i="1"/>
  <c r="M489" i="1" s="1"/>
  <c r="N489" i="1" s="1"/>
  <c r="K489" i="1"/>
  <c r="L488" i="1"/>
  <c r="K488" i="1"/>
  <c r="L487" i="1"/>
  <c r="K487" i="1"/>
  <c r="M486" i="1"/>
  <c r="N486" i="1" s="1"/>
  <c r="L486" i="1"/>
  <c r="K486" i="1"/>
  <c r="L485" i="1"/>
  <c r="K485" i="1"/>
  <c r="M485" i="1" s="1"/>
  <c r="N485" i="1" s="1"/>
  <c r="M484" i="1"/>
  <c r="N484" i="1" s="1"/>
  <c r="L484" i="1"/>
  <c r="K484" i="1"/>
  <c r="L483" i="1"/>
  <c r="K483" i="1"/>
  <c r="M482" i="1"/>
  <c r="N482" i="1" s="1"/>
  <c r="L482" i="1"/>
  <c r="K482" i="1"/>
  <c r="L481" i="1"/>
  <c r="M481" i="1" s="1"/>
  <c r="N481" i="1" s="1"/>
  <c r="K481" i="1"/>
  <c r="L480" i="1"/>
  <c r="M480" i="1" s="1"/>
  <c r="N480" i="1" s="1"/>
  <c r="K480" i="1"/>
  <c r="L479" i="1"/>
  <c r="K479" i="1"/>
  <c r="M479" i="1" s="1"/>
  <c r="N479" i="1" s="1"/>
  <c r="L478" i="1"/>
  <c r="M478" i="1" s="1"/>
  <c r="N478" i="1" s="1"/>
  <c r="K478" i="1"/>
  <c r="M477" i="1"/>
  <c r="N477" i="1" s="1"/>
  <c r="L477" i="1"/>
  <c r="K477" i="1"/>
  <c r="N476" i="1"/>
  <c r="L476" i="1"/>
  <c r="M476" i="1" s="1"/>
  <c r="K476" i="1"/>
  <c r="M475" i="1"/>
  <c r="N475" i="1" s="1"/>
  <c r="L475" i="1"/>
  <c r="K475" i="1"/>
  <c r="M474" i="1"/>
  <c r="N474" i="1" s="1"/>
  <c r="L474" i="1"/>
  <c r="K474" i="1"/>
  <c r="L473" i="1"/>
  <c r="K473" i="1"/>
  <c r="M473" i="1" s="1"/>
  <c r="N473" i="1" s="1"/>
  <c r="L472" i="1"/>
  <c r="M472" i="1" s="1"/>
  <c r="N472" i="1" s="1"/>
  <c r="K472" i="1"/>
  <c r="L471" i="1"/>
  <c r="M471" i="1" s="1"/>
  <c r="N471" i="1" s="1"/>
  <c r="K471" i="1"/>
  <c r="M470" i="1"/>
  <c r="N470" i="1" s="1"/>
  <c r="L470" i="1"/>
  <c r="K470" i="1"/>
  <c r="L469" i="1"/>
  <c r="M469" i="1" s="1"/>
  <c r="N469" i="1" s="1"/>
  <c r="K469" i="1"/>
  <c r="L468" i="1"/>
  <c r="M468" i="1" s="1"/>
  <c r="N468" i="1" s="1"/>
  <c r="K468" i="1"/>
  <c r="L467" i="1"/>
  <c r="K467" i="1"/>
  <c r="M467" i="1" s="1"/>
  <c r="N467" i="1" s="1"/>
  <c r="L466" i="1"/>
  <c r="M466" i="1" s="1"/>
  <c r="N466" i="1" s="1"/>
  <c r="K466" i="1"/>
  <c r="N465" i="1"/>
  <c r="L465" i="1"/>
  <c r="K465" i="1"/>
  <c r="M465" i="1" s="1"/>
  <c r="L464" i="1"/>
  <c r="M464" i="1" s="1"/>
  <c r="N464" i="1" s="1"/>
  <c r="K464" i="1"/>
  <c r="L463" i="1"/>
  <c r="K463" i="1"/>
  <c r="L462" i="1"/>
  <c r="M462" i="1" s="1"/>
  <c r="N462" i="1" s="1"/>
  <c r="K462" i="1"/>
  <c r="L461" i="1"/>
  <c r="K461" i="1"/>
  <c r="M461" i="1" s="1"/>
  <c r="N461" i="1" s="1"/>
  <c r="L460" i="1"/>
  <c r="M460" i="1" s="1"/>
  <c r="N460" i="1" s="1"/>
  <c r="K460" i="1"/>
  <c r="M459" i="1"/>
  <c r="N459" i="1" s="1"/>
  <c r="L459" i="1"/>
  <c r="K459" i="1"/>
  <c r="L458" i="1"/>
  <c r="K458" i="1"/>
  <c r="M457" i="1"/>
  <c r="N457" i="1" s="1"/>
  <c r="L457" i="1"/>
  <c r="K457" i="1"/>
  <c r="L456" i="1"/>
  <c r="M456" i="1" s="1"/>
  <c r="N456" i="1" s="1"/>
  <c r="K456" i="1"/>
  <c r="L455" i="1"/>
  <c r="K455" i="1"/>
  <c r="M455" i="1" s="1"/>
  <c r="N455" i="1" s="1"/>
  <c r="L454" i="1"/>
  <c r="M454" i="1" s="1"/>
  <c r="N454" i="1" s="1"/>
  <c r="K454" i="1"/>
  <c r="L453" i="1"/>
  <c r="M453" i="1" s="1"/>
  <c r="N453" i="1" s="1"/>
  <c r="K453" i="1"/>
  <c r="M452" i="1"/>
  <c r="N452" i="1" s="1"/>
  <c r="L452" i="1"/>
  <c r="K452" i="1"/>
  <c r="N451" i="1"/>
  <c r="L451" i="1"/>
  <c r="M451" i="1" s="1"/>
  <c r="K451" i="1"/>
  <c r="M450" i="1"/>
  <c r="N450" i="1" s="1"/>
  <c r="L450" i="1"/>
  <c r="K450" i="1"/>
  <c r="L449" i="1"/>
  <c r="K449" i="1"/>
  <c r="M449" i="1" s="1"/>
  <c r="N449" i="1" s="1"/>
  <c r="M448" i="1"/>
  <c r="N448" i="1" s="1"/>
  <c r="L448" i="1"/>
  <c r="K448" i="1"/>
  <c r="L447" i="1"/>
  <c r="M447" i="1" s="1"/>
  <c r="N447" i="1" s="1"/>
  <c r="K447" i="1"/>
  <c r="L446" i="1"/>
  <c r="M446" i="1" s="1"/>
  <c r="N446" i="1" s="1"/>
  <c r="K446" i="1"/>
  <c r="M445" i="1"/>
  <c r="N445" i="1" s="1"/>
  <c r="L445" i="1"/>
  <c r="K445" i="1"/>
  <c r="L444" i="1"/>
  <c r="M444" i="1" s="1"/>
  <c r="N444" i="1" s="1"/>
  <c r="K444" i="1"/>
  <c r="L443" i="1"/>
  <c r="K443" i="1"/>
  <c r="M443" i="1" s="1"/>
  <c r="N443" i="1" s="1"/>
  <c r="M442" i="1"/>
  <c r="N442" i="1" s="1"/>
  <c r="L442" i="1"/>
  <c r="K442" i="1"/>
  <c r="M441" i="1"/>
  <c r="N441" i="1" s="1"/>
  <c r="L441" i="1"/>
  <c r="K441" i="1"/>
  <c r="N440" i="1"/>
  <c r="L440" i="1"/>
  <c r="K440" i="1"/>
  <c r="M440" i="1" s="1"/>
  <c r="L439" i="1"/>
  <c r="M439" i="1" s="1"/>
  <c r="N439" i="1" s="1"/>
  <c r="K439" i="1"/>
  <c r="N438" i="1"/>
  <c r="L438" i="1"/>
  <c r="M438" i="1" s="1"/>
  <c r="K438" i="1"/>
  <c r="L437" i="1"/>
  <c r="K437" i="1"/>
  <c r="M437" i="1" s="1"/>
  <c r="N437" i="1" s="1"/>
  <c r="L436" i="1"/>
  <c r="M436" i="1" s="1"/>
  <c r="N436" i="1" s="1"/>
  <c r="K436" i="1"/>
  <c r="L435" i="1"/>
  <c r="M435" i="1" s="1"/>
  <c r="N435" i="1" s="1"/>
  <c r="K435" i="1"/>
  <c r="M434" i="1"/>
  <c r="N434" i="1" s="1"/>
  <c r="L434" i="1"/>
  <c r="K434" i="1"/>
  <c r="L433" i="1"/>
  <c r="M433" i="1" s="1"/>
  <c r="N433" i="1" s="1"/>
  <c r="K433" i="1"/>
  <c r="M432" i="1"/>
  <c r="N432" i="1" s="1"/>
  <c r="L432" i="1"/>
  <c r="K432" i="1"/>
  <c r="M431" i="1"/>
  <c r="N431" i="1" s="1"/>
  <c r="L431" i="1"/>
  <c r="K431" i="1"/>
  <c r="M430" i="1"/>
  <c r="N430" i="1" s="1"/>
  <c r="L430" i="1"/>
  <c r="K430" i="1"/>
  <c r="L429" i="1"/>
  <c r="K429" i="1"/>
  <c r="M429" i="1" s="1"/>
  <c r="N429" i="1" s="1"/>
  <c r="L428" i="1"/>
  <c r="M428" i="1" s="1"/>
  <c r="N428" i="1" s="1"/>
  <c r="K428" i="1"/>
  <c r="M427" i="1"/>
  <c r="N427" i="1" s="1"/>
  <c r="L427" i="1"/>
  <c r="K427" i="1"/>
  <c r="L426" i="1"/>
  <c r="M426" i="1" s="1"/>
  <c r="N426" i="1" s="1"/>
  <c r="K426" i="1"/>
  <c r="M425" i="1"/>
  <c r="N425" i="1" s="1"/>
  <c r="L425" i="1"/>
  <c r="K425" i="1"/>
  <c r="M424" i="1"/>
  <c r="N424" i="1" s="1"/>
  <c r="L424" i="1"/>
  <c r="K424" i="1"/>
  <c r="M423" i="1"/>
  <c r="N423" i="1" s="1"/>
  <c r="L423" i="1"/>
  <c r="K423" i="1"/>
  <c r="L422" i="1"/>
  <c r="K422" i="1"/>
  <c r="M422" i="1" s="1"/>
  <c r="N422" i="1" s="1"/>
  <c r="L421" i="1"/>
  <c r="M421" i="1" s="1"/>
  <c r="N421" i="1" s="1"/>
  <c r="K421" i="1"/>
  <c r="M420" i="1"/>
  <c r="N420" i="1" s="1"/>
  <c r="L420" i="1"/>
  <c r="K420" i="1"/>
  <c r="L419" i="1"/>
  <c r="K419" i="1"/>
  <c r="M419" i="1" s="1"/>
  <c r="N419" i="1" s="1"/>
  <c r="L418" i="1"/>
  <c r="K418" i="1"/>
  <c r="L417" i="1"/>
  <c r="M417" i="1" s="1"/>
  <c r="N417" i="1" s="1"/>
  <c r="K417" i="1"/>
  <c r="N416" i="1"/>
  <c r="M416" i="1"/>
  <c r="L416" i="1"/>
  <c r="K416" i="1"/>
  <c r="N415" i="1"/>
  <c r="L415" i="1"/>
  <c r="K415" i="1"/>
  <c r="M415" i="1" s="1"/>
  <c r="L414" i="1"/>
  <c r="M414" i="1" s="1"/>
  <c r="N414" i="1" s="1"/>
  <c r="K414" i="1"/>
  <c r="L413" i="1"/>
  <c r="K413" i="1"/>
  <c r="M413" i="1" s="1"/>
  <c r="N413" i="1" s="1"/>
  <c r="L412" i="1"/>
  <c r="M412" i="1" s="1"/>
  <c r="N412" i="1" s="1"/>
  <c r="K412" i="1"/>
  <c r="L411" i="1"/>
  <c r="M411" i="1" s="1"/>
  <c r="N411" i="1" s="1"/>
  <c r="K411" i="1"/>
  <c r="N410" i="1"/>
  <c r="M410" i="1"/>
  <c r="L410" i="1"/>
  <c r="K410" i="1"/>
  <c r="M409" i="1"/>
  <c r="N409" i="1" s="1"/>
  <c r="L409" i="1"/>
  <c r="K409" i="1"/>
  <c r="L408" i="1"/>
  <c r="M408" i="1" s="1"/>
  <c r="N408" i="1" s="1"/>
  <c r="K408" i="1"/>
  <c r="M407" i="1"/>
  <c r="N407" i="1" s="1"/>
  <c r="L407" i="1"/>
  <c r="K407" i="1"/>
  <c r="M406" i="1"/>
  <c r="N406" i="1" s="1"/>
  <c r="L406" i="1"/>
  <c r="K406" i="1"/>
  <c r="N405" i="1"/>
  <c r="L405" i="1"/>
  <c r="M405" i="1" s="1"/>
  <c r="K405" i="1"/>
  <c r="N404" i="1"/>
  <c r="L404" i="1"/>
  <c r="M404" i="1" s="1"/>
  <c r="K404" i="1"/>
  <c r="L403" i="1"/>
  <c r="M403" i="1" s="1"/>
  <c r="N403" i="1" s="1"/>
  <c r="K403" i="1"/>
  <c r="M402" i="1"/>
  <c r="N402" i="1" s="1"/>
  <c r="L402" i="1"/>
  <c r="K402" i="1"/>
  <c r="M401" i="1"/>
  <c r="N401" i="1" s="1"/>
  <c r="L401" i="1"/>
  <c r="K401" i="1"/>
  <c r="L400" i="1"/>
  <c r="M400" i="1" s="1"/>
  <c r="N400" i="1" s="1"/>
  <c r="K400" i="1"/>
  <c r="L399" i="1"/>
  <c r="M399" i="1" s="1"/>
  <c r="N399" i="1" s="1"/>
  <c r="K399" i="1"/>
  <c r="L398" i="1"/>
  <c r="K398" i="1"/>
  <c r="L397" i="1"/>
  <c r="M397" i="1" s="1"/>
  <c r="N397" i="1" s="1"/>
  <c r="K397" i="1"/>
  <c r="L396" i="1"/>
  <c r="M396" i="1" s="1"/>
  <c r="N396" i="1" s="1"/>
  <c r="K396" i="1"/>
  <c r="M395" i="1"/>
  <c r="N395" i="1" s="1"/>
  <c r="L395" i="1"/>
  <c r="K395" i="1"/>
  <c r="L394" i="1"/>
  <c r="K394" i="1"/>
  <c r="L393" i="1"/>
  <c r="K393" i="1"/>
  <c r="L392" i="1"/>
  <c r="K392" i="1"/>
  <c r="M392" i="1" s="1"/>
  <c r="N392" i="1" s="1"/>
  <c r="L391" i="1"/>
  <c r="M391" i="1" s="1"/>
  <c r="N391" i="1" s="1"/>
  <c r="K391" i="1"/>
  <c r="N390" i="1"/>
  <c r="M390" i="1"/>
  <c r="L390" i="1"/>
  <c r="K390" i="1"/>
  <c r="L389" i="1"/>
  <c r="K389" i="1"/>
  <c r="M389" i="1" s="1"/>
  <c r="N389" i="1" s="1"/>
  <c r="L388" i="1"/>
  <c r="K388" i="1"/>
  <c r="M388" i="1" s="1"/>
  <c r="N388" i="1" s="1"/>
  <c r="N387" i="1"/>
  <c r="L387" i="1"/>
  <c r="M387" i="1" s="1"/>
  <c r="K387" i="1"/>
  <c r="M386" i="1"/>
  <c r="N386" i="1" s="1"/>
  <c r="L386" i="1"/>
  <c r="K386" i="1"/>
  <c r="L385" i="1"/>
  <c r="K385" i="1"/>
  <c r="M385" i="1" s="1"/>
  <c r="N385" i="1" s="1"/>
  <c r="M384" i="1"/>
  <c r="N384" i="1" s="1"/>
  <c r="L384" i="1"/>
  <c r="K384" i="1"/>
  <c r="M383" i="1"/>
  <c r="N383" i="1" s="1"/>
  <c r="L383" i="1"/>
  <c r="K383" i="1"/>
  <c r="L382" i="1"/>
  <c r="M382" i="1" s="1"/>
  <c r="N382" i="1" s="1"/>
  <c r="K382" i="1"/>
  <c r="M381" i="1"/>
  <c r="N381" i="1" s="1"/>
  <c r="L381" i="1"/>
  <c r="K381" i="1"/>
  <c r="L380" i="1"/>
  <c r="M380" i="1" s="1"/>
  <c r="N380" i="1" s="1"/>
  <c r="K380" i="1"/>
  <c r="L379" i="1"/>
  <c r="M379" i="1" s="1"/>
  <c r="N379" i="1" s="1"/>
  <c r="K379" i="1"/>
  <c r="L378" i="1"/>
  <c r="M378" i="1" s="1"/>
  <c r="N378" i="1" s="1"/>
  <c r="K378" i="1"/>
  <c r="M377" i="1"/>
  <c r="N377" i="1" s="1"/>
  <c r="L377" i="1"/>
  <c r="K377" i="1"/>
  <c r="M376" i="1"/>
  <c r="N376" i="1" s="1"/>
  <c r="L376" i="1"/>
  <c r="K376" i="1"/>
  <c r="M375" i="1"/>
  <c r="N375" i="1" s="1"/>
  <c r="L375" i="1"/>
  <c r="K375" i="1"/>
  <c r="L374" i="1"/>
  <c r="M374" i="1" s="1"/>
  <c r="N374" i="1" s="1"/>
  <c r="K374" i="1"/>
  <c r="L373" i="1"/>
  <c r="M373" i="1" s="1"/>
  <c r="N373" i="1" s="1"/>
  <c r="K373" i="1"/>
  <c r="L372" i="1"/>
  <c r="M372" i="1" s="1"/>
  <c r="N372" i="1" s="1"/>
  <c r="K372" i="1"/>
  <c r="L371" i="1"/>
  <c r="K371" i="1"/>
  <c r="M371" i="1" s="1"/>
  <c r="N371" i="1" s="1"/>
  <c r="L370" i="1"/>
  <c r="M370" i="1" s="1"/>
  <c r="N370" i="1" s="1"/>
  <c r="K370" i="1"/>
  <c r="L369" i="1"/>
  <c r="K369" i="1"/>
  <c r="L368" i="1"/>
  <c r="K368" i="1"/>
  <c r="M367" i="1"/>
  <c r="N367" i="1" s="1"/>
  <c r="L367" i="1"/>
  <c r="K367" i="1"/>
  <c r="L366" i="1"/>
  <c r="M366" i="1" s="1"/>
  <c r="N366" i="1" s="1"/>
  <c r="K366" i="1"/>
  <c r="M365" i="1"/>
  <c r="N365" i="1" s="1"/>
  <c r="L365" i="1"/>
  <c r="K365" i="1"/>
  <c r="L364" i="1"/>
  <c r="K364" i="1"/>
  <c r="L363" i="1"/>
  <c r="K363" i="1"/>
  <c r="M363" i="1" s="1"/>
  <c r="N363" i="1" s="1"/>
  <c r="L362" i="1"/>
  <c r="K362" i="1"/>
  <c r="L361" i="1"/>
  <c r="K361" i="1"/>
  <c r="M360" i="1"/>
  <c r="N360" i="1" s="1"/>
  <c r="L360" i="1"/>
  <c r="K360" i="1"/>
  <c r="M359" i="1"/>
  <c r="N359" i="1" s="1"/>
  <c r="L359" i="1"/>
  <c r="K359" i="1"/>
  <c r="M358" i="1"/>
  <c r="N358" i="1" s="1"/>
  <c r="L358" i="1"/>
  <c r="K358" i="1"/>
  <c r="N357" i="1"/>
  <c r="L357" i="1"/>
  <c r="M357" i="1" s="1"/>
  <c r="K357" i="1"/>
  <c r="M356" i="1"/>
  <c r="N356" i="1" s="1"/>
  <c r="L356" i="1"/>
  <c r="K356" i="1"/>
  <c r="L355" i="1"/>
  <c r="M355" i="1" s="1"/>
  <c r="N355" i="1" s="1"/>
  <c r="K355" i="1"/>
  <c r="L354" i="1"/>
  <c r="M354" i="1" s="1"/>
  <c r="N354" i="1" s="1"/>
  <c r="K354" i="1"/>
  <c r="M353" i="1"/>
  <c r="N353" i="1" s="1"/>
  <c r="L353" i="1"/>
  <c r="K353" i="1"/>
  <c r="L352" i="1"/>
  <c r="M352" i="1" s="1"/>
  <c r="N352" i="1" s="1"/>
  <c r="K352" i="1"/>
  <c r="M351" i="1"/>
  <c r="N351" i="1" s="1"/>
  <c r="L351" i="1"/>
  <c r="K351" i="1"/>
  <c r="L350" i="1"/>
  <c r="M350" i="1" s="1"/>
  <c r="N350" i="1" s="1"/>
  <c r="K350" i="1"/>
  <c r="L349" i="1"/>
  <c r="M349" i="1" s="1"/>
  <c r="N349" i="1" s="1"/>
  <c r="K349" i="1"/>
  <c r="L348" i="1"/>
  <c r="M348" i="1" s="1"/>
  <c r="N348" i="1" s="1"/>
  <c r="K348" i="1"/>
  <c r="M347" i="1"/>
  <c r="N347" i="1" s="1"/>
  <c r="L347" i="1"/>
  <c r="K347" i="1"/>
  <c r="N346" i="1"/>
  <c r="L346" i="1"/>
  <c r="K346" i="1"/>
  <c r="M346" i="1" s="1"/>
  <c r="L345" i="1"/>
  <c r="M345" i="1" s="1"/>
  <c r="N345" i="1" s="1"/>
  <c r="K345" i="1"/>
  <c r="L344" i="1"/>
  <c r="K344" i="1"/>
  <c r="L343" i="1"/>
  <c r="M343" i="1" s="1"/>
  <c r="N343" i="1" s="1"/>
  <c r="K343" i="1"/>
  <c r="L342" i="1"/>
  <c r="M342" i="1" s="1"/>
  <c r="N342" i="1" s="1"/>
  <c r="K342" i="1"/>
  <c r="L341" i="1"/>
  <c r="K341" i="1"/>
  <c r="M341" i="1" s="1"/>
  <c r="N341" i="1" s="1"/>
  <c r="M340" i="1"/>
  <c r="N340" i="1" s="1"/>
  <c r="L340" i="1"/>
  <c r="K340" i="1"/>
  <c r="L339" i="1"/>
  <c r="K339" i="1"/>
  <c r="M338" i="1"/>
  <c r="N338" i="1" s="1"/>
  <c r="L338" i="1"/>
  <c r="K338" i="1"/>
  <c r="N337" i="1"/>
  <c r="L337" i="1"/>
  <c r="M337" i="1" s="1"/>
  <c r="K337" i="1"/>
  <c r="L336" i="1"/>
  <c r="M336" i="1" s="1"/>
  <c r="N336" i="1" s="1"/>
  <c r="K336" i="1"/>
  <c r="L335" i="1"/>
  <c r="K335" i="1"/>
  <c r="M335" i="1" s="1"/>
  <c r="N335" i="1" s="1"/>
  <c r="L334" i="1"/>
  <c r="M334" i="1" s="1"/>
  <c r="N334" i="1" s="1"/>
  <c r="K334" i="1"/>
  <c r="M333" i="1"/>
  <c r="N333" i="1" s="1"/>
  <c r="L333" i="1"/>
  <c r="K333" i="1"/>
  <c r="L332" i="1"/>
  <c r="M332" i="1" s="1"/>
  <c r="N332" i="1" s="1"/>
  <c r="K332" i="1"/>
  <c r="M331" i="1"/>
  <c r="N331" i="1" s="1"/>
  <c r="L331" i="1"/>
  <c r="K331" i="1"/>
  <c r="N330" i="1"/>
  <c r="M330" i="1"/>
  <c r="L330" i="1"/>
  <c r="K330" i="1"/>
  <c r="M329" i="1"/>
  <c r="N329" i="1" s="1"/>
  <c r="L329" i="1"/>
  <c r="K329" i="1"/>
  <c r="L328" i="1"/>
  <c r="M328" i="1" s="1"/>
  <c r="N328" i="1" s="1"/>
  <c r="K328" i="1"/>
  <c r="L327" i="1"/>
  <c r="M327" i="1" s="1"/>
  <c r="N327" i="1" s="1"/>
  <c r="K327" i="1"/>
  <c r="L326" i="1"/>
  <c r="K326" i="1"/>
  <c r="M326" i="1" s="1"/>
  <c r="N326" i="1" s="1"/>
  <c r="L325" i="1"/>
  <c r="M325" i="1" s="1"/>
  <c r="N325" i="1" s="1"/>
  <c r="K325" i="1"/>
  <c r="L324" i="1"/>
  <c r="M324" i="1" s="1"/>
  <c r="N324" i="1" s="1"/>
  <c r="K324" i="1"/>
  <c r="M323" i="1"/>
  <c r="N323" i="1" s="1"/>
  <c r="L323" i="1"/>
  <c r="K323" i="1"/>
  <c r="L322" i="1"/>
  <c r="M322" i="1" s="1"/>
  <c r="N322" i="1" s="1"/>
  <c r="K322" i="1"/>
  <c r="N321" i="1"/>
  <c r="L321" i="1"/>
  <c r="K321" i="1"/>
  <c r="M321" i="1" s="1"/>
  <c r="L320" i="1"/>
  <c r="M320" i="1" s="1"/>
  <c r="N320" i="1" s="1"/>
  <c r="K320" i="1"/>
  <c r="L319" i="1"/>
  <c r="K319" i="1"/>
  <c r="L318" i="1"/>
  <c r="M318" i="1" s="1"/>
  <c r="N318" i="1" s="1"/>
  <c r="K318" i="1"/>
  <c r="L317" i="1"/>
  <c r="K317" i="1"/>
  <c r="M317" i="1" s="1"/>
  <c r="N317" i="1" s="1"/>
  <c r="L316" i="1"/>
  <c r="K316" i="1"/>
  <c r="N315" i="1"/>
  <c r="M315" i="1"/>
  <c r="L315" i="1"/>
  <c r="K315" i="1"/>
  <c r="L314" i="1"/>
  <c r="K314" i="1"/>
  <c r="M313" i="1"/>
  <c r="N313" i="1" s="1"/>
  <c r="L313" i="1"/>
  <c r="K313" i="1"/>
  <c r="L312" i="1"/>
  <c r="M312" i="1" s="1"/>
  <c r="N312" i="1" s="1"/>
  <c r="K312" i="1"/>
  <c r="L311" i="1"/>
  <c r="K311" i="1"/>
  <c r="M311" i="1" s="1"/>
  <c r="N311" i="1" s="1"/>
  <c r="L310" i="1"/>
  <c r="M310" i="1" s="1"/>
  <c r="N310" i="1" s="1"/>
  <c r="K310" i="1"/>
  <c r="L309" i="1"/>
  <c r="M309" i="1" s="1"/>
  <c r="N309" i="1" s="1"/>
  <c r="K309" i="1"/>
  <c r="M308" i="1"/>
  <c r="N308" i="1" s="1"/>
  <c r="L308" i="1"/>
  <c r="K308" i="1"/>
  <c r="N307" i="1"/>
  <c r="L307" i="1"/>
  <c r="M307" i="1" s="1"/>
  <c r="K307" i="1"/>
  <c r="M306" i="1"/>
  <c r="N306" i="1" s="1"/>
  <c r="L306" i="1"/>
  <c r="K306" i="1"/>
  <c r="L305" i="1"/>
  <c r="M305" i="1" s="1"/>
  <c r="N305" i="1" s="1"/>
  <c r="K305" i="1"/>
  <c r="L304" i="1"/>
  <c r="M304" i="1" s="1"/>
  <c r="N304" i="1" s="1"/>
  <c r="K304" i="1"/>
  <c r="L303" i="1"/>
  <c r="K303" i="1"/>
  <c r="L302" i="1"/>
  <c r="M302" i="1" s="1"/>
  <c r="N302" i="1" s="1"/>
  <c r="K302" i="1"/>
  <c r="M301" i="1"/>
  <c r="N301" i="1" s="1"/>
  <c r="L301" i="1"/>
  <c r="K301" i="1"/>
  <c r="M300" i="1"/>
  <c r="N300" i="1" s="1"/>
  <c r="L300" i="1"/>
  <c r="K300" i="1"/>
  <c r="L299" i="1"/>
  <c r="K299" i="1"/>
  <c r="N298" i="1"/>
  <c r="M298" i="1"/>
  <c r="L298" i="1"/>
  <c r="K298" i="1"/>
  <c r="L297" i="1"/>
  <c r="M297" i="1" s="1"/>
  <c r="N297" i="1" s="1"/>
  <c r="K297" i="1"/>
  <c r="L296" i="1"/>
  <c r="K296" i="1"/>
  <c r="M296" i="1" s="1"/>
  <c r="N296" i="1" s="1"/>
  <c r="L295" i="1"/>
  <c r="M295" i="1" s="1"/>
  <c r="N295" i="1" s="1"/>
  <c r="K295" i="1"/>
  <c r="N294" i="1"/>
  <c r="L294" i="1"/>
  <c r="M294" i="1" s="1"/>
  <c r="K294" i="1"/>
  <c r="L293" i="1"/>
  <c r="K293" i="1"/>
  <c r="M292" i="1"/>
  <c r="N292" i="1" s="1"/>
  <c r="L292" i="1"/>
  <c r="K292" i="1"/>
  <c r="L291" i="1"/>
  <c r="M291" i="1" s="1"/>
  <c r="N291" i="1" s="1"/>
  <c r="K291" i="1"/>
  <c r="M290" i="1"/>
  <c r="N290" i="1" s="1"/>
  <c r="L290" i="1"/>
  <c r="K290" i="1"/>
  <c r="L289" i="1"/>
  <c r="K289" i="1"/>
  <c r="M288" i="1"/>
  <c r="N288" i="1" s="1"/>
  <c r="L288" i="1"/>
  <c r="K288" i="1"/>
  <c r="M287" i="1"/>
  <c r="N287" i="1" s="1"/>
  <c r="L287" i="1"/>
  <c r="K287" i="1"/>
  <c r="L286" i="1"/>
  <c r="M286" i="1" s="1"/>
  <c r="N286" i="1" s="1"/>
  <c r="K286" i="1"/>
  <c r="N285" i="1"/>
  <c r="M285" i="1"/>
  <c r="L285" i="1"/>
  <c r="K285" i="1"/>
  <c r="M284" i="1"/>
  <c r="N284" i="1" s="1"/>
  <c r="L284" i="1"/>
  <c r="K284" i="1"/>
  <c r="M283" i="1"/>
  <c r="N283" i="1" s="1"/>
  <c r="L283" i="1"/>
  <c r="K283" i="1"/>
  <c r="L282" i="1"/>
  <c r="M282" i="1" s="1"/>
  <c r="N282" i="1" s="1"/>
  <c r="K282" i="1"/>
  <c r="L281" i="1"/>
  <c r="M281" i="1" s="1"/>
  <c r="N281" i="1" s="1"/>
  <c r="K281" i="1"/>
  <c r="L280" i="1"/>
  <c r="M280" i="1" s="1"/>
  <c r="N280" i="1" s="1"/>
  <c r="K280" i="1"/>
  <c r="M279" i="1"/>
  <c r="N279" i="1" s="1"/>
  <c r="L279" i="1"/>
  <c r="K279" i="1"/>
  <c r="N278" i="1"/>
  <c r="M278" i="1"/>
  <c r="L278" i="1"/>
  <c r="K278" i="1"/>
  <c r="L277" i="1"/>
  <c r="M277" i="1" s="1"/>
  <c r="N277" i="1" s="1"/>
  <c r="K277" i="1"/>
  <c r="M276" i="1"/>
  <c r="N276" i="1" s="1"/>
  <c r="L276" i="1"/>
  <c r="K276" i="1"/>
  <c r="L275" i="1"/>
  <c r="M275" i="1" s="1"/>
  <c r="N275" i="1" s="1"/>
  <c r="K275" i="1"/>
  <c r="L274" i="1"/>
  <c r="K274" i="1"/>
  <c r="L273" i="1"/>
  <c r="M273" i="1" s="1"/>
  <c r="N273" i="1" s="1"/>
  <c r="K273" i="1"/>
  <c r="M272" i="1"/>
  <c r="N272" i="1" s="1"/>
  <c r="L272" i="1"/>
  <c r="K272" i="1"/>
  <c r="N271" i="1"/>
  <c r="L271" i="1"/>
  <c r="K271" i="1"/>
  <c r="M271" i="1" s="1"/>
  <c r="L270" i="1"/>
  <c r="M270" i="1" s="1"/>
  <c r="N270" i="1" s="1"/>
  <c r="K270" i="1"/>
  <c r="L269" i="1"/>
  <c r="K269" i="1"/>
  <c r="M269" i="1" s="1"/>
  <c r="N269" i="1" s="1"/>
  <c r="N268" i="1"/>
  <c r="L268" i="1"/>
  <c r="M268" i="1" s="1"/>
  <c r="K268" i="1"/>
  <c r="M267" i="1"/>
  <c r="N267" i="1" s="1"/>
  <c r="L267" i="1"/>
  <c r="K267" i="1"/>
  <c r="L266" i="1"/>
  <c r="K266" i="1"/>
  <c r="M266" i="1" s="1"/>
  <c r="N266" i="1" s="1"/>
  <c r="M265" i="1"/>
  <c r="N265" i="1" s="1"/>
  <c r="L265" i="1"/>
  <c r="K265" i="1"/>
  <c r="L264" i="1"/>
  <c r="M264" i="1" s="1"/>
  <c r="N264" i="1" s="1"/>
  <c r="K264" i="1"/>
  <c r="L263" i="1"/>
  <c r="M263" i="1" s="1"/>
  <c r="N263" i="1" s="1"/>
  <c r="K263" i="1"/>
  <c r="N262" i="1"/>
  <c r="M262" i="1"/>
  <c r="L262" i="1"/>
  <c r="K262" i="1"/>
  <c r="N261" i="1"/>
  <c r="M261" i="1"/>
  <c r="L261" i="1"/>
  <c r="K261" i="1"/>
  <c r="L260" i="1"/>
  <c r="M260" i="1" s="1"/>
  <c r="N260" i="1" s="1"/>
  <c r="K260" i="1"/>
  <c r="L259" i="1"/>
  <c r="M259" i="1" s="1"/>
  <c r="N259" i="1" s="1"/>
  <c r="K259" i="1"/>
  <c r="M258" i="1"/>
  <c r="N258" i="1" s="1"/>
  <c r="L258" i="1"/>
  <c r="K258" i="1"/>
  <c r="L257" i="1"/>
  <c r="K257" i="1"/>
  <c r="M257" i="1" s="1"/>
  <c r="N257" i="1" s="1"/>
  <c r="L256" i="1"/>
  <c r="M256" i="1" s="1"/>
  <c r="N256" i="1" s="1"/>
  <c r="K256" i="1"/>
  <c r="L255" i="1"/>
  <c r="M255" i="1" s="1"/>
  <c r="N255" i="1" s="1"/>
  <c r="K255" i="1"/>
  <c r="N254" i="1"/>
  <c r="M254" i="1"/>
  <c r="L254" i="1"/>
  <c r="K254" i="1"/>
  <c r="L253" i="1"/>
  <c r="M253" i="1" s="1"/>
  <c r="N253" i="1" s="1"/>
  <c r="K253" i="1"/>
  <c r="L252" i="1"/>
  <c r="M252" i="1" s="1"/>
  <c r="N252" i="1" s="1"/>
  <c r="K252" i="1"/>
  <c r="L251" i="1"/>
  <c r="M251" i="1" s="1"/>
  <c r="N251" i="1" s="1"/>
  <c r="K251" i="1"/>
  <c r="L250" i="1"/>
  <c r="M250" i="1" s="1"/>
  <c r="N250" i="1" s="1"/>
  <c r="K250" i="1"/>
  <c r="L249" i="1"/>
  <c r="K249" i="1"/>
  <c r="N248" i="1"/>
  <c r="L248" i="1"/>
  <c r="M248" i="1" s="1"/>
  <c r="K248" i="1"/>
  <c r="L247" i="1"/>
  <c r="M247" i="1" s="1"/>
  <c r="N247" i="1" s="1"/>
  <c r="K247" i="1"/>
  <c r="N246" i="1"/>
  <c r="M246" i="1"/>
  <c r="L246" i="1"/>
  <c r="K246" i="1"/>
  <c r="L245" i="1"/>
  <c r="K245" i="1"/>
  <c r="L244" i="1"/>
  <c r="K244" i="1"/>
  <c r="M244" i="1" s="1"/>
  <c r="N244" i="1" s="1"/>
  <c r="L243" i="1"/>
  <c r="K243" i="1"/>
  <c r="N242" i="1"/>
  <c r="L242" i="1"/>
  <c r="M242" i="1" s="1"/>
  <c r="K242" i="1"/>
  <c r="N241" i="1"/>
  <c r="L241" i="1"/>
  <c r="M241" i="1" s="1"/>
  <c r="K241" i="1"/>
  <c r="M240" i="1"/>
  <c r="N240" i="1" s="1"/>
  <c r="L240" i="1"/>
  <c r="K240" i="1"/>
  <c r="M239" i="1"/>
  <c r="N239" i="1" s="1"/>
  <c r="L239" i="1"/>
  <c r="K239" i="1"/>
  <c r="N238" i="1"/>
  <c r="L238" i="1"/>
  <c r="M238" i="1" s="1"/>
  <c r="K238" i="1"/>
  <c r="M237" i="1"/>
  <c r="N237" i="1" s="1"/>
  <c r="L237" i="1"/>
  <c r="K237" i="1"/>
  <c r="L236" i="1"/>
  <c r="M236" i="1" s="1"/>
  <c r="N236" i="1" s="1"/>
  <c r="K236" i="1"/>
  <c r="L235" i="1"/>
  <c r="M235" i="1" s="1"/>
  <c r="N235" i="1" s="1"/>
  <c r="K235" i="1"/>
  <c r="N234" i="1"/>
  <c r="M234" i="1"/>
  <c r="L234" i="1"/>
  <c r="K234" i="1"/>
  <c r="L233" i="1"/>
  <c r="M233" i="1" s="1"/>
  <c r="N233" i="1" s="1"/>
  <c r="K233" i="1"/>
  <c r="M232" i="1"/>
  <c r="N232" i="1" s="1"/>
  <c r="L232" i="1"/>
  <c r="K232" i="1"/>
  <c r="M231" i="1"/>
  <c r="N231" i="1" s="1"/>
  <c r="L231" i="1"/>
  <c r="K231" i="1"/>
  <c r="L230" i="1"/>
  <c r="M230" i="1" s="1"/>
  <c r="N230" i="1" s="1"/>
  <c r="K230" i="1"/>
  <c r="L229" i="1"/>
  <c r="K229" i="1"/>
  <c r="L228" i="1"/>
  <c r="M228" i="1" s="1"/>
  <c r="N228" i="1" s="1"/>
  <c r="K228" i="1"/>
  <c r="L227" i="1"/>
  <c r="K227" i="1"/>
  <c r="M227" i="1" s="1"/>
  <c r="N227" i="1" s="1"/>
  <c r="L226" i="1"/>
  <c r="M226" i="1" s="1"/>
  <c r="N226" i="1" s="1"/>
  <c r="K226" i="1"/>
  <c r="L225" i="1"/>
  <c r="K225" i="1"/>
  <c r="L224" i="1"/>
  <c r="M224" i="1" s="1"/>
  <c r="N224" i="1" s="1"/>
  <c r="K224" i="1"/>
  <c r="M223" i="1"/>
  <c r="N223" i="1" s="1"/>
  <c r="L223" i="1"/>
  <c r="K223" i="1"/>
  <c r="M222" i="1"/>
  <c r="N222" i="1" s="1"/>
  <c r="L222" i="1"/>
  <c r="K222" i="1"/>
  <c r="M221" i="1"/>
  <c r="N221" i="1" s="1"/>
  <c r="L221" i="1"/>
  <c r="K221" i="1"/>
  <c r="L220" i="1"/>
  <c r="K220" i="1"/>
  <c r="M219" i="1"/>
  <c r="N219" i="1" s="1"/>
  <c r="L219" i="1"/>
  <c r="K219" i="1"/>
  <c r="L218" i="1"/>
  <c r="K218" i="1"/>
  <c r="M217" i="1"/>
  <c r="N217" i="1" s="1"/>
  <c r="L217" i="1"/>
  <c r="K217" i="1"/>
  <c r="M216" i="1"/>
  <c r="N216" i="1" s="1"/>
  <c r="L216" i="1"/>
  <c r="K216" i="1"/>
  <c r="L215" i="1"/>
  <c r="M215" i="1" s="1"/>
  <c r="N215" i="1" s="1"/>
  <c r="K215" i="1"/>
  <c r="M214" i="1"/>
  <c r="N214" i="1" s="1"/>
  <c r="L214" i="1"/>
  <c r="K214" i="1"/>
  <c r="N213" i="1"/>
  <c r="L213" i="1"/>
  <c r="M213" i="1" s="1"/>
  <c r="K213" i="1"/>
  <c r="M212" i="1"/>
  <c r="N212" i="1" s="1"/>
  <c r="L212" i="1"/>
  <c r="K212" i="1"/>
  <c r="L211" i="1"/>
  <c r="M211" i="1" s="1"/>
  <c r="N211" i="1" s="1"/>
  <c r="K211" i="1"/>
  <c r="N210" i="1"/>
  <c r="M210" i="1"/>
  <c r="L210" i="1"/>
  <c r="K210" i="1"/>
  <c r="M209" i="1"/>
  <c r="N209" i="1" s="1"/>
  <c r="L209" i="1"/>
  <c r="K209" i="1"/>
  <c r="L208" i="1"/>
  <c r="M208" i="1" s="1"/>
  <c r="N208" i="1" s="1"/>
  <c r="K208" i="1"/>
  <c r="L207" i="1"/>
  <c r="K207" i="1"/>
  <c r="M207" i="1" s="1"/>
  <c r="N207" i="1" s="1"/>
  <c r="L206" i="1"/>
  <c r="M206" i="1" s="1"/>
  <c r="N206" i="1" s="1"/>
  <c r="K206" i="1"/>
  <c r="L205" i="1"/>
  <c r="K205" i="1"/>
  <c r="M204" i="1"/>
  <c r="N204" i="1" s="1"/>
  <c r="L204" i="1"/>
  <c r="K204" i="1"/>
  <c r="L203" i="1"/>
  <c r="M203" i="1" s="1"/>
  <c r="N203" i="1" s="1"/>
  <c r="K203" i="1"/>
  <c r="N202" i="1"/>
  <c r="L202" i="1"/>
  <c r="K202" i="1"/>
  <c r="M202" i="1" s="1"/>
  <c r="L201" i="1"/>
  <c r="M201" i="1" s="1"/>
  <c r="N201" i="1" s="1"/>
  <c r="K201" i="1"/>
  <c r="L200" i="1"/>
  <c r="K200" i="1"/>
  <c r="L199" i="1"/>
  <c r="K199" i="1"/>
  <c r="L198" i="1"/>
  <c r="M198" i="1" s="1"/>
  <c r="N198" i="1" s="1"/>
  <c r="K198" i="1"/>
  <c r="L197" i="1"/>
  <c r="K197" i="1"/>
  <c r="M196" i="1"/>
  <c r="N196" i="1" s="1"/>
  <c r="L196" i="1"/>
  <c r="K196" i="1"/>
  <c r="L195" i="1"/>
  <c r="K195" i="1"/>
  <c r="M194" i="1"/>
  <c r="N194" i="1" s="1"/>
  <c r="L194" i="1"/>
  <c r="K194" i="1"/>
  <c r="L193" i="1"/>
  <c r="K193" i="1"/>
  <c r="M192" i="1"/>
  <c r="N192" i="1" s="1"/>
  <c r="L192" i="1"/>
  <c r="K192" i="1"/>
  <c r="L191" i="1"/>
  <c r="M191" i="1" s="1"/>
  <c r="N191" i="1" s="1"/>
  <c r="K191" i="1"/>
  <c r="M190" i="1"/>
  <c r="N190" i="1" s="1"/>
  <c r="L190" i="1"/>
  <c r="K190" i="1"/>
  <c r="N189" i="1"/>
  <c r="L189" i="1"/>
  <c r="M189" i="1" s="1"/>
  <c r="K189" i="1"/>
  <c r="L188" i="1"/>
  <c r="K188" i="1"/>
  <c r="M188" i="1" s="1"/>
  <c r="N188" i="1" s="1"/>
  <c r="L187" i="1"/>
  <c r="K187" i="1"/>
  <c r="L186" i="1"/>
  <c r="M186" i="1" s="1"/>
  <c r="N186" i="1" s="1"/>
  <c r="K186" i="1"/>
  <c r="L185" i="1"/>
  <c r="M185" i="1" s="1"/>
  <c r="N185" i="1" s="1"/>
  <c r="K185" i="1"/>
  <c r="N184" i="1"/>
  <c r="M184" i="1"/>
  <c r="L184" i="1"/>
  <c r="K184" i="1"/>
  <c r="L183" i="1"/>
  <c r="M183" i="1" s="1"/>
  <c r="N183" i="1" s="1"/>
  <c r="K183" i="1"/>
  <c r="M182" i="1"/>
  <c r="N182" i="1" s="1"/>
  <c r="L182" i="1"/>
  <c r="K182" i="1"/>
  <c r="L181" i="1"/>
  <c r="K181" i="1"/>
  <c r="L180" i="1"/>
  <c r="M180" i="1" s="1"/>
  <c r="N180" i="1" s="1"/>
  <c r="K180" i="1"/>
  <c r="L179" i="1"/>
  <c r="M179" i="1" s="1"/>
  <c r="N179" i="1" s="1"/>
  <c r="K179" i="1"/>
  <c r="M178" i="1"/>
  <c r="N178" i="1" s="1"/>
  <c r="L178" i="1"/>
  <c r="K178" i="1"/>
  <c r="L177" i="1"/>
  <c r="K177" i="1"/>
  <c r="M176" i="1"/>
  <c r="N176" i="1" s="1"/>
  <c r="L176" i="1"/>
  <c r="K176" i="1"/>
  <c r="N175" i="1"/>
  <c r="L175" i="1"/>
  <c r="M175" i="1" s="1"/>
  <c r="K175" i="1"/>
  <c r="L174" i="1"/>
  <c r="M174" i="1" s="1"/>
  <c r="N174" i="1" s="1"/>
  <c r="K174" i="1"/>
  <c r="L173" i="1"/>
  <c r="M173" i="1" s="1"/>
  <c r="N173" i="1" s="1"/>
  <c r="K173" i="1"/>
  <c r="L172" i="1"/>
  <c r="M172" i="1" s="1"/>
  <c r="N172" i="1" s="1"/>
  <c r="K172" i="1"/>
  <c r="L171" i="1"/>
  <c r="K171" i="1"/>
  <c r="M170" i="1"/>
  <c r="N170" i="1" s="1"/>
  <c r="L170" i="1"/>
  <c r="K170" i="1"/>
  <c r="N169" i="1"/>
  <c r="L169" i="1"/>
  <c r="M169" i="1" s="1"/>
  <c r="K169" i="1"/>
  <c r="N168" i="1"/>
  <c r="M168" i="1"/>
  <c r="L168" i="1"/>
  <c r="K168" i="1"/>
  <c r="M167" i="1"/>
  <c r="N167" i="1" s="1"/>
  <c r="L167" i="1"/>
  <c r="K167" i="1"/>
  <c r="M166" i="1"/>
  <c r="N166" i="1" s="1"/>
  <c r="L166" i="1"/>
  <c r="K166" i="1"/>
  <c r="L165" i="1"/>
  <c r="M165" i="1" s="1"/>
  <c r="N165" i="1" s="1"/>
  <c r="K165" i="1"/>
  <c r="L164" i="1"/>
  <c r="K164" i="1"/>
  <c r="M164" i="1" s="1"/>
  <c r="N164" i="1" s="1"/>
  <c r="L163" i="1"/>
  <c r="K163" i="1"/>
  <c r="M162" i="1"/>
  <c r="N162" i="1" s="1"/>
  <c r="L162" i="1"/>
  <c r="K162" i="1"/>
  <c r="L161" i="1"/>
  <c r="M161" i="1" s="1"/>
  <c r="N161" i="1" s="1"/>
  <c r="K161" i="1"/>
  <c r="N160" i="1"/>
  <c r="M160" i="1"/>
  <c r="L160" i="1"/>
  <c r="K160" i="1"/>
  <c r="L159" i="1"/>
  <c r="K159" i="1"/>
  <c r="L158" i="1"/>
  <c r="K158" i="1"/>
  <c r="M158" i="1" s="1"/>
  <c r="N158" i="1" s="1"/>
  <c r="L157" i="1"/>
  <c r="K157" i="1"/>
  <c r="L156" i="1"/>
  <c r="K156" i="1"/>
  <c r="N155" i="1"/>
  <c r="L155" i="1"/>
  <c r="M155" i="1" s="1"/>
  <c r="K155" i="1"/>
  <c r="L154" i="1"/>
  <c r="M154" i="1" s="1"/>
  <c r="N154" i="1" s="1"/>
  <c r="K154" i="1"/>
  <c r="L153" i="1"/>
  <c r="K153" i="1"/>
  <c r="M152" i="1"/>
  <c r="N152" i="1" s="1"/>
  <c r="L152" i="1"/>
  <c r="K152" i="1"/>
  <c r="L151" i="1"/>
  <c r="M151" i="1" s="1"/>
  <c r="N151" i="1" s="1"/>
  <c r="K151" i="1"/>
  <c r="L150" i="1"/>
  <c r="K150" i="1"/>
  <c r="L149" i="1"/>
  <c r="K149" i="1"/>
  <c r="M148" i="1"/>
  <c r="N148" i="1" s="1"/>
  <c r="L148" i="1"/>
  <c r="K148" i="1"/>
  <c r="L147" i="1"/>
  <c r="K147" i="1"/>
  <c r="M146" i="1"/>
  <c r="N146" i="1" s="1"/>
  <c r="L146" i="1"/>
  <c r="K146" i="1"/>
  <c r="L145" i="1"/>
  <c r="K145" i="1"/>
  <c r="L144" i="1"/>
  <c r="K144" i="1"/>
  <c r="M144" i="1" s="1"/>
  <c r="N144" i="1" s="1"/>
  <c r="L143" i="1"/>
  <c r="M143" i="1" s="1"/>
  <c r="N143" i="1" s="1"/>
  <c r="K143" i="1"/>
  <c r="M142" i="1"/>
  <c r="N142" i="1" s="1"/>
  <c r="L142" i="1"/>
  <c r="K142" i="1"/>
  <c r="N141" i="1"/>
  <c r="L141" i="1"/>
  <c r="M141" i="1" s="1"/>
  <c r="K141" i="1"/>
  <c r="L140" i="1"/>
  <c r="K140" i="1"/>
  <c r="M140" i="1" s="1"/>
  <c r="N140" i="1" s="1"/>
  <c r="L139" i="1"/>
  <c r="K139" i="1"/>
  <c r="L138" i="1"/>
  <c r="M138" i="1" s="1"/>
  <c r="N138" i="1" s="1"/>
  <c r="K138" i="1"/>
  <c r="L137" i="1"/>
  <c r="M137" i="1" s="1"/>
  <c r="N137" i="1" s="1"/>
  <c r="K137" i="1"/>
  <c r="L136" i="1"/>
  <c r="K136" i="1"/>
  <c r="M136" i="1" s="1"/>
  <c r="N136" i="1" s="1"/>
  <c r="N135" i="1"/>
  <c r="L135" i="1"/>
  <c r="M135" i="1" s="1"/>
  <c r="K135" i="1"/>
  <c r="N134" i="1"/>
  <c r="M134" i="1"/>
  <c r="L134" i="1"/>
  <c r="K134" i="1"/>
  <c r="L133" i="1"/>
  <c r="M133" i="1" s="1"/>
  <c r="N133" i="1" s="1"/>
  <c r="K133" i="1"/>
  <c r="L132" i="1"/>
  <c r="M132" i="1" s="1"/>
  <c r="N132" i="1" s="1"/>
  <c r="K132" i="1"/>
  <c r="L131" i="1"/>
  <c r="M131" i="1" s="1"/>
  <c r="N131" i="1" s="1"/>
  <c r="K131" i="1"/>
  <c r="L130" i="1"/>
  <c r="K130" i="1"/>
  <c r="L129" i="1"/>
  <c r="M129" i="1" s="1"/>
  <c r="N129" i="1" s="1"/>
  <c r="K129" i="1"/>
  <c r="N128" i="1"/>
  <c r="L128" i="1"/>
  <c r="K128" i="1"/>
  <c r="M128" i="1" s="1"/>
  <c r="L127" i="1"/>
  <c r="K127" i="1"/>
  <c r="N126" i="1"/>
  <c r="M126" i="1"/>
  <c r="L126" i="1"/>
  <c r="K126" i="1"/>
  <c r="L125" i="1"/>
  <c r="M125" i="1" s="1"/>
  <c r="N125" i="1" s="1"/>
  <c r="K125" i="1"/>
  <c r="L124" i="1"/>
  <c r="M124" i="1" s="1"/>
  <c r="N124" i="1" s="1"/>
  <c r="K124" i="1"/>
  <c r="L123" i="1"/>
  <c r="M123" i="1" s="1"/>
  <c r="N123" i="1" s="1"/>
  <c r="K123" i="1"/>
  <c r="M122" i="1"/>
  <c r="N122" i="1" s="1"/>
  <c r="L122" i="1"/>
  <c r="K122" i="1"/>
  <c r="N121" i="1"/>
  <c r="L121" i="1"/>
  <c r="M121" i="1" s="1"/>
  <c r="K121" i="1"/>
  <c r="L120" i="1"/>
  <c r="M120" i="1" s="1"/>
  <c r="N120" i="1" s="1"/>
  <c r="K120" i="1"/>
  <c r="L119" i="1"/>
  <c r="M119" i="1" s="1"/>
  <c r="N119" i="1" s="1"/>
  <c r="K119" i="1"/>
  <c r="L118" i="1"/>
  <c r="M118" i="1" s="1"/>
  <c r="N118" i="1" s="1"/>
  <c r="K118" i="1"/>
  <c r="L117" i="1"/>
  <c r="K117" i="1"/>
  <c r="N116" i="1"/>
  <c r="L116" i="1"/>
  <c r="K116" i="1"/>
  <c r="M116" i="1" s="1"/>
  <c r="L115" i="1"/>
  <c r="K115" i="1"/>
  <c r="L114" i="1"/>
  <c r="M114" i="1" s="1"/>
  <c r="N114" i="1" s="1"/>
  <c r="K114" i="1"/>
  <c r="N113" i="1"/>
  <c r="M113" i="1"/>
  <c r="L113" i="1"/>
  <c r="K113" i="1"/>
  <c r="L112" i="1"/>
  <c r="M112" i="1" s="1"/>
  <c r="N112" i="1" s="1"/>
  <c r="K112" i="1"/>
  <c r="L111" i="1"/>
  <c r="K111" i="1"/>
  <c r="M110" i="1"/>
  <c r="N110" i="1" s="1"/>
  <c r="L110" i="1"/>
  <c r="K110" i="1"/>
  <c r="L109" i="1"/>
  <c r="K109" i="1"/>
  <c r="M108" i="1"/>
  <c r="N108" i="1" s="1"/>
  <c r="L108" i="1"/>
  <c r="K108" i="1"/>
  <c r="L107" i="1"/>
  <c r="M107" i="1" s="1"/>
  <c r="N107" i="1" s="1"/>
  <c r="K107" i="1"/>
  <c r="L106" i="1"/>
  <c r="M106" i="1" s="1"/>
  <c r="N106" i="1" s="1"/>
  <c r="K106" i="1"/>
  <c r="L105" i="1"/>
  <c r="K105" i="1"/>
  <c r="L104" i="1"/>
  <c r="K104" i="1"/>
  <c r="M104" i="1" s="1"/>
  <c r="N104" i="1" s="1"/>
  <c r="L103" i="1"/>
  <c r="K103" i="1"/>
  <c r="M102" i="1"/>
  <c r="N102" i="1" s="1"/>
  <c r="L102" i="1"/>
  <c r="K102" i="1"/>
  <c r="L101" i="1"/>
  <c r="M101" i="1" s="1"/>
  <c r="N101" i="1" s="1"/>
  <c r="K101" i="1"/>
  <c r="N100" i="1"/>
  <c r="M100" i="1"/>
  <c r="L100" i="1"/>
  <c r="K100" i="1"/>
  <c r="L99" i="1"/>
  <c r="K99" i="1"/>
  <c r="L98" i="1"/>
  <c r="K98" i="1"/>
  <c r="M98" i="1" s="1"/>
  <c r="N98" i="1" s="1"/>
  <c r="L97" i="1"/>
  <c r="K97" i="1"/>
  <c r="L96" i="1"/>
  <c r="M96" i="1" s="1"/>
  <c r="N96" i="1" s="1"/>
  <c r="K96" i="1"/>
  <c r="M95" i="1"/>
  <c r="N95" i="1" s="1"/>
  <c r="L95" i="1"/>
  <c r="K95" i="1"/>
  <c r="L94" i="1"/>
  <c r="M94" i="1" s="1"/>
  <c r="N94" i="1" s="1"/>
  <c r="K94" i="1"/>
  <c r="L93" i="1"/>
  <c r="K93" i="1"/>
  <c r="L92" i="1"/>
  <c r="K92" i="1"/>
  <c r="M92" i="1" s="1"/>
  <c r="N92" i="1" s="1"/>
  <c r="L91" i="1"/>
  <c r="K91" i="1"/>
  <c r="M90" i="1"/>
  <c r="N90" i="1" s="1"/>
  <c r="L90" i="1"/>
  <c r="K90" i="1"/>
  <c r="M89" i="1"/>
  <c r="N89" i="1" s="1"/>
  <c r="L89" i="1"/>
  <c r="K89" i="1"/>
  <c r="L88" i="1"/>
  <c r="M88" i="1" s="1"/>
  <c r="N88" i="1" s="1"/>
  <c r="K88" i="1"/>
  <c r="N87" i="1"/>
  <c r="L87" i="1"/>
  <c r="M87" i="1" s="1"/>
  <c r="K87" i="1"/>
  <c r="M86" i="1"/>
  <c r="N86" i="1" s="1"/>
  <c r="L86" i="1"/>
  <c r="K86" i="1"/>
  <c r="L85" i="1"/>
  <c r="M85" i="1" s="1"/>
  <c r="N85" i="1" s="1"/>
  <c r="K85" i="1"/>
  <c r="L84" i="1"/>
  <c r="K84" i="1"/>
  <c r="L83" i="1"/>
  <c r="M83" i="1" s="1"/>
  <c r="N83" i="1" s="1"/>
  <c r="K83" i="1"/>
  <c r="M82" i="1"/>
  <c r="N82" i="1" s="1"/>
  <c r="L82" i="1"/>
  <c r="K82" i="1"/>
  <c r="L81" i="1"/>
  <c r="K81" i="1"/>
  <c r="L80" i="1"/>
  <c r="K80" i="1"/>
  <c r="M80" i="1" s="1"/>
  <c r="N80" i="1" s="1"/>
  <c r="L79" i="1"/>
  <c r="K79" i="1"/>
  <c r="L78" i="1"/>
  <c r="M78" i="1" s="1"/>
  <c r="N78" i="1" s="1"/>
  <c r="K78" i="1"/>
  <c r="M77" i="1"/>
  <c r="N77" i="1" s="1"/>
  <c r="L77" i="1"/>
  <c r="K77" i="1"/>
  <c r="M76" i="1"/>
  <c r="N76" i="1" s="1"/>
  <c r="L76" i="1"/>
  <c r="K76" i="1"/>
  <c r="L75" i="1"/>
  <c r="K75" i="1"/>
  <c r="M74" i="1"/>
  <c r="N74" i="1" s="1"/>
  <c r="L74" i="1"/>
  <c r="K74" i="1"/>
  <c r="L73" i="1"/>
  <c r="M73" i="1" s="1"/>
  <c r="N73" i="1" s="1"/>
  <c r="K73" i="1"/>
  <c r="L72" i="1"/>
  <c r="M72" i="1" s="1"/>
  <c r="N72" i="1" s="1"/>
  <c r="K72" i="1"/>
  <c r="L71" i="1"/>
  <c r="M71" i="1" s="1"/>
  <c r="N71" i="1" s="1"/>
  <c r="K71" i="1"/>
  <c r="L70" i="1"/>
  <c r="M70" i="1" s="1"/>
  <c r="N70" i="1" s="1"/>
  <c r="K70" i="1"/>
  <c r="L69" i="1"/>
  <c r="M69" i="1" s="1"/>
  <c r="N69" i="1" s="1"/>
  <c r="K69" i="1"/>
  <c r="L68" i="1"/>
  <c r="K68" i="1"/>
  <c r="M68" i="1" s="1"/>
  <c r="N68" i="1" s="1"/>
  <c r="L67" i="1"/>
  <c r="K67" i="1"/>
  <c r="L66" i="1"/>
  <c r="M66" i="1" s="1"/>
  <c r="N66" i="1" s="1"/>
  <c r="K66" i="1"/>
  <c r="L65" i="1"/>
  <c r="M65" i="1" s="1"/>
  <c r="N65" i="1" s="1"/>
  <c r="K65" i="1"/>
  <c r="M64" i="1"/>
  <c r="N64" i="1" s="1"/>
  <c r="L64" i="1"/>
  <c r="K64" i="1"/>
  <c r="L63" i="1"/>
  <c r="M63" i="1" s="1"/>
  <c r="N63" i="1" s="1"/>
  <c r="K63" i="1"/>
  <c r="N62" i="1"/>
  <c r="M62" i="1"/>
  <c r="L62" i="1"/>
  <c r="K62" i="1"/>
  <c r="L61" i="1"/>
  <c r="M61" i="1" s="1"/>
  <c r="N61" i="1" s="1"/>
  <c r="K61" i="1"/>
  <c r="L60" i="1"/>
  <c r="M60" i="1" s="1"/>
  <c r="N60" i="1" s="1"/>
  <c r="K60" i="1"/>
  <c r="L59" i="1"/>
  <c r="M59" i="1" s="1"/>
  <c r="N59" i="1" s="1"/>
  <c r="K59" i="1"/>
  <c r="L58" i="1"/>
  <c r="K58" i="1"/>
  <c r="L57" i="1"/>
  <c r="K57" i="1"/>
  <c r="L56" i="1"/>
  <c r="K56" i="1"/>
  <c r="M56" i="1" s="1"/>
  <c r="N56" i="1" s="1"/>
  <c r="L55" i="1"/>
  <c r="K55" i="1"/>
  <c r="N54" i="1"/>
  <c r="M54" i="1"/>
  <c r="L54" i="1"/>
  <c r="K54" i="1"/>
  <c r="L53" i="1"/>
  <c r="M53" i="1" s="1"/>
  <c r="N53" i="1" s="1"/>
  <c r="K53" i="1"/>
  <c r="L52" i="1"/>
  <c r="M52" i="1" s="1"/>
  <c r="N52" i="1" s="1"/>
  <c r="K52" i="1"/>
  <c r="L51" i="1"/>
  <c r="M51" i="1" s="1"/>
  <c r="N51" i="1" s="1"/>
  <c r="K51" i="1"/>
  <c r="M50" i="1"/>
  <c r="N50" i="1" s="1"/>
  <c r="L50" i="1"/>
  <c r="K50" i="1"/>
  <c r="N49" i="1"/>
  <c r="L49" i="1"/>
  <c r="M49" i="1" s="1"/>
  <c r="K49" i="1"/>
  <c r="L48" i="1"/>
  <c r="M48" i="1" s="1"/>
  <c r="N48" i="1" s="1"/>
  <c r="K48" i="1"/>
  <c r="L47" i="1"/>
  <c r="M47" i="1" s="1"/>
  <c r="N47" i="1" s="1"/>
  <c r="K47" i="1"/>
  <c r="L46" i="1"/>
  <c r="M46" i="1" s="1"/>
  <c r="N46" i="1" s="1"/>
  <c r="K46" i="1"/>
  <c r="L45" i="1"/>
  <c r="K45" i="1"/>
  <c r="L44" i="1"/>
  <c r="K44" i="1"/>
  <c r="M44" i="1" s="1"/>
  <c r="N44" i="1" s="1"/>
  <c r="L43" i="1"/>
  <c r="K43" i="1"/>
  <c r="L42" i="1"/>
  <c r="M42" i="1" s="1"/>
  <c r="N42" i="1" s="1"/>
  <c r="K42" i="1"/>
  <c r="N41" i="1"/>
  <c r="M41" i="1"/>
  <c r="L41" i="1"/>
  <c r="K41" i="1"/>
  <c r="L40" i="1"/>
  <c r="M40" i="1" s="1"/>
  <c r="N40" i="1" s="1"/>
  <c r="K40" i="1"/>
  <c r="L39" i="1"/>
  <c r="K39" i="1"/>
  <c r="M38" i="1"/>
  <c r="N38" i="1" s="1"/>
  <c r="L38" i="1"/>
  <c r="K38" i="1"/>
  <c r="L37" i="1"/>
  <c r="M37" i="1" s="1"/>
  <c r="N37" i="1" s="1"/>
  <c r="K37" i="1"/>
  <c r="M36" i="1"/>
  <c r="N36" i="1" s="1"/>
  <c r="L36" i="1"/>
  <c r="K36" i="1"/>
  <c r="L35" i="1"/>
  <c r="M35" i="1" s="1"/>
  <c r="N35" i="1" s="1"/>
  <c r="K35" i="1"/>
  <c r="L34" i="1"/>
  <c r="M34" i="1" s="1"/>
  <c r="N34" i="1" s="1"/>
  <c r="K34" i="1"/>
  <c r="L33" i="1"/>
  <c r="K33" i="1"/>
  <c r="L32" i="1"/>
  <c r="K32" i="1"/>
  <c r="M32" i="1" s="1"/>
  <c r="N32" i="1" s="1"/>
  <c r="L31" i="1"/>
  <c r="K31" i="1"/>
  <c r="M30" i="1"/>
  <c r="N30" i="1" s="1"/>
  <c r="L30" i="1"/>
  <c r="K30" i="1"/>
  <c r="L29" i="1"/>
  <c r="M29" i="1" s="1"/>
  <c r="N29" i="1" s="1"/>
  <c r="K29" i="1"/>
  <c r="N28" i="1"/>
  <c r="M28" i="1"/>
  <c r="L28" i="1"/>
  <c r="K28" i="1"/>
  <c r="L27" i="1"/>
  <c r="K27" i="1"/>
  <c r="L26" i="1"/>
  <c r="K26" i="1"/>
  <c r="M26" i="1" s="1"/>
  <c r="N26" i="1" s="1"/>
  <c r="L25" i="1"/>
  <c r="K25" i="1"/>
  <c r="M24" i="1"/>
  <c r="N24" i="1" s="1"/>
  <c r="L24" i="1"/>
  <c r="K24" i="1"/>
  <c r="M23" i="1"/>
  <c r="N23" i="1" s="1"/>
  <c r="L23" i="1"/>
  <c r="K23" i="1"/>
  <c r="L22" i="1"/>
  <c r="M22" i="1" s="1"/>
  <c r="N22" i="1" s="1"/>
  <c r="K22" i="1"/>
  <c r="L21" i="1"/>
  <c r="K21" i="1"/>
  <c r="L20" i="1"/>
  <c r="K20" i="1"/>
  <c r="M20" i="1" s="1"/>
  <c r="N20" i="1" s="1"/>
  <c r="L19" i="1"/>
  <c r="K19" i="1"/>
  <c r="L18" i="1"/>
  <c r="K18" i="1"/>
  <c r="L17" i="1"/>
  <c r="K17" i="1"/>
  <c r="L16" i="1"/>
  <c r="K16" i="1"/>
  <c r="L15" i="1"/>
  <c r="K15" i="1"/>
  <c r="L14" i="1"/>
  <c r="K14" i="1"/>
  <c r="M14" i="1" s="1"/>
  <c r="N14" i="1" s="1"/>
  <c r="L13" i="1"/>
  <c r="K13" i="1"/>
  <c r="L12" i="1"/>
  <c r="K12" i="1"/>
  <c r="M12" i="1" s="1"/>
  <c r="N12" i="1" s="1"/>
  <c r="L11" i="1"/>
  <c r="K11" i="1"/>
  <c r="M11" i="1" s="1"/>
  <c r="N11" i="1" s="1"/>
  <c r="L10" i="1"/>
  <c r="K10" i="1"/>
  <c r="L9" i="1"/>
  <c r="K9" i="1"/>
  <c r="M9" i="1" s="1"/>
  <c r="N9" i="1" s="1"/>
  <c r="L8" i="1"/>
  <c r="K8" i="1"/>
  <c r="M8" i="1" s="1"/>
  <c r="N8" i="1" s="1"/>
  <c r="L7" i="1"/>
  <c r="K7" i="1"/>
  <c r="L6" i="1"/>
  <c r="K6" i="1"/>
  <c r="L5" i="1"/>
  <c r="K5" i="1"/>
  <c r="M5" i="1" s="1"/>
  <c r="N5" i="1" s="1"/>
  <c r="L4" i="1"/>
  <c r="K4" i="1"/>
  <c r="M4" i="1" s="1"/>
  <c r="N4" i="1" s="1"/>
  <c r="L3" i="1"/>
  <c r="K3" i="1"/>
  <c r="M3" i="1" s="1"/>
  <c r="N3" i="1" s="1"/>
  <c r="L2" i="1"/>
  <c r="K2" i="1"/>
  <c r="B45" i="19"/>
  <c r="G11" i="19"/>
  <c r="B40" i="19"/>
  <c r="B46" i="19"/>
  <c r="B48" i="19"/>
  <c r="B37" i="19"/>
  <c r="G16" i="19"/>
  <c r="B44" i="19"/>
  <c r="G10" i="19"/>
  <c r="B55" i="19"/>
  <c r="G15" i="19"/>
  <c r="B56" i="19"/>
  <c r="G12" i="19"/>
  <c r="B52" i="19"/>
  <c r="B42" i="19"/>
  <c r="B39" i="19"/>
  <c r="G14" i="19"/>
  <c r="B49" i="19"/>
  <c r="G18" i="19"/>
  <c r="G13" i="19"/>
  <c r="B47" i="19"/>
  <c r="G9" i="19"/>
  <c r="B38" i="19"/>
  <c r="B57" i="19"/>
  <c r="B53" i="19"/>
  <c r="B43" i="19"/>
  <c r="B54" i="19"/>
  <c r="B51" i="19"/>
  <c r="G17" i="19"/>
  <c r="G8" i="19"/>
  <c r="G7" i="19"/>
  <c r="B41" i="19"/>
  <c r="B50" i="19"/>
  <c r="M2" i="1" l="1"/>
  <c r="N2" i="1" s="1"/>
  <c r="M21" i="1"/>
  <c r="N21" i="1" s="1"/>
  <c r="M6" i="1"/>
  <c r="N6" i="1" s="1"/>
  <c r="M17" i="1"/>
  <c r="N17" i="1" s="1"/>
  <c r="M15" i="1"/>
  <c r="N15" i="1" s="1"/>
  <c r="M10" i="1"/>
  <c r="N10" i="1" s="1"/>
  <c r="M16" i="1"/>
  <c r="N16" i="1" s="1"/>
  <c r="M293" i="1"/>
  <c r="N293" i="1" s="1"/>
  <c r="M784" i="1"/>
  <c r="N784" i="1" s="1"/>
  <c r="M229" i="1"/>
  <c r="N229" i="1" s="1"/>
  <c r="M303" i="1"/>
  <c r="N303" i="1" s="1"/>
  <c r="M575" i="1"/>
  <c r="N575" i="1" s="1"/>
  <c r="M18" i="1"/>
  <c r="N18" i="1" s="1"/>
  <c r="M57" i="1"/>
  <c r="N57" i="1" s="1"/>
  <c r="M361" i="1"/>
  <c r="N361" i="1" s="1"/>
  <c r="M58" i="1"/>
  <c r="N58" i="1" s="1"/>
  <c r="M527" i="1"/>
  <c r="N527" i="1" s="1"/>
  <c r="M156" i="1"/>
  <c r="N156" i="1" s="1"/>
  <c r="M568" i="1"/>
  <c r="N568" i="1" s="1"/>
  <c r="M611" i="1"/>
  <c r="N611" i="1" s="1"/>
  <c r="M109" i="1"/>
  <c r="N109" i="1" s="1"/>
  <c r="M316" i="1"/>
  <c r="N316" i="1" s="1"/>
  <c r="M205" i="1"/>
  <c r="N205" i="1" s="1"/>
  <c r="M149" i="1"/>
  <c r="N149" i="1" s="1"/>
  <c r="M130" i="1"/>
  <c r="N130" i="1" s="1"/>
  <c r="M150" i="1"/>
  <c r="N150" i="1" s="1"/>
  <c r="M791" i="1"/>
  <c r="N791" i="1" s="1"/>
  <c r="M197" i="1"/>
  <c r="N197" i="1" s="1"/>
  <c r="M368" i="1"/>
  <c r="N368" i="1" s="1"/>
  <c r="M84" i="1"/>
  <c r="N84" i="1" s="1"/>
  <c r="M398" i="1"/>
  <c r="N398" i="1" s="1"/>
  <c r="M713" i="1"/>
  <c r="N713" i="1" s="1"/>
  <c r="M43" i="1"/>
  <c r="N43" i="1" s="1"/>
  <c r="M115" i="1"/>
  <c r="N115" i="1" s="1"/>
  <c r="M418" i="1"/>
  <c r="N418" i="1" s="1"/>
  <c r="M463" i="1"/>
  <c r="N463" i="1" s="1"/>
  <c r="M946" i="1"/>
  <c r="N946" i="1" s="1"/>
  <c r="M220" i="1"/>
  <c r="N220" i="1" s="1"/>
  <c r="M249" i="1"/>
  <c r="N249" i="1" s="1"/>
  <c r="M703" i="1"/>
  <c r="N703" i="1" s="1"/>
  <c r="M722" i="1"/>
  <c r="N722" i="1" s="1"/>
  <c r="M835" i="1"/>
  <c r="N835" i="1" s="1"/>
  <c r="M909" i="1"/>
  <c r="N909" i="1" s="1"/>
  <c r="M31" i="1"/>
  <c r="N31" i="1" s="1"/>
  <c r="M103" i="1"/>
  <c r="N103" i="1" s="1"/>
  <c r="M163" i="1"/>
  <c r="N163" i="1" s="1"/>
  <c r="M177" i="1"/>
  <c r="N177" i="1" s="1"/>
  <c r="M339" i="1"/>
  <c r="N339" i="1" s="1"/>
  <c r="M369" i="1"/>
  <c r="N369" i="1" s="1"/>
  <c r="M503" i="1"/>
  <c r="N503" i="1" s="1"/>
  <c r="M612" i="1"/>
  <c r="N612" i="1" s="1"/>
  <c r="M694" i="1"/>
  <c r="N694" i="1" s="1"/>
  <c r="M750" i="1"/>
  <c r="N750" i="1" s="1"/>
  <c r="M488" i="1"/>
  <c r="N488" i="1" s="1"/>
  <c r="M585" i="1"/>
  <c r="N585" i="1" s="1"/>
  <c r="M827" i="1"/>
  <c r="N827" i="1" s="1"/>
  <c r="M7" i="1"/>
  <c r="N7" i="1" s="1"/>
  <c r="M39" i="1"/>
  <c r="N39" i="1" s="1"/>
  <c r="M111" i="1"/>
  <c r="N111" i="1" s="1"/>
  <c r="M199" i="1"/>
  <c r="N199" i="1" s="1"/>
  <c r="M545" i="1"/>
  <c r="N545" i="1" s="1"/>
  <c r="M687" i="1"/>
  <c r="N687" i="1" s="1"/>
  <c r="M902" i="1"/>
  <c r="N902" i="1" s="1"/>
  <c r="M458" i="1"/>
  <c r="N458" i="1" s="1"/>
  <c r="M105" i="1"/>
  <c r="N105" i="1" s="1"/>
  <c r="M522" i="1"/>
  <c r="N522" i="1" s="1"/>
  <c r="M716" i="1"/>
  <c r="N716" i="1" s="1"/>
  <c r="M744" i="1"/>
  <c r="N744" i="1" s="1"/>
  <c r="M903" i="1"/>
  <c r="N903" i="1" s="1"/>
  <c r="M13" i="1"/>
  <c r="N13" i="1" s="1"/>
  <c r="M79" i="1"/>
  <c r="N79" i="1" s="1"/>
  <c r="M274" i="1"/>
  <c r="N274" i="1" s="1"/>
  <c r="M319" i="1"/>
  <c r="N319" i="1" s="1"/>
  <c r="M364" i="1"/>
  <c r="N364" i="1" s="1"/>
  <c r="M724" i="1"/>
  <c r="N724" i="1" s="1"/>
  <c r="M33" i="1"/>
  <c r="N33" i="1" s="1"/>
  <c r="M200" i="1"/>
  <c r="N200" i="1" s="1"/>
  <c r="M289" i="1"/>
  <c r="N289" i="1" s="1"/>
  <c r="M27" i="1"/>
  <c r="N27" i="1" s="1"/>
  <c r="M99" i="1"/>
  <c r="N99" i="1" s="1"/>
  <c r="M145" i="1"/>
  <c r="N145" i="1" s="1"/>
  <c r="M159" i="1"/>
  <c r="N159" i="1" s="1"/>
  <c r="M193" i="1"/>
  <c r="N193" i="1" s="1"/>
  <c r="M245" i="1"/>
  <c r="N245" i="1" s="1"/>
  <c r="M393" i="1"/>
  <c r="N393" i="1" s="1"/>
  <c r="M777" i="1"/>
  <c r="N777" i="1" s="1"/>
  <c r="M951" i="1"/>
  <c r="N951" i="1" s="1"/>
  <c r="M487" i="1"/>
  <c r="N487" i="1" s="1"/>
  <c r="M939" i="1"/>
  <c r="N939" i="1" s="1"/>
  <c r="M45" i="1"/>
  <c r="N45" i="1" s="1"/>
  <c r="M394" i="1"/>
  <c r="N394" i="1" s="1"/>
  <c r="M25" i="1"/>
  <c r="N25" i="1" s="1"/>
  <c r="M362" i="1"/>
  <c r="N362" i="1" s="1"/>
  <c r="M117" i="1"/>
  <c r="N117" i="1" s="1"/>
  <c r="M91" i="1"/>
  <c r="N91" i="1" s="1"/>
  <c r="M93" i="1"/>
  <c r="N93" i="1" s="1"/>
  <c r="M67" i="1"/>
  <c r="N67" i="1" s="1"/>
  <c r="M139" i="1"/>
  <c r="N139" i="1" s="1"/>
  <c r="M153" i="1"/>
  <c r="N153" i="1" s="1"/>
  <c r="M187" i="1"/>
  <c r="N187" i="1" s="1"/>
  <c r="M483" i="1"/>
  <c r="N483" i="1" s="1"/>
  <c r="M491" i="1"/>
  <c r="N491" i="1" s="1"/>
  <c r="M625" i="1"/>
  <c r="N625" i="1" s="1"/>
  <c r="M840" i="1"/>
  <c r="N840" i="1" s="1"/>
  <c r="M171" i="1"/>
  <c r="N171" i="1" s="1"/>
  <c r="M195" i="1"/>
  <c r="N195" i="1" s="1"/>
  <c r="M225" i="1"/>
  <c r="N225" i="1" s="1"/>
  <c r="M738" i="1"/>
  <c r="N738" i="1" s="1"/>
  <c r="M19" i="1"/>
  <c r="N19" i="1" s="1"/>
  <c r="M157" i="1"/>
  <c r="N157" i="1" s="1"/>
  <c r="M243" i="1"/>
  <c r="N243" i="1" s="1"/>
  <c r="M81" i="1"/>
  <c r="N81" i="1" s="1"/>
  <c r="M147" i="1"/>
  <c r="N147" i="1" s="1"/>
  <c r="M181" i="1"/>
  <c r="N181" i="1" s="1"/>
  <c r="M55" i="1"/>
  <c r="N55" i="1" s="1"/>
  <c r="M127" i="1"/>
  <c r="N127" i="1" s="1"/>
  <c r="M299" i="1"/>
  <c r="N299" i="1" s="1"/>
  <c r="M314" i="1"/>
  <c r="N314" i="1" s="1"/>
  <c r="M344" i="1"/>
  <c r="N344" i="1" s="1"/>
  <c r="M599" i="1"/>
  <c r="N599" i="1" s="1"/>
  <c r="M710" i="1"/>
  <c r="N710" i="1" s="1"/>
  <c r="M97" i="1"/>
  <c r="N97" i="1" s="1"/>
  <c r="M751" i="1"/>
  <c r="N751" i="1" s="1"/>
  <c r="M75" i="1"/>
  <c r="N75" i="1" s="1"/>
  <c r="M218" i="1"/>
  <c r="N218" i="1" s="1"/>
  <c r="M517" i="1"/>
  <c r="N517" i="1" s="1"/>
  <c r="M618" i="1"/>
  <c r="N618" i="1" s="1"/>
  <c r="M833" i="1"/>
  <c r="N833" i="1" s="1"/>
  <c r="M923" i="1"/>
  <c r="N923" i="1" s="1"/>
  <c r="M563" i="1"/>
  <c r="N563" i="1" s="1"/>
  <c r="M622" i="1"/>
  <c r="N622" i="1" s="1"/>
</calcChain>
</file>

<file path=xl/sharedStrings.xml><?xml version="1.0" encoding="utf-8"?>
<sst xmlns="http://schemas.openxmlformats.org/spreadsheetml/2006/main" count="6590" uniqueCount="425">
  <si>
    <t>date</t>
  </si>
  <si>
    <t>Month</t>
  </si>
  <si>
    <t>Name</t>
  </si>
  <si>
    <t>Category</t>
  </si>
  <si>
    <t>Product Name</t>
  </si>
  <si>
    <t>State</t>
  </si>
  <si>
    <t>Gender</t>
  </si>
  <si>
    <t>Quantity</t>
  </si>
  <si>
    <t>Cost</t>
  </si>
  <si>
    <t>Price</t>
  </si>
  <si>
    <t>Purchase Cost</t>
  </si>
  <si>
    <t>Sale Price</t>
  </si>
  <si>
    <t>Profit</t>
  </si>
  <si>
    <t>Status</t>
  </si>
  <si>
    <t>june</t>
  </si>
  <si>
    <t>Horizon Wellness</t>
  </si>
  <si>
    <t>Decor</t>
  </si>
  <si>
    <t>Car accessories</t>
  </si>
  <si>
    <t>Assam</t>
  </si>
  <si>
    <t>Female</t>
  </si>
  <si>
    <t>True Value Electronics</t>
  </si>
  <si>
    <t>Punjab</t>
  </si>
  <si>
    <t>Harmony Homes Realty</t>
  </si>
  <si>
    <t>Chhattisgarh</t>
  </si>
  <si>
    <t>Stellar Advertising</t>
  </si>
  <si>
    <t>West Bengal</t>
  </si>
  <si>
    <t>Modern Trends Retail</t>
  </si>
  <si>
    <t>Madhya Pradesh</t>
  </si>
  <si>
    <t>Male</t>
  </si>
  <si>
    <t>Global Spectrum Consulting</t>
  </si>
  <si>
    <t>Jharkhand</t>
  </si>
  <si>
    <t>april</t>
  </si>
  <si>
    <t>Apex Solutions</t>
  </si>
  <si>
    <t xml:space="preserve">Fashion </t>
  </si>
  <si>
    <t>Women dress</t>
  </si>
  <si>
    <t>Gujarat</t>
  </si>
  <si>
    <t>Radiant Vision Studios</t>
  </si>
  <si>
    <t>Home décor</t>
  </si>
  <si>
    <t>Noble Travel Services</t>
  </si>
  <si>
    <t>Uttar Pradesh</t>
  </si>
  <si>
    <t>july</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</si>
  <si>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</si>
  <si>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</si>
  <si>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</si>
  <si>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</si>
  <si>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</si>
  <si>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</si>
  <si>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</si>
  <si>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</si>
  <si>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</si>
  <si>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</si>
  <si>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</si>
  <si>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</si>
  <si>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Stellar Realty</t>
  </si>
  <si>
    <t>Bihar</t>
  </si>
  <si>
    <t>Future Path Technologies</t>
  </si>
  <si>
    <t>Elite Edge Services</t>
  </si>
  <si>
    <t>august</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</si>
  <si>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</si>
  <si>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</si>
  <si>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</si>
  <si>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</si>
  <si>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</si>
  <si>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</si>
  <si>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</si>
  <si>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</si>
  <si>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</si>
  <si>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</si>
  <si>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</si>
  <si>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september</t>
  </si>
  <si>
    <t>Apex Publishing House</t>
  </si>
  <si>
    <t>Delhi</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</si>
  <si>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</si>
  <si>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</si>
  <si>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</si>
  <si>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</si>
  <si>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</si>
  <si>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</si>
  <si>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</si>
  <si>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</si>
  <si>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</si>
  <si>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</si>
  <si>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</si>
  <si>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</si>
  <si>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</si>
  <si>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october</t>
  </si>
  <si>
    <t>Radiant Fitness Studio</t>
  </si>
  <si>
    <t>Zenith Finance Co.</t>
  </si>
  <si>
    <t>Apex Events Management</t>
  </si>
  <si>
    <t>Stellar Media Group</t>
  </si>
  <si>
    <t>Harmony Finance Co.</t>
  </si>
  <si>
    <t>Pure Vision Ventures</t>
  </si>
  <si>
    <t>Legacy Travel Services</t>
  </si>
  <si>
    <t>Elite Spectrum Media</t>
  </si>
  <si>
    <t>Pinnacle Design Studio</t>
  </si>
  <si>
    <t>january</t>
  </si>
  <si>
    <t>Legacy Travel Ventures</t>
  </si>
  <si>
    <t>may</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</si>
  <si>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</si>
  <si>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</si>
  <si>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</si>
  <si>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</si>
  <si>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</si>
  <si>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</si>
  <si>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</si>
  <si>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</si>
  <si>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</si>
  <si>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</si>
  <si>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</si>
  <si>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</si>
  <si>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</si>
  <si>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</si>
  <si>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</si>
  <si>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</si>
  <si>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</si>
  <si>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</si>
  <si>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</si>
  <si>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</si>
  <si>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Laptop</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</si>
  <si>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</si>
  <si>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</si>
  <si>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</si>
  <si>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</si>
  <si>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</si>
  <si>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</si>
  <si>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</si>
  <si>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</si>
  <si>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</si>
  <si>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</si>
  <si>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</si>
  <si>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</si>
  <si>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</si>
  <si>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</si>
  <si>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</si>
  <si>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</si>
  <si>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</si>
  <si>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</si>
  <si>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</si>
  <si>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</si>
  <si>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</si>
  <si>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</si>
  <si>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</si>
  <si>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</si>
  <si>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</si>
  <si>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</si>
  <si>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</si>
  <si>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</si>
  <si>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</si>
  <si>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</si>
  <si>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</si>
  <si>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</si>
  <si>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</si>
  <si>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</si>
  <si>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</si>
  <si>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</si>
  <si>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</si>
  <si>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</si>
  <si>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</si>
  <si>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</si>
  <si>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</si>
  <si>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</si>
  <si>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november</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</si>
  <si>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</si>
  <si>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</si>
  <si>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</si>
  <si>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</si>
  <si>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</si>
  <si>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</si>
  <si>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</si>
  <si>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</si>
  <si>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</si>
  <si>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</si>
  <si>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</si>
  <si>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</si>
  <si>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</si>
  <si>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</si>
  <si>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</si>
  <si>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</si>
  <si>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</si>
  <si>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</si>
  <si>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</si>
  <si>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</si>
  <si>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</si>
  <si>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</si>
  <si>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</si>
  <si>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</si>
  <si>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</si>
  <si>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</si>
  <si>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</si>
  <si>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</si>
  <si>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december</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</si>
  <si>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</si>
  <si>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</si>
  <si>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</si>
  <si>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</si>
  <si>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</si>
  <si>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</si>
  <si>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</si>
  <si>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</si>
  <si>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</si>
  <si>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</si>
  <si>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</si>
  <si>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</si>
  <si>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</si>
  <si>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</si>
  <si>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</si>
  <si>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</si>
  <si>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</si>
  <si>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</si>
  <si>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</si>
  <si>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</si>
  <si>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</si>
  <si>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</si>
  <si>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</si>
  <si>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</si>
  <si>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</si>
  <si>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</si>
  <si>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</si>
  <si>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</si>
  <si>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</si>
  <si>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</si>
  <si>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</si>
  <si>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</si>
  <si>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</si>
  <si>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</si>
  <si>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</si>
  <si>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</si>
  <si>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</si>
  <si>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</si>
  <si>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</si>
  <si>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</si>
  <si>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</si>
  <si>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</si>
  <si>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</si>
  <si>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</si>
  <si>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</si>
  <si>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</si>
  <si>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</si>
  <si>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</si>
  <si>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february</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</si>
  <si>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</si>
  <si>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</si>
  <si>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</si>
  <si>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</si>
  <si>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</si>
  <si>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</si>
  <si>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</si>
  <si>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</si>
  <si>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</si>
  <si>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</si>
  <si>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</si>
  <si>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</si>
  <si>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</si>
  <si>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</si>
  <si>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</si>
  <si>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Golden Horizon Ventures</t>
  </si>
  <si>
    <t>Eternal Traditions</t>
  </si>
  <si>
    <t>Harmony Foods</t>
  </si>
  <si>
    <t>Sacred Roots Apparel</t>
  </si>
  <si>
    <t>Quantum Finance Services</t>
  </si>
  <si>
    <t>Brilliant Minds Academy</t>
  </si>
  <si>
    <t>Visionary Holdings</t>
  </si>
  <si>
    <t>Stellar Design Studio</t>
  </si>
  <si>
    <t>Classic Cuisines</t>
  </si>
  <si>
    <t>Bold Ventures</t>
  </si>
  <si>
    <t>Radiance Spa</t>
  </si>
  <si>
    <t>Verve Fitness Studio</t>
  </si>
  <si>
    <t>Sparkle Cleaners</t>
  </si>
  <si>
    <t>Global Reach Logistics</t>
  </si>
  <si>
    <t>Noble Path Finance</t>
  </si>
  <si>
    <t>Dynamic Events Management</t>
  </si>
  <si>
    <t>Crystal Waters Resort</t>
  </si>
  <si>
    <t>Excellence Tutors</t>
  </si>
  <si>
    <t>Horizon Builders</t>
  </si>
  <si>
    <t>Classic Heritage Crafts</t>
  </si>
  <si>
    <t>Prime Focus Media</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</si>
  <si>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</si>
  <si>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</si>
  <si>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</si>
  <si>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</si>
  <si>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</si>
  <si>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</si>
  <si>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</si>
  <si>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</si>
  <si>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</si>
  <si>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</si>
  <si>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Elite Essence Products</t>
  </si>
  <si>
    <t>Dynamic Creations</t>
  </si>
  <si>
    <t>Quantum Design Studio</t>
  </si>
  <si>
    <t>Apex Construction</t>
  </si>
  <si>
    <t>Legacy Innovations</t>
  </si>
  <si>
    <t>Pure Harmony Foods</t>
  </si>
  <si>
    <t>Zenith Security Systems</t>
  </si>
  <si>
    <t>Crystal Clear Beverages</t>
  </si>
  <si>
    <t>Metro Line Tech</t>
  </si>
  <si>
    <t>Urban Pulse Consulting</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</si>
  <si>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</si>
  <si>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</si>
  <si>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</si>
  <si>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</si>
  <si>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</si>
  <si>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</si>
  <si>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</si>
  <si>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</si>
  <si>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</si>
  <si>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</si>
  <si>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</si>
  <si>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</si>
  <si>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Royal Crest Foods</t>
  </si>
  <si>
    <t>Zenith Travels</t>
  </si>
  <si>
    <t>Quantum Media Group</t>
  </si>
  <si>
    <t>Legacy Builders</t>
  </si>
  <si>
    <t>Apex Spa &amp; Wellness</t>
  </si>
  <si>
    <t>Radiant Travel Services</t>
  </si>
  <si>
    <t>Modern Trends Consulting</t>
  </si>
  <si>
    <t>Global Horizon Ventures</t>
  </si>
  <si>
    <t>Elite Enterprises</t>
  </si>
  <si>
    <t>Pinnacle Health Innovations</t>
  </si>
  <si>
    <t>Horizon Fashion</t>
  </si>
  <si>
    <t>Crystal Essence Beverages</t>
  </si>
  <si>
    <t>Dynamic Pathways</t>
  </si>
  <si>
    <t>Radiance Apparel</t>
  </si>
  <si>
    <t>Zenith Design Group</t>
  </si>
  <si>
    <t>Modern Horizons Consulting</t>
  </si>
  <si>
    <t>Apex Realty Services</t>
  </si>
  <si>
    <t>Zenith Educational Group</t>
  </si>
  <si>
    <t>True Path Ventures</t>
  </si>
  <si>
    <t>Radiance Media</t>
  </si>
  <si>
    <t>Legacy Health Systems</t>
  </si>
  <si>
    <t>Urban Focus Products</t>
  </si>
  <si>
    <t>Visionary Innovations</t>
  </si>
  <si>
    <t>Horizon Design Studio</t>
  </si>
  <si>
    <t>Legacy Tech Products</t>
  </si>
  <si>
    <t>Pinnacle Wellness Services</t>
  </si>
  <si>
    <t>Urban Insight Consulting</t>
  </si>
  <si>
    <t>Crystal Horizons</t>
  </si>
  <si>
    <t>Radiant Apparel</t>
  </si>
  <si>
    <t>True Value Products</t>
  </si>
  <si>
    <t>Zenith Health Products</t>
  </si>
  <si>
    <t>Stellar Wellness Products</t>
  </si>
  <si>
    <t>Radiant Consulting Group</t>
  </si>
  <si>
    <t>Harmony Ventures Co.</t>
  </si>
  <si>
    <t>Urban Path Technologies</t>
  </si>
  <si>
    <t>Modern Vision Ventures</t>
  </si>
  <si>
    <t>Elite Travel Services</t>
  </si>
  <si>
    <t>Crystal Innovations Group</t>
  </si>
  <si>
    <t>Pinnacle Fitness Studio</t>
  </si>
  <si>
    <t>Stellar Travel Agency</t>
  </si>
  <si>
    <t>True Path Consulting</t>
  </si>
  <si>
    <t>Legacy Finance Group</t>
  </si>
  <si>
    <t>Pinnacle Design Ventures</t>
  </si>
  <si>
    <t>Stellar Innovations Co.</t>
  </si>
  <si>
    <t>Harmony Marketing Co.</t>
  </si>
  <si>
    <t>Urban Tech Innovations</t>
  </si>
  <si>
    <t>Crystal Wellness Group</t>
  </si>
  <si>
    <t>Apex Media Co.</t>
  </si>
  <si>
    <t>Legacy Health Ventures</t>
  </si>
  <si>
    <t>Pinnacle Spectrum Co.</t>
  </si>
  <si>
    <t>Stellar Travel Products</t>
  </si>
  <si>
    <t>Radiance Finance Services</t>
  </si>
  <si>
    <t>Modern Travel Agency</t>
  </si>
  <si>
    <t>Crystal Path Consulting</t>
  </si>
  <si>
    <t>Zenith Educational Services</t>
  </si>
  <si>
    <t>Apex Innovations Co.</t>
  </si>
  <si>
    <t>Pure Harmony Health</t>
  </si>
  <si>
    <t>Apex Travel Innovations</t>
  </si>
  <si>
    <t>Modern Health Products</t>
  </si>
  <si>
    <t>Harmony Finance Group</t>
  </si>
  <si>
    <t>Pure Vision Consulting</t>
  </si>
  <si>
    <t>Legacy Spectrum Co.</t>
  </si>
  <si>
    <t>Stellar Media Services</t>
  </si>
  <si>
    <t>Radiant Innovations Group</t>
  </si>
  <si>
    <t>Horizon Path Ventures</t>
  </si>
  <si>
    <t>Zenith Tech Co.</t>
  </si>
  <si>
    <t>Apex Finance Ventures</t>
  </si>
  <si>
    <t>Zenith Wellness Co.</t>
  </si>
  <si>
    <t>Apex Design Services</t>
  </si>
  <si>
    <t>Pure Health Ventures</t>
  </si>
  <si>
    <t>Legacy Spectrum Group</t>
  </si>
  <si>
    <t>Pinnacle Media Ventures</t>
  </si>
  <si>
    <t>Stellar Innovations Group</t>
  </si>
  <si>
    <t>Radiant Educational Co.</t>
  </si>
  <si>
    <t>Harmony Edge Ventures</t>
  </si>
  <si>
    <t>Apex Finance Group</t>
  </si>
  <si>
    <t>Pure Harmony Media</t>
  </si>
  <si>
    <t>Legacy Health Co.</t>
  </si>
  <si>
    <t>ACCOUNTS EXPERT</t>
  </si>
  <si>
    <t>CHAIR</t>
  </si>
  <si>
    <t>Party Name</t>
  </si>
  <si>
    <t>City</t>
  </si>
  <si>
    <t>Amount</t>
  </si>
  <si>
    <t>Reliance Enterprises</t>
  </si>
  <si>
    <t>Computer</t>
  </si>
  <si>
    <t>Tata Solutions</t>
  </si>
  <si>
    <t>Mumbai</t>
  </si>
  <si>
    <t>Infosys Technologies</t>
  </si>
  <si>
    <t>Wipro Digital</t>
  </si>
  <si>
    <t>Adani Industries</t>
  </si>
  <si>
    <t>Mahindra Innovations</t>
  </si>
  <si>
    <t>Speakers</t>
  </si>
  <si>
    <t>Chennai</t>
  </si>
  <si>
    <t>HDFC Finance</t>
  </si>
  <si>
    <t>Flipkart Retail</t>
  </si>
  <si>
    <t>Byju’s EdTech</t>
  </si>
  <si>
    <t>Zomato Services</t>
  </si>
  <si>
    <t>Banglore</t>
  </si>
  <si>
    <t>Grand Total</t>
  </si>
  <si>
    <t>Sum of Amount</t>
  </si>
  <si>
    <t>Accounts Expert</t>
  </si>
  <si>
    <t>Haryana</t>
  </si>
  <si>
    <t>Pts Cad Expert</t>
  </si>
  <si>
    <t>Sum of Sale Price</t>
  </si>
  <si>
    <t>(blank)</t>
  </si>
  <si>
    <t>profit</t>
  </si>
  <si>
    <t>loss</t>
  </si>
  <si>
    <t>Details for Sum of Sale Price - Product Name: Women dress, Category: Fashion , Name: Absolute Solutions, State: Andhra Pradesh (+)</t>
  </si>
  <si>
    <t>Sum of Profit</t>
  </si>
  <si>
    <t>`</t>
  </si>
  <si>
    <t>(All)</t>
  </si>
  <si>
    <t>Row Labels</t>
  </si>
  <si>
    <t>Average of Amount</t>
  </si>
  <si>
    <t>Sum of Amount2</t>
  </si>
  <si>
    <t>Details for Sum of Amount2 - City: Banglore, Gender: Female</t>
  </si>
  <si>
    <t>Details for Sum of Amount2 - Product Name: Computer, Gender: Female</t>
  </si>
  <si>
    <t>% of 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</si>
</sst>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1" tint="0.14999847407452621"/>
        <bgColor indexed="64"/>
      </patternFill>
    </fill>
    <fill>
      <patternFill patternType="solid">
        <fgColor theme="4" tint="0.79998168889431442"/>
        <bgColor theme="4" tint="0.79998168889431442"/>
      </patternFill>
    </fill>
  </fills>
  <borders count="22">
    <border>
      <left/>
      <right/>
      <top/>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double">
        <color indexed="64"/>
      </top>
      <bottom style="medium">
        <color indexed="64"/>
      </bottom>
      <diagonal/>
    </border>
    <border>
      <left/>
      <right style="double">
        <color indexed="64"/>
      </right>
      <top/>
      <bottom/>
      <diagonal/>
    </border>
    <border>
      <left style="double">
        <color indexed="64"/>
      </left>
      <right style="double">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164" fontId="2" fillId="3"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164" fontId="2" fillId="3"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164" fontId="2" fillId="3" borderId="9" xfId="0" applyNumberFormat="1" applyFont="1" applyFill="1" applyBorder="1" applyAlignment="1">
      <alignment horizontal="center" vertical="center"/>
    </xf>
    <xf numFmtId="0" fontId="2" fillId="3"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0" xfId="0" pivotButton="1"/>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 fillId="0" borderId="0" xfId="0" applyFont="1"/>
    <xf numFmtId="14" fontId="0" fillId="0" borderId="0" xfId="0" applyNumberFormat="1"/>
    <xf numFmtId="10" fontId="0" fillId="0" borderId="0" xfId="0" applyNumberFormat="1"/>
    <xf numFmtId="0" fontId="2" fillId="5" borderId="20" xfId="0" applyFont="1" applyFill="1" applyBorder="1"/>
    <xf numFmtId="0" fontId="2" fillId="0" borderId="20" xfId="0" applyFont="1" applyBorder="1"/>
    <xf numFmtId="0" fontId="2" fillId="5" borderId="21" xfId="0" applyFont="1" applyFill="1" applyBorder="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center"/>
    </xf>
    <xf numFmtId="0" fontId="0" fillId="0" borderId="0" xfId="0" applyNumberFormat="1"/>
  </cellXfs>
  <cellStyles count="1">
    <cellStyle name="Normal" xfId="0" builtinId="0"/>
  </cellStyles>
  <dxfs count="1">
    <dxf>
      <numFmt numFmtId="165"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Table.xlsx]Sheet8!PivotTable9</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601413379787055"/>
              <c:y val="0.153187681542917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065530776654703"/>
              <c:y val="-7.7728446134019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7655637322998"/>
              <c:y val="0.111662377641588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Sheet8!$E$2</c:f>
              <c:strCache>
                <c:ptCount val="1"/>
                <c:pt idx="0">
                  <c:v>Sum of Amount</c:v>
                </c:pt>
              </c:strCache>
            </c:strRef>
          </c:tx>
          <c:dPt>
            <c:idx val="0"/>
            <c:bubble3D val="0"/>
            <c:explosion val="1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51-4794-AB86-9BF5F80AF89A}"/>
              </c:ext>
            </c:extLst>
          </c:dPt>
          <c:dPt>
            <c:idx val="1"/>
            <c:bubble3D val="0"/>
            <c:explosion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051-4794-AB86-9BF5F80AF89A}"/>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51-4794-AB86-9BF5F80AF89A}"/>
              </c:ext>
            </c:extLst>
          </c:dPt>
          <c:dLbls>
            <c:dLbl>
              <c:idx val="0"/>
              <c:layout>
                <c:manualLayout>
                  <c:x val="-0.14065530776654703"/>
                  <c:y val="-7.7728446134019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51-4794-AB86-9BF5F80AF89A}"/>
                </c:ext>
              </c:extLst>
            </c:dLbl>
            <c:dLbl>
              <c:idx val="1"/>
              <c:layout>
                <c:manualLayout>
                  <c:x val="0.14677655637322998"/>
                  <c:y val="0.111662377641588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051-4794-AB86-9BF5F80AF89A}"/>
                </c:ext>
              </c:extLst>
            </c:dLbl>
            <c:dLbl>
              <c:idx val="2"/>
              <c:layout>
                <c:manualLayout>
                  <c:x val="-0.19601413379787055"/>
                  <c:y val="0.153187681542917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051-4794-AB86-9BF5F80AF8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Sheet8!$D$3:$D$6</c:f>
              <c:strCache>
                <c:ptCount val="3"/>
                <c:pt idx="0">
                  <c:v>Computer</c:v>
                </c:pt>
                <c:pt idx="1">
                  <c:v>Laptop</c:v>
                </c:pt>
                <c:pt idx="2">
                  <c:v>Speakers</c:v>
                </c:pt>
              </c:strCache>
            </c:strRef>
          </c:cat>
          <c:val>
            <c:numRef>
              <c:f>Sheet8!$E$3:$E$6</c:f>
              <c:numCache>
                <c:formatCode>General</c:formatCode>
                <c:ptCount val="3"/>
                <c:pt idx="0">
                  <c:v>2505994</c:v>
                </c:pt>
                <c:pt idx="1">
                  <c:v>1995561</c:v>
                </c:pt>
                <c:pt idx="2">
                  <c:v>1600268</c:v>
                </c:pt>
              </c:numCache>
            </c:numRef>
          </c:val>
          <c:extLst>
            <c:ext xmlns:c16="http://schemas.microsoft.com/office/drawing/2014/chart" uri="{C3380CC4-5D6E-409C-BE32-E72D297353CC}">
              <c16:uniqueId val="{00000000-1051-4794-AB86-9BF5F80AF89A}"/>
            </c:ext>
          </c:extLst>
        </c:ser>
        <c:ser>
          <c:idx val="1"/>
          <c:order val="1"/>
          <c:tx>
            <c:strRef>
              <c:f>Sheet8!$F$2</c:f>
              <c:strCache>
                <c:ptCount val="1"/>
                <c:pt idx="0">
                  <c:v>% of Grand 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EE6-4286-A811-E447B4BA44FF}"/>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EE6-4286-A811-E447B4BA44FF}"/>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EE6-4286-A811-E447B4BA44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Sheet8!$D$3:$D$6</c:f>
              <c:strCache>
                <c:ptCount val="3"/>
                <c:pt idx="0">
                  <c:v>Computer</c:v>
                </c:pt>
                <c:pt idx="1">
                  <c:v>Laptop</c:v>
                </c:pt>
                <c:pt idx="2">
                  <c:v>Speakers</c:v>
                </c:pt>
              </c:strCache>
            </c:strRef>
          </c:cat>
          <c:val>
            <c:numRef>
              <c:f>Sheet8!$F$3:$F$6</c:f>
              <c:numCache>
                <c:formatCode>0.00%</c:formatCode>
                <c:ptCount val="3"/>
                <c:pt idx="0">
                  <c:v>0.41069595102971684</c:v>
                </c:pt>
                <c:pt idx="1">
                  <c:v>0.32704340981375568</c:v>
                </c:pt>
                <c:pt idx="2">
                  <c:v>0.26226063915652748</c:v>
                </c:pt>
              </c:numCache>
            </c:numRef>
          </c:val>
          <c:extLst>
            <c:ext xmlns:c16="http://schemas.microsoft.com/office/drawing/2014/chart" uri="{C3380CC4-5D6E-409C-BE32-E72D297353CC}">
              <c16:uniqueId val="{00000001-1051-4794-AB86-9BF5F80AF89A}"/>
            </c:ext>
          </c:extLst>
        </c:ser>
        <c:dLbls>
          <c:dLblPos val="inEnd"/>
          <c:showLegendKey val="0"/>
          <c:showVal val="0"/>
          <c:showCatName val="1"/>
          <c:showSerName val="0"/>
          <c:showPercent val="1"/>
          <c:showBubbleSize val="0"/>
          <c:showLeaderLines val="1"/>
        </c:dLbls>
        <c:firstSliceAng val="9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Table.xlsx]Sheet8!PivotTable9</c:name>
    <c:fmtId val="7"/>
  </c:pivotSource>
  <c:chart>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Sheet8!$E$2</c:f>
              <c:strCache>
                <c:ptCount val="1"/>
                <c:pt idx="0">
                  <c:v>Sum of Amount</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Sheet8!$D$3:$D$6</c:f>
              <c:strCache>
                <c:ptCount val="3"/>
                <c:pt idx="0">
                  <c:v>Computer</c:v>
                </c:pt>
                <c:pt idx="1">
                  <c:v>Laptop</c:v>
                </c:pt>
                <c:pt idx="2">
                  <c:v>Speakers</c:v>
                </c:pt>
              </c:strCache>
            </c:strRef>
          </c:cat>
          <c:val>
            <c:numRef>
              <c:f>Sheet8!$E$3:$E$6</c:f>
              <c:numCache>
                <c:formatCode>General</c:formatCode>
                <c:ptCount val="3"/>
                <c:pt idx="0">
                  <c:v>2505994</c:v>
                </c:pt>
                <c:pt idx="1">
                  <c:v>1995561</c:v>
                </c:pt>
                <c:pt idx="2">
                  <c:v>1600268</c:v>
                </c:pt>
              </c:numCache>
            </c:numRef>
          </c:val>
          <c:extLst>
            <c:ext xmlns:c16="http://schemas.microsoft.com/office/drawing/2014/chart" uri="{C3380CC4-5D6E-409C-BE32-E72D297353CC}">
              <c16:uniqueId val="{00000000-EFE9-4C28-A2DA-5DC3686A82FA}"/>
            </c:ext>
          </c:extLst>
        </c:ser>
        <c:dLbls>
          <c:showLegendKey val="0"/>
          <c:showVal val="1"/>
          <c:showCatName val="0"/>
          <c:showSerName val="0"/>
          <c:showPercent val="0"/>
          <c:showBubbleSize val="0"/>
        </c:dLbls>
        <c:gapWidth val="219"/>
        <c:axId val="1158835887"/>
        <c:axId val="1158836367"/>
      </c:barChart>
      <c:lineChart>
        <c:grouping val="standard"/>
        <c:varyColors val="0"/>
        <c:ser>
          <c:idx val="1"/>
          <c:order val="1"/>
          <c:tx>
            <c:strRef>
              <c:f>Sheet8!$F$2</c:f>
              <c:strCache>
                <c:ptCount val="1"/>
                <c:pt idx="0">
                  <c:v>% of Grand Total</c:v>
                </c:pt>
              </c:strCache>
            </c:strRef>
          </c:tx>
          <c:spPr>
            <a:ln w="28575" cap="rnd">
              <a:solidFill>
                <a:schemeClr val="accent5"/>
              </a:solidFill>
              <a:round/>
            </a:ln>
            <a:effectLst/>
          </c:spPr>
          <c:marker>
            <c:symbol val="circle"/>
            <c:size val="6"/>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Sheet8!$D$3:$D$6</c:f>
              <c:strCache>
                <c:ptCount val="3"/>
                <c:pt idx="0">
                  <c:v>Computer</c:v>
                </c:pt>
                <c:pt idx="1">
                  <c:v>Laptop</c:v>
                </c:pt>
                <c:pt idx="2">
                  <c:v>Speakers</c:v>
                </c:pt>
              </c:strCache>
            </c:strRef>
          </c:cat>
          <c:val>
            <c:numRef>
              <c:f>Sheet8!$F$3:$F$6</c:f>
              <c:numCache>
                <c:formatCode>0.00%</c:formatCode>
                <c:ptCount val="3"/>
                <c:pt idx="0">
                  <c:v>0.41069595102971684</c:v>
                </c:pt>
                <c:pt idx="1">
                  <c:v>0.32704340981375568</c:v>
                </c:pt>
                <c:pt idx="2">
                  <c:v>0.26226063915652748</c:v>
                </c:pt>
              </c:numCache>
            </c:numRef>
          </c:val>
          <c:smooth val="0"/>
          <c:extLst>
            <c:ext xmlns:c16="http://schemas.microsoft.com/office/drawing/2014/chart" uri="{C3380CC4-5D6E-409C-BE32-E72D297353CC}">
              <c16:uniqueId val="{00000001-EFE9-4C28-A2DA-5DC3686A82FA}"/>
            </c:ext>
          </c:extLst>
        </c:ser>
        <c:dLbls>
          <c:showLegendKey val="0"/>
          <c:showVal val="1"/>
          <c:showCatName val="0"/>
          <c:showSerName val="0"/>
          <c:showPercent val="0"/>
          <c:showBubbleSize val="0"/>
        </c:dLbls>
        <c:marker val="1"/>
        <c:smooth val="0"/>
        <c:axId val="18872399"/>
        <c:axId val="18869039"/>
      </c:lineChart>
      <c:catAx>
        <c:axId val="1158835887"/>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36367"/>
        <c:crosses val="autoZero"/>
        <c:auto val="1"/>
        <c:lblAlgn val="ctr"/>
        <c:lblOffset val="100"/>
        <c:noMultiLvlLbl val="0"/>
      </c:catAx>
      <c:valAx>
        <c:axId val="1158836367"/>
        <c:scaling>
          <c:orientation val="minMax"/>
        </c:scaling>
        <c:delete val="0"/>
        <c:axPos val="l"/>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35887"/>
        <c:crosses val="autoZero"/>
        <c:crossBetween val="between"/>
      </c:valAx>
      <c:valAx>
        <c:axId val="188690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2399"/>
        <c:crosses val="max"/>
        <c:crossBetween val="between"/>
      </c:valAx>
      <c:catAx>
        <c:axId val="18872399"/>
        <c:scaling>
          <c:orientation val="minMax"/>
        </c:scaling>
        <c:delete val="1"/>
        <c:axPos val="t"/>
        <c:numFmt formatCode="General" sourceLinked="1"/>
        <c:majorTickMark val="out"/>
        <c:minorTickMark val="none"/>
        <c:tickLblPos val="nextTo"/>
        <c:crossAx val="18869039"/>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'Main pivot Final'!$A$36:$A$56</c:f>
              <c:strCache>
                <c:ptCount val="21"/>
                <c:pt idx="0">
                  <c:v>State</c:v>
                </c:pt>
                <c:pt idx="1">
                  <c:v>Andhra Pradesh</c:v>
                </c:pt>
                <c:pt idx="2">
                  <c:v>Assam</c:v>
                </c:pt>
                <c:pt idx="3">
                  <c:v>Bihar</c:v>
                </c:pt>
                <c:pt idx="4">
                  <c:v>Chandigarh</c:v>
                </c:pt>
                <c:pt idx="5">
                  <c:v>Chhattisgarh</c:v>
                </c:pt>
                <c:pt idx="6">
                  <c:v>Delhi</c:v>
                </c:pt>
                <c:pt idx="7">
                  <c:v>Gujarat</c:v>
                </c:pt>
                <c:pt idx="8">
                  <c:v>Himachal Pradesh</c:v>
                </c:pt>
                <c:pt idx="9">
                  <c:v>Jharkhand</c:v>
                </c:pt>
                <c:pt idx="10">
                  <c:v>Karnataka</c:v>
                </c:pt>
                <c:pt idx="11">
                  <c:v>Kerala</c:v>
                </c:pt>
                <c:pt idx="12">
                  <c:v>Madhya Pradesh</c:v>
                </c:pt>
                <c:pt idx="13">
                  <c:v>Maharashtra</c:v>
                </c:pt>
                <c:pt idx="14">
                  <c:v>Punjab</c:v>
                </c:pt>
                <c:pt idx="15">
                  <c:v>Rajasthan</c:v>
                </c:pt>
                <c:pt idx="16">
                  <c:v>Tamil Nadu</c:v>
                </c:pt>
                <c:pt idx="17">
                  <c:v>Telangana</c:v>
                </c:pt>
                <c:pt idx="18">
                  <c:v>Uttar Pradesh</c:v>
                </c:pt>
                <c:pt idx="19">
                  <c:v>Uttarakhand</c:v>
                </c:pt>
                <c:pt idx="20">
                  <c:v>West Bengal</c:v>
                </c:pt>
              </c:strCache>
            </c:strRef>
          </c:cat>
          <c:val>
            <c:numRef>
              <c:f>'Main pivot Final'!$B$36:$B$56</c:f>
              <c:numCache>
                <c:formatCode>General</c:formatCode>
                <c:ptCount val="21"/>
                <c:pt idx="1">
                  <c:v>301266</c:v>
                </c:pt>
                <c:pt idx="2">
                  <c:v>548403</c:v>
                </c:pt>
                <c:pt idx="3">
                  <c:v>399259</c:v>
                </c:pt>
                <c:pt idx="4">
                  <c:v>373255</c:v>
                </c:pt>
                <c:pt idx="5">
                  <c:v>596183</c:v>
                </c:pt>
                <c:pt idx="6">
                  <c:v>393650</c:v>
                </c:pt>
                <c:pt idx="7">
                  <c:v>1008276</c:v>
                </c:pt>
                <c:pt idx="8">
                  <c:v>816663</c:v>
                </c:pt>
                <c:pt idx="9">
                  <c:v>1133104</c:v>
                </c:pt>
                <c:pt idx="10">
                  <c:v>864313</c:v>
                </c:pt>
                <c:pt idx="11">
                  <c:v>540922</c:v>
                </c:pt>
                <c:pt idx="12">
                  <c:v>836610</c:v>
                </c:pt>
                <c:pt idx="13">
                  <c:v>1792706</c:v>
                </c:pt>
                <c:pt idx="14">
                  <c:v>782804</c:v>
                </c:pt>
                <c:pt idx="15">
                  <c:v>913872</c:v>
                </c:pt>
                <c:pt idx="16">
                  <c:v>1256292</c:v>
                </c:pt>
                <c:pt idx="17">
                  <c:v>388578</c:v>
                </c:pt>
                <c:pt idx="18">
                  <c:v>1837718</c:v>
                </c:pt>
                <c:pt idx="19">
                  <c:v>701022</c:v>
                </c:pt>
                <c:pt idx="20">
                  <c:v>1877109</c:v>
                </c:pt>
              </c:numCache>
            </c:numRef>
          </c:val>
          <c:extLst>
            <c:ext xmlns:c16="http://schemas.microsoft.com/office/drawing/2014/chart" uri="{C3380CC4-5D6E-409C-BE32-E72D297353CC}">
              <c16:uniqueId val="{00000000-ABB7-46B3-9497-652E5D756242}"/>
            </c:ext>
          </c:extLst>
        </c:ser>
        <c:dLbls>
          <c:showLegendKey val="0"/>
          <c:showVal val="0"/>
          <c:showCatName val="0"/>
          <c:showSerName val="0"/>
          <c:showPercent val="0"/>
          <c:showBubbleSize val="0"/>
        </c:dLbls>
        <c:axId val="243879167"/>
        <c:axId val="243877247"/>
      </c:radarChart>
      <c:catAx>
        <c:axId val="24387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77247"/>
        <c:crosses val="autoZero"/>
        <c:auto val="1"/>
        <c:lblAlgn val="ctr"/>
        <c:lblOffset val="100"/>
        <c:noMultiLvlLbl val="0"/>
      </c:catAx>
      <c:valAx>
        <c:axId val="24387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7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726C2A01-A45C-4D41-AFDD-EDF580B50BBD}">
          <cx:tx>
            <cx:txData>
              <cx:f>_xlchart.v1.1</cx:f>
              <cx:v>Sum of Profit</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B5DD257-9FDF-4942-AF66-4938630786A2}">
          <cx:dataLabels>
            <cx:visibility seriesName="0" categoryName="1" value="0"/>
            <cx:separator>, </cx:separator>
          </cx:dataLabels>
          <cx:dataId val="0"/>
          <cx:layoutPr>
            <cx:geography cultureLanguage="en-US" cultureRegion="IN" attribution="Powered by Bing">
              <cx:geoCache provider="{E9337A44-BEBE-4D9F-B70C-5C5E7DAFC167}">
                <cx:binary>1H1Zc9y4ku5fcfjp3ohLNfZlYnoihlUlWvLS3rrd7heGbMskuJMguP36m+WlR4WWLB8cz4P14nBV
EUxm4ssNH8D/fL/8x/vq+mp4sNRVY//j/fLrw3wcu//45Rf7Pr+ur+xZbd4PrW0/jmfv2/qX9uNH
8/76lw/D1Wya7BeCMPvlfX41jNfLw//6Txgtu26ftO+vRtM2L9z1sL68tq4a7Te+u/WrB1cfatPs
jR0H837Evz78b2uv6ocPrpvRjOvrtbv+9eHJTx4++MUf6B83fVCBXKP7ANcScUY5o0pjpT//PXxQ
tU325WtNzhSRXCNNP39Lv9762VUNl98rzSdZrj58GK6thWf59O/fl50IDp++evjgfeua8aitDBT3
68OL5oO5evjA2Hb3+Ytde5T64tmnx/zlVM//9Z/eB/Dg3ic3TOFr6b6v/mmJ5kM+XD14Plx9uLb5
V738+ybB/ExyzsEg6DaTSH2mBWeYa3a7Sb5brDts413vG+n5T2Wk2AAof5xtCD8TUiuOOUWf/vAJ
XBR8jbQQTJOv9/yMk3vFuN0WXy7zTBC//KlMsMvzq3E0NrsafiBKCD4jQiimObnVEuQMMQyuC3mW
+F5pbjfI6dWeXXavfzK7XIF3/bFWoehMEg0RRYnbrCLFmVSIY8nlZ9/FTmGyy79HpLtM8z/X+oZ5
9FMZ5pGpryCXqH58aKH4TBPKATe3gkbKM0IFwVSoz9YTp+b5VwS73Uj/HMEz1aOfK7zsr6vcfFXS
vx/6iToTjFKNxO3wkWcYcyYh/nyGj2efe6W53ShfLvMssX/yU4EmccXVcDX+QFuQM6GJ0PiLq9L6
JNRLfMa1RFTBTz7/fb3154j/HfLcbo2/L/TskVz+VPa4hLyrPLrzr2r5AeigZ4ILTLT6UoyoE4tA
8sUFw5SIL6WMF1y+S6LbbXLjUs8qlz9XaHl8NTRX41UJNdWPqiAxO5MYMcLY7TFFnGFImSFhvr2C
/C6JbrfKjUs9qzz+758KK4+vh6vqR5oEnTEoDjH8/e2bbhT1kIUxBH6L4S9RxkuR7xfnDnt8eQzf
GD9XIHl69SFf/xfKekLPOFWQ+vIvydVp6SjVGVFKC0q/2MzrtHy/WLcbx7/eM9LTnyvvenoF4eXK
5uPwI2GjzxhUk4pCv+vTn2ch8GRIaUq+9F00/+pEP0f875TpLvPceCDfNj9XjHnumuLq3Vfd/Pth
H2pKxQj0u4g8ifeSn4EHU0ijLxmah5j75bjdFF+v86zwPP6pYsrLq+LKjpCA/ThDQK+YK0YJVV9T
4lN70DPFESbg4z7Dx8PHd0l0u0luXOpZ5eXPlRW/vqpN9eDZ1Qf348yC8RnCAiOkTvNhiCgMSUQQ
B9x8zvY+O6rvE+J2S9y81jPFa2jK/0Tt+9fX1VWTXTU/MoDIM4jtgsNiyiky9BlC+tir/BI64OsT
g3yPKHfY438u9c2R/FTm+H0cYfXthy+mgM/61PHCgI9bYrpCUDMKysnXktKLId8t1e3W8S73LPT7
z5VzfXqYqx9c00Nwh4odQSv/SxvlH8gB/0Wh5P9SyHgx5Ttl+oZ1vj6Qb5vHPxV63lzb8UF8Df6s
+upa/v3ECyoWdVxoRPI08VLyTEtoe7EvFb2fCH+nMLcb5eRizyhvfq4U7P+8gwhT/t/7DPIDl6hv
D783Oz0nv/hXuQIEuAKEI8W/Gt6PclRQIWF99LOr9brTX9by75bm9gnx5bITwf+XiQF3W+RvKsUe
umiHTxyMG7yBb3/76fGAFuJdetKIO3nKrxPn4sOvDzGGyPQ3s+M4xEkGcaLbv39/DRXArw+1hDqJ
Ew2FLYGFA06hrJ3BX/z6UKgz+D8Ge0HFC0tCx2+adhjzXx9SeQawh1RGIKEpVMTQTLWtO34Fa3gC
AfaVJBIKMA1r3V8f7XlbrVnb/K2HL/9/0Lj6eWua0f76EMbpPv/qKGZEMJNMQt/2+Pn7q5dApoEf
4f+niZmErRZ5GHle5fG2reubnIjlM/PjM/HjXxgetHdz+EJG5TovjTzkQz8ML2exoex1tmztxxtq
vmV8mNO3ig8ttJvj63orlStTcdCE2+1Fh2uN4pwWHMeIoZrEjPZjev7tm92lKzDTzZtZsFExZ404
LJYqGitEsyFuV6H++vb44NZvfRh0Or7UPeoKvYqDwx17ivHM6lczKpB4sqqxWZJIbmKI67XvXn77
hnc8EIWllZsP1CnUTfJ4w6nScrlsc5e6HbMuN4dv3+A40C2zi0JWcfMGymwzGh3lh7m0cr4UK03J
ristyZ/wMi/IU+xKV+562zerjFHFcH+OmnwaHn37/vioutsEOKr6xvTuZG1Lbld+cFk29TtFVCIp
/tiVtJ/LuM/mqY7dKqMn7Zzh8uBI26omjjJFamin/u0Inn++13cAjB5n7g0Jqmytp4rPoAJF+I4O
7UfJZ3PP891lQEjLbg7eAlJntY78sK5W/onatY3TyRW/hYnu+YZKFUZYOvBDSY25RsDKe9JEpnS7
sOE939BGM+/6nPNDNcrpDzz3LF7STYZ5Hup5hqGai64jPT+MbbRtB7RE07AXXdvKQPE9b0CWDKu1
KsAbtMwVu1WIhcV9D1Daf1s/d/i2YzF707i1nmZeuEwmdWX79KWs6979QftNo8sxyrV8ATGAiotv
3+yumeT5HlKsUdPaLkqadpXiuTXQ9P2jHsfoY9D4xHM1ViGH5oWrZGtxfVgzFg3xYko73GON44y/
BejEU5ZuS1Y5sqZJG6mtPp8H3E2Hal6x2fcmZzrwNp4/oaxN1dxFMhlHR8ZHjWgbdNgaXC2Hzozz
EoZr4jmNvp36lC61SjpSbq/LYc1/a6TQr79ti7t05XmNuVwUniEXSUi0mENlB0mfZGxt+zclV+Vy
j6rumFHk+PkNx5errCuV7FQyVGy9iOoN/aYzPFRQXAT4VUJPh29TsyJQjkic7MkSo2Jhb8XWdoew
4T334SbZAoVKiGSqwAJjldUH5iLZBUrvOQ9naLNWa6ESZqcSbLCqJYotWs0WeAMPz6WOeK8X0L7G
dd9cdJg382Eo5DY/D1IQ9gAtyUotjhaRaJubP6Sy9vlisn4Nkx97QJPrAPQcaKkmHWWjeTRudNFx
XtYzCoMY9iC2mLUXIxlkUtqsYxe2JpOKC8eG+2Lz0fPc4pGwh7I1KzJUz2DiPl27YV9kVMrndbRN
4jIb07o8LBlZmz+rWtG/XJPNzT2e/K6cB3vAq5Ysle02gyusVNVd5pFNJWT2pYa0To1zwca4GYtt
2plcdPV5uWyZ3As20/bVhEbhAhXsAXRNRSRVGaVJLSO3p2aWiZIVvWd+4CNSblMvOcU/n8bF9KTX
CUXb0B42nE7jgafbVj3qNJXrb5mt249dxOb6EdtUw58tlJLmKZFKFX+qknB+jyh3OLpPEt5wdKop
eNfOhiWdTC3diU1fd8sy92F+9JOZbwxfDVTgdSlkMkTdnGQjZlWcUZV9CMIx8nDs8CBUUWQsybpF
veUQ3Z5ZFNVhbhQdwXFD+J5mTRFFUie8gkpm57Cqt9iZYbX3zLI7UIY8P2FNv3KyDCoZ1zklF4oN
A3q3dBgQl5MctXFjXFfHZBNd9r6rN0vCzII8/0HnpoJJNIhEqLR2cdcTW8erY1GgB0ee/9jYVvZO
DPLgeo4PYp2y/SbaaB9mds9JiFSjpuiXLbEuG5OtkUUshq64xwfdAQnkYR9WyfJogVQ1KYipd2TE
xT5dWxI4qTzoQ9XTKmzaLSFQN8Yox2+ajN2XSN4luheZsegatlTZlmRyHZ+6tUEQnvscF4HzxgvM
eeHGjg7rlkRprS/ItJT7lCqWhJiVH8mSN/FGu4l3Ywmjjylhu5lKG9samyDZufbQrBqyqUmCWaOR
5LuSuikWpWRBfhRYnaeyFyga0JzaLemxqc6tbrLdxNl2/m3NHGHzz3gBDbXT0ZuU59uGozmZI34N
ZWc5nbOx7JpknKUIfAIPsnSSU1OU6ZxQAO5LPbbFAbO2DCrHP7UCb9p2bCAVmjcxJy3j4kJp7vbF
2oS5G649yOKxrlK1FS7JbMUem6qWT7ulChTdQywE6rQsMR2Tvi1SvBs4sTuZL2Ue5M1g4ffUuDzN
bBlt0ObpGrNclmM2PnFpWgWCyoMs9EejCbtiPB9cNttXdEaq+o0PSuRh80Z5qC2xmfpsIgukhG7b
lR1/u+q1uWfi3+7Q+JGdcHPa8CIqmVLpdOirHMfUOhL3WrtA0T3Q0q5gJC3UBJqP3g4E8rtGL2mY
WZWH2bLbhiiy4ovojPQk5pMIFd1HK1epUzmeDnqGpjE5jm7DFXM0x43Mp0RTl1YWRl8Kne+cKl0s
BCkC1e6hNWdctUA5gdEZue4Nq84zk4V1trjy0FrC3lxlMhhcb65OKqkHqLzEEpQbcOVhdRmpTKu1
nA58TOd4wROJcZeOYSFKeVit8440LUXu0ExbE8+5uXbFhsO0Lj2c2m0Yuzaf3aEucxYLxt9GkyWB
g3s4RSkf6JpH40H2qNnbxVxZt9nAwT2Y9lYvBWTC7lAInceiMFXsBiIDR/dwKmkRZSbSILp2+KmF
5ZHnqcwq4Iz9650eLj2cLo6RhsHIyYZhZ3i8NUrwfTRGyobNGelBlfSLrl2XTcnK6maII9rxpJvJ
+D5Mfg+r2KRkaJcaImtqq0tdWLy3ZbEewkYnp37GDWlHs5W7ZNT0L1yQF5bRF2FD+0i1a1GvazQm
Jo+egXt8uxIZ1r7j0sOpNqaWuJFjUsy52rucv27LtA0zqPBw2pQ2GrRyLonMaHZVIZ9I0qOwyS48
nMLy7dzZRUWHplo+mBW/IbwGFkvATBceSpWZswji9ZrAsHaMN2JzEa+WZmGuV3g4nTLu8pINYwIs
H/QnG8EPxNZsOCzTEB5QXV8RVKWtS+p22PbtIt/lpksD1e6BNFWml5MZXMLXYd3VdQeil/etvB4H
uaU4EB5EdSOY6aJ6TGBVXj9VNsNPqyjt3oSZ1YMoGck4wLkSMB3zNI9pPf8plQk0qYfRjbW6SPPS
JQOfaIzV8rbq1fMwuT2Mspkts6EwdlTY18ytTzmzT4OG5h5C2zlNs5Fm4wGlUbSLivSJ2VBYfwA2
epy6RIy7Tm4RiQ5wSMBv9SrfqmGtwlzLkdN7M62LcsjThxZ0UuXNizZrz9M6D/Pk3EMn6+aVLtBT
P7Tb9GiYyWPGwyIo94DZrXwUbQe1naizJ6pdkmZIg5ZZOfdgaapxyZ0Dobv6921yu0L+ETZDPEhW
uhi6rQQjsrx8Nyz6hdpEmJ/iHh5dP5XLOosxWW2BX2/rSJLCUbsPE9xDJG3SpSmMHhMbAZWANOUj
neo/w8b2EFlWxnLYBRgduIHsNkLiimkaGNiYh0mY2H1fIQjJuRFLzC2L9lrLKQw4zAOlspMcGZ+i
Qy9eDe1eQRc7SCfMQ2Se5T3r83VMnAIyx0xtF+NevA4b3MPkDOvv69qk9oDz7tFcwdp+T4sxbKYw
D5aDc6iMKhhcVfw5dd17w9YhUCseLjXjK+qVtoehps85jL24KXRsD5p4NpLSBUPbmFD0xKmsuOzZ
IgK14qEzt2yqIJ+FicI3EW+o+L0SeViCxTxsLtqxudSA/IWuY7FDLBXtnkAGZMJcC/MA2s01S2Gt
Zkwy1l1F8/QGFh9+D5qKPllrohQNgoJenMv4vneliWFXvAzLI3ym1pBPEvrRCwi+LM9diy6XqQ9E
KPUQWtQSMZlTm6iSPq2AcHhQUpIwjfv8KpcNwI1005igrnrBompXDHlYkkJ9fPKoWTNa24QQTnZz
jYcdZsXHMHN6AF1hRcGqerRAMBBvM7tcGslfhQ3t4XMZxrRUJBqSFVdzXLWyP2/qIowZAZsCTjOg
ls+NnoC+k8AS0rZvtvaZpDZs2f8TR/ZmeuU6Ysscz0PSAv2liq0bosfRhNaXYZrx4DlHFLwic2DR
af1gIYNbrHoXNLRPcBoh8OSdaG1Siuzl0nUXqK7D5qHPbZpSVYqiYkOyTX1+mOaM7KOqeR8mtwdO
s7HUDktpE513u5Ktz2p1X9p5xMktVZXPYpoj6AdPnRySvJ64iwcpiqe96JZ4Lohbd2HyeyDlZbM0
ZcuHpDL0rypnb6KufB02tAfRBRiPlZDpAPif7KPJDjjGEwtcqvMJTBnJuRkoAcEZflNPUROzqPsj
THIPo/nSd+WAcptwYth82KhbWdyoKi/DgjTxAinLs0w5VcGUXKIXpiavTR9YixMPo5XhPRTMMHS6
6hcjMr+lVIQtQ/mcpUqtad1P65DQtCZJpMj4AmezCWL6wsGBp46RyAnxycBMTNG2xuvQJ5QFEsbg
6K7TwesljcbF5kPSTB2K0STP+zkL7A77XKhxYM4xDSoH9/h4Wsnjii9hGPJZUHrOKlf02ZDINGti
ua2P9WAC1818ppOGWYIWUg4JbqfnFPdPBjQGyu3F0MHA6oSYoz6xQr0xeHhRlX1YEYc9cKYLq8us
K4ZEgGZiDST0uF9rFeYPfTbSSIs+Klrdw7pN3u8GUr5wkQ5LQX0qEkJQZzUc9UlmaF3EMzQqDg5F
IkwxPhWpKDSw0ooVcKPXeqecEC8rg7Ywi/pUpKngIgWuXZ9seiA7bNkziKSBq+c+DclFjWr50sJ0
aTVDJfjatbR5rPRUhvVwfL4R0HORzpYGdJ/ls9w10DxL0pT1gesIPt1oLZ1TQ512iYps2e+muas/
Oi3nwKIRsVMHhmuC2KyjLhny1e7rTBQxaIiHVQE+4UjKZVFoQl3iKkF2SACvHA7bDfSPx7Msb2al
YwUMPEubLrFMZmOMN1JelevSZHFQuEZeNF3MIIZ5Ad20edHGZqx/XyocFvOQH05JO9eRdKD3RnWP
Vovs+Vy1+aMQyWFb/almJjrRtavmLilSvr1BbZo9gnPzujJIMcwnHFHwk5ysYFbdpL09l05RFvO0
FX3gDbywCotxZdt0E2ie2vliGNTveV+F9eaZTzmSZU2AYzx0iWTjK5PZF3M5vgrTu5f1Zuk606rK
+kQ2+q+mnXGcM3Yft/YIyX/m7ey45/DmdO+hZa4iV3cJHQr1l4RFhUeurKfAKeNF1hFFy7pR3iaA
VB0LoL7E0RrJQ5hiPKgOawRr9BWMzqfVxRx3l2VzH4vp0+LkbYrxcNqbBeh1irTJJMosjWG1uABn
I81S7rJaZ+WjulvnV6621QW1NBLJmOc9fw1b3GT/HI6lsMMrLWvxqIR1yfZRUTZMxLIy0IzPll6h
Od5Y0Q+/zz2J3A6tfVNetXke9TsBiSXZYw699oPs3OL2FYYu2U7AKvVy4fpIFQmRS84u0raY1x1G
0E34MwJm73qOaWHlnsoFxpwrM27nWa9zC7vtyObOa0KWbW+nmjZ/LZKx9PnIRFS8s5j3faI2oqdk
WOB599248UOBJq52jSS43IlVZu5RhttMPxGqgX1hqN/IK6L0HE9EDBedscOWoFar9Xyuq4ntp4Fl
/DDJmUELu8ontsuqrm4hn9V63anBUBnXrRnw47lJC31RUTyyZANtzztOy+li26L6WVlBbZ0AA7SQ
cZEO6faqwkUrg7IQpj2HWS/MidLRNhE8b6HrE8UkozrM3/hML8rSFRLJqktyUV+nrHyVShMmt8/z
mmAlZqkIyM1dmlhdXaYcBzUHmfK8JJ+AmYKhg5QQrZc4jXQZ6wq3gToRp+5mQBkVJSzaJRkpingp
+4+iGIKSPqY8P1nA9tapkahN3Oq6Z7BByzxq6ViHuTLlOcpcGOQaImySDSV7wiB/Bea/G98GuTLl
OcqhzqZp6qY2KVXm/hhUv0Ezv1FjoNo9T9k3ZoRtIrpNNDSVY06KJ/mWhW3+Yj7JCwGE4XDqrk3W
tkvrfYvmIll6ZMKqHObTvHBj8BZRmJEiq/lyILZxWywjXvb7IOX7VK+x7uc0ysc2gYWqj3PHLnlk
w3Z0QD50OuE7Nw9Tv8o2yZEGHtlo5VLtqC5IUGuZHY8NuRm/J95vdHKkS6pebyqWbU9hjV0REsbF
YNJD7Nw1FUZLBgkCvI8jdnIuDsaYwATB53t1ck6LLYMQDms0ww4YZWLXRTNKwgzrYXZGsFWam6aF
ja5VdSnoxMdY9IMI4/cz6aHWFk0GRKYW3HDj5GXeUPQX1LRrUCuYSQ+0cqn7rbaQr0Ira7lIWeoS
iUYZOOm9/IbQymlzjE6FqbOdnfssdmNdhzkcn/KFB7y4BerkJFobep0D2/x6q10dxvxkPumLE9oU
eVF2CRdyii5K3eAdSueZ37N2eMe+OuYTv2C7aZqKSjXJVmE6vO5KM7W7VDak28+2jV7DhrNnUaSr
Yg9ZXKl3mYZi9DyPOG/DrO/zw2CfrkCugPxzXvtc7aK6gAMo6rzpqqAymvkEMYHoBjXL0TOlI04f
1yaDfWdrv45oF4Q+nyK2ITfAjlfSJHD+qinjZS5mFhclmwITLOHBW9itHhoCN1gdAdry5t4Ae/99
mPAetKuxXkfttibphsbulox+3EYeKriH7KzfsLWlrJMJsfOKlJeE2KAWABMerOsoQtkMJ4gkI5vs
rowYLDXM28swpXjp8phXQ4bnqUlSN6iDy0kW19wEhkqfJzZLeD1RAxZNzLBE7+pipu+HCMJNkOw+
UcwWrGlZg+sEcq1nctoeV312z1kux/l2S6no88SyBdYZxdA2iV1IfomrQcXwqqU5LIj5VLG5FEZN
Ja0TWqo2iwul+stcuiYPg6lPGGN6aaloUJ1I3hS7XqtHJcNrWBzwKWND12RZqk2TaJbPT+xQs50c
i+nFt216zOxvU7wHUj2X6zRjiO/VxnpI+ZHN9KFCuG0PAqq6JizH8rk7cPpHmnbjUCXbIN9Bof60
lvmbbz/BHVPHP5KJTQiWBmE7FuwQbNMi7q2brmfahx09AF2h0+zQQK7c5GlTJbpTKXR3rLqoBXdh
kGKeG2tJ4ZZtAOHTLIcaH5MuhiMlAt2Bz9/RYpMrt9DswPOI131jYPF3VzRNMYVVuj41UK0iVYJm
bYIcHbsY7FAcPSbSbViKxf/hi43tJ23A5XDyyo3oZYbTMNVzzxPDmSGjQgPIDk1TvjcDrNBsDjdh
qPXZgQ34mKgEsucByyF9Oa1R96rJedgmNeazAyvTYIeIrY6hVb3oasqT0XAVpnSfIthB0wil9XHK
59Bsanv1ImKZCVSMVwy5dWxWt5oKiB9wMtcO9pT2b7dKt1Pg+J5Z1TSnHWS2VYJzse5VhtDzFvbz
vQxyNj6rbBUGOlxzH+0znC3tZYEwekZIx909gPpElrrFH/vEMnjPDlmEcODNhOP1bz3GjXtkyqkf
zqEQc+QcNroKu+95tbRPohWqgiedLPr6LbwfiZ07QbYLyaKVx3pLHZyusEZl+Vvd8IXs6r5fzW7L
8nR716arcedNBzF353ixvKc1Y4+nrhgvV5NP5zR1MwwBZ2DkMaoN217nGPa3vCiP51S8bozq7B4K
NrbBt8O8yxEwP58VXR5te/i1NU8pSdvpfZjSvQIdeI09OW5IPmQpLp5NutRPiCFZYID1KXFtVPKW
oalMyIKuBelfaJw9D5P8GHVv7GqEWnOtIzGXCd2AZ1sRdkFae99BGkfE3DZVjgHxxuDORXW22aVM
+g7O6rgY7FbNe70C62E/Q4WQXQgtqjysu0a9MIh7DachTrxMoi4SB1bO1fnWVdnvYXoip4+Sr6mD
GpGWydSyfB+l25uxIPfp6ajs2/TkxRCMMuPKwZWJqJx5Baxq9pvKs+VqKXB0T2fzrlt4TgelWmak
68uDXWgp9vnYD72JpwGa7Rdmhh1t9xTVd5jcZ80BPSFzk6iyA7wJtSzPHV8wsMOi6mDqTZEdMLoD
u0o+iS7LoXeSDhUorSEREN3EG3BEgTnV8Q0JN2duBAeOQCOgKRMMy3Ejnc9Hiu9x0HdYwifRSQpc
zg324O7LrJfjha4sP2+VhnV/kU0VCmIXMHK8+w3ocRhbGCMjOKYDDhKEve7Zn7qXYVtb4R1Fp6Pb
VffGrEORSMnHc+BcqzjNcWCx4hPpJgOtSOpwnhim2Hk3rfVeaRNWxxEPyEh0uKpkle7xZC5RSmPW
ikCdezBeKapsO8LQ28YOqe7Pa0PC6kOfQ7fCQWjG6jLdl4Y8ljx63IvALp7PoQNa4fHAWpPuu2Lu
LwtrxyTi9FWQ2/QpdCmX+bTSCCY7zuyh6wYWr7pi52GjeyhFuhxSjiKTSGO7x8B6fdNna9jhsHAg
7+kcz4TMook4k1Qrqc6dHptHqK/CqKhwjvDp6NG6wHpKPZjEFEW/73L1JJKDPYTpxYPnUqDeWdrq
/Vgzs5wTMv/eDWUZ2FQ8nqB807fkrR77ijV630w9rN22STG0YUHcp9Kt+bJkdQaJVDU6EzeuQbut
4vd43uPj3xJmfSbdBOz8DXb4AYjs1MbAGtt1Ak4UDtO5F2A3OKTHTmNnYNdSve6arGv7OB0aHUZI
Yz6XTtcr7LkouYaNVu1GYlWlw+N2KU3YPkh4j9mpUZ1o0kb2VO/reYM12xfAArhHM5/Ym7fo3efS
MbFhOJwqyxO8RnR6jEzNYYNRBmd5voaTktrEcL3RWPZTzQ8Cumvzrh9LPsEJmZ1Yz3unUX/YOpyR
q1pyMiWpokYGdeDp8cj9m3O50iPdqOL2YOQynPN0hDOFozJsXY36xBs6E7pV5WgPdK5zYFmMr2FL
5XKPXu+Yzj6BcIl6DEeGjMdKbxizC0ORcofclrbZB01pn0HYGDMKhXO5X4ZcgG9dC9fscniTJA0r
m3wK4TCWbpvSzh1cm3eHWrF532kW1iT3GYSQbXLa0dod8PHIspn3sMmcySBqOPMJhJ2cmE1HGHxy
cOx0ZVkftxUJoycynz7Icgcb+V3jDqTA3Y6WuIihv/cuzKqeo2pLBa8ZoOl4mEhexyqKYO/ZwlBQ
SIb3GZziKQOaLGIRHQ8tkILithyyZ5Wk4x8hssNR+aejs7nrKBb9eIg0LNiwcssOZuVBiqH+cWVm
mHELa8jjAY7XJM+beinfCbTJoAyO+tzBjedzP7rJHppGVDs4dBsOs2Fp2IEt1D/sy809HJklV3tY
Jd7iEpXDTpZhuQqF9xKc+EheOhHRHkTfajiuZR7Xj2jIw/YSUv+kr2jr6j6tqDtksHtmr+c834FT
C1u8hxNmT0XfYBtEaiZIrGRH3tmavqpzEra9GtjHp2PnNfQe2465g0EDipeOpIc0BRrdt6f6MQD9
M2hSn/1V4bInZUvVuUgrPj3PXW3q81WQajhnQwdR8Nu3uT2IwBvoTh8inWjKcAEPAa9yivbT/+fs
y5YrxbVtf+gSAQgJ6RVYy17u0047mxeisgOEBEISCPH1d/i8Hd9be0fka0XUSgxq5hxzNDnt6mlf
/44JRj76fZm+Lb1n+PWum4aGgwZWizn++rtH/3B1jxJ7CnxGezK7ifWgF9k43f7V7QG/xv/9XoQp
Uq8ptadtXLez7nlewcD4+KvrA9kS//vXoyaMHTbYk+8Pdc7c+Hpkkv7lJ/2wXY9eF8cMrOdkeF/W
Wu2yBiX172j/CF79348+lbH0JW/NKdGJreVhpoqY+HfOTeQjDawtCmUzycxp8EtfH1SrmsO5/q8K
GvKRA7ZmEZCz7fhZyun4fKRmf5Pp9N+s5P9lK31kgbUkhGwFWflEbQY9yvutbRC/Wf3Vav/IASuy
DHB1FOJcJIDOt+TnrKbPf/fTHzrdMcuzFvkZ5Rk+X62qtgPsRN/v7uvf/fyHfZqpmcxHasWZGj2B
gCt31t+xTE387/bqR7sv4/iKUtiIs3BZJUV+o9K/LGc+kr9gxLX4mOOndYHr750PMf0dIZF8ZH4h
n2Fo+3IR5+Pd+mgMWVEXPQ9/uVw+bFOZqt4fcS4auHBdT9Y8pezv3ATJR9pXSkEqIloXDQP9QU7J
XTENn/5qqfw/lC/YCPWWTEWTs1VnV4VR0F33Qa+vf/f7H+rHyWSLVOtcnos522GhXrji5l2q99/8
BN9vzf/Ppf2RzzUkoyl4aNlZm8Rd+3bb9IMr0647QadatpdOH6G/90f735trZBP9yz/6YfuWMW+n
TS4Kvd8epr3O1KBycxpH7Dp17tt9VNUya8TVVBNZcLfvMtqpvMzKsF6f0VjLUVfqGLd46duYtP8Q
EkC7m1JQWseKyHiEUKHIMcvdyDJu7jfXhoxd9qQol7Gyh+qSoUqJGEhXWV8aFEIzw6erqFjm7h9j
e71mVTGWg76QY4TdcxPR0JddE5ct2HqMRO4vsJAL21DRERE/sPmOw+6mKhNrwopKRFjDj9eZGRms
7zUwS68r6ArUigd05Ty9mlyjG5Cl5H+00fjPdl2KrWGg+5JqxRsa620L+XB1xHVH6tKYEjf9MwO0
Lddqt1mahYpy1vXfpqEYxU/drQj6gZDzmK2u4PYl49d3kt61OXTcqwmmUa4OYXDZ2JQQTranAyOb
/JTk7e7qlmOliXpjIVLd5NtB09uMb0ycB7oeGrqwZY7XSAmY6pKZjd3LdB14kw4kkLov2YIqjGve
cA0D3GpfOrZM4G/Kue8aL9A0lzUQkr2b8WTLZMsKsfQldCPbcNUWJcpGnCVMrzf4WnM/VJajsqtE
lijdrHrKvy9esybEYy9/rsMRydnYmY4Ph805e+uXvCwfiG8JuTvanq9dow5oVIqzCGsGR4SDlau6
h0KD43uZYTB4uC49RLeeU7gaoxrT6XyM15GRPfxYuB7mrp43gMGXEgok8Tnby93FWk0FksQ6nrzb
QKpVTSGBiuUAaQsOOuW6raeIbznPl5wCSMsvbJx4X41sFGc29lM9sz1oC0giJm57ryw3d5uubjwF
izPqgc3dKj/ve95NHMthztezJNTt9dz1RQ6X2D6qBn1Nz79xT6b5VuwHQKCeputuq2A8wPxKcFrm
qKC8J4TUSIEj8lM2csvOMFgZ99spDxlQ7dTDW+3AmNlvHbRbaXTMg8nJYLKWqvVHrhJoZuxWFual
pDrjTd86Kn+g9+EKm0YX89Y4SWf3MK5pxz6DnrXos4wlZEJiTmd6c9AkH++yPozHr2FS81o0hU3m
4mHBpu1Pk+ljfjE6k8uXPtE8zXG8jR2jVakLYR5S78fsRyHblseq7YTurkLYNnqT2qGYv8rAIq3h
eZ+atOoCyQSsnSlTP1sfurGrxmXkPyhhi/kCdfnR15gu4e6CzmOO92D1OY7/eU6Kn7O023HRuYnx
83ikWVabHjvppyywzK+7MT8evEi7c5ovXD5yu5bslPLB9M/L2O/HU4DAI08wiYZvAG/enYjZxQU/
TX9GTG76W8kWEq/mWar2aslFZm/XBamatSxIkX/jDCnzv7Iwtg+QkCc3GCMdPyFt0ZUMtGs6GAQl
zT4cPNwgQ2I7rmEeRL4qMRSiMQrM/k9l7NX0kHXtkF3CPKzxlCy93K9FtCm7Ktk+pl9S1o7tc7+I
ztQm+gSeiDIVDiIazdx2sx2O2nuXHj69EMOMekVwRzs/rrBI789pP85l43e54ewMlNv+DP50Zu8X
sbGfCp4AU90CdwuP/Z5aHCX9vIcTo7O3XZNiWrXdjhIGx+e2Ww3kNUm5dZ977kRx0cYYVvk2sexH
3wtp6m5yo5cVn7I2RfZQQfaLU9r5xoc8TRrvpjyrJnUE8414gSdoaNplsDPc8RRD0jlbyT1x02l6
t+SpYGh3jA9LgDDtRI0N3/M0BoZ4tQ6RjjWiINg9yqXud4stXNZS9bmumQ50/hIXQikMjrSG5VlF
xuMYLsFDJfs5Ip/OtlW/+HLHeX+YMM+V9LimQwXEe3M/x8z77nnrD3GLHA6LW2GEZY14Vvip969p
/GpPMIjHuPM0hVzTCgLQiV4pkYnxtG0dUbHqMs+P27C7DtDFjngpcZ22EYUi5Gx9f3GIWkuqww5D
8sLoaPOmL9iaNC7dMtGU8Tjkm00PIq83fwRxteo5aZsl5G28I0jwekozJ4cXQMl5HKtBKS/OsI7v
/I0Y0cY8RIBL/FyMAy4937Z0Adm76Pc73aVyrOfDZr4ujC0TiBesa4cACd3hsmefjhqKjKnw/mnY
0zK/njE3lg8z7O6GpdpigRQdmItXS7Aiu2REOP9I3ZJM/+TDztUdU8RhoU29Vv0voviB5aDh2+ZO
c8eH7Yy/bJcnqsfCvbJx69sb1w2SXKCkZep+tTmCt044kxRrkJdE2t8H/JJhbO56Sa/dPHQdCM6Q
YWGhcJgp3fTSR3NtpCYgDucgEqcnZxB9WG0+TvnLlAh+s2kl3ng+AjWFTTptPxdZr5I/oNq/vJNe
r2Glksezj7Z8Af1z/zO7JQ1NluACrDc5jX8MxDVvGjIMes1wPGfVJpYxXmdh+jLaQjawQx6e0dXA
I+lIEwQSKnvoshZ7jqWvUwQ2PGxm32rjUKw9jTnGhufOJ3kT5NDkcPX8xMppC/fqyGPRDIN09EWL
hSfnfk5M3e9zXiFNIsUy0EHV6UoP993KHG0ZlzBSqT16wXvpoft86gu4KTagObW3Af/h/uhU1wyo
nYAt5CPZG1nY+HW0tvO1hrQt3sESkPzTW7tXhWT3vR7Ty+ZcQq6gszXksoCBdS1KXrwcmYYZTC+w
6z+nGfZiJfJkw3pQtM5z3PupkMPU4NRxy8ORrPy0cTHVa9reGZnoV3j2bo/liiO+oUqTZljmn0fa
L1XU7fAd2SryrggRbufBYa5wPTIbC1Qcfp9jk1pK/Jcl6yAfRaF1UNgXejgOwqtvxDqo5pAUn3Nk
xeTNEEw2/eQbwXmfQLt3a6QDZV2CNNzdCuL37Q/4NX6oBKasR5Mm+UZveemP/Vc56XDuNg/qctXD
oP+RL5719bInvfnUKxyG38ms28q6xJC+1mNc4ajSdoWaq9GWprs58szbBpwjv14Fx/R90CgG/0y+
fCL+0FkzyazTeFU9JPVKJEv7lBvT7mdwdafpGZw1L19gnsDu+nRotyu9xBgfSrg3mMbuGMxfCljl
bJVe85BXZF+W/us62S79PvRke5QkX56MtUdfBViwuw1I/rGzn3M2LNmLRyBj8pVgFJZ8KRhOUtg2
eU+hoi0Uo7EuB7vldWeQQHvTD4etl2UtARqzdW3r8qDbmftVyis0J4e5D+DEPAlctqWttqBBtero
Qy70VMcSiYm2BS0P5/daJXJtwVPt1zq3R3namRguUQ91G6ZvGoliVbkP4RLAo5Pz9AVsvFhHMhd1
3hcjg7lJQFyCnYXC9QVBF5dtCpO2NTadKgwqe2cQBbiJ7A7JtUlsetun1zSAqBlbDEWLiflTBt1v
rZRdqoFQGEdYNr2i6v3ORvq4ZghmyDy2aBHfKbs631F/sq/dIO43Iup5ybAzEEx/1Y9qm+pDSoxg
krR4yXRYLsgYG22VSUWuxsKIeoXE9cmlit8kspxsnXbzA/oMv13lCgG6G75ZqpcH0y895OsZrGDP
Rkg13xNtQoK7Ag4Lt4J1pJHz4vczzYZie8ym1MLQGYN78bngU+jPm0L00tOS9+Qrd4gNalzRAlvi
Q+LZQ5xMW55TK0P+iIEmmZ6dZ8cjLZTKroya52Sv3Dt8MRU4caG4AAeSX22ZQW9yTJ24bXFkmr3m
RdE9RTCrknpn2L3P7ggLBPfQVeehhk1mO9alyAbzODpgmHh5nVpOJEK3rc6QQGYn3pJpamza5qbO
hl5l98Vq3pOCmXsvrjnY5H1XC77RvNHrkmYrfgSa8Un78iS5gjVXdWhIYz8bKCjJW+fYfGenFWV9
3XcyqTMJ60EsXb5vVRkYDol8hbfGdceCQVFZ7il6wc5jkgufABuQsUSKxF8GPEz6aZ2xMeucsqUZ
Y79OV+OO++QbTW3Yznk5qgwZOBbmelkxEN7EUvU/xUa7ypHsOK983b9OU9vnaHloK93DCrYeTjyL
kn64IYMJmP238ZHH9+Ddwx7k1nE+pieO5KQd5RtK3cYeBaFvQW1JdxnZRP3nVbXZ9jzZNasx4Fry
71G1YavpPiSNGftXsa9rtZnkdxyh4pox9a3sLvvr3hsYuxTQ9aPYI/VxeGGqEg35Atrv+OJtml/n
Yx6u9nkVp6BLcjtipPZFoaCq9yh/dDCyfswAaT31Wc46xBT4Fxq2m3nGzXDDQxd/ZUZmb8tEeX+d
Dz146Id0h7hfktw+pQH+w7C/p/dwDl0rziJcVNb0uELZsrx1gJzs05YYaB78XtZrAspFm9A3zidX
xZnfY5YHjwFk7hJbubS7xRG3XaLl+StO9+405pKNlda7B/cGYSc5DUndBSRANCO2Dt7PGnBmtMP1
sJbdCQsDgWGsizcH47847/wnMMuKG5aOWHBE2XpI2SdFrX7NDrU/cmbkpy41DkSqVY3jUu3pIIKr
OvRv8RyRhxiv2ZZ3byzbzY2XkYtGTgur9bEe+3mykt5EEHKL15Dw8qVTgSBoIPdTmVy3utyCqlrs
FQ7jh9invwbfRv9KKWOx2ga9c5CTsy3EZnh3uLiouB8wAuI2iwZZ0cvisMr2gcyy6diWJTdbVsBf
AELpkN7YPmvFg0t2588bnCvSt4OpnNUiFpu/XQtDu+/oxfSC0Iw8ya/NYIbiTu6bQnxxN204WjNj
+RtZlUkfF7ISc4LxSJxgsuFYf5mTTahvCXYmQthoHOjQpE72vlrpgOZK+LUcaqtQdYeqJQkhqoo0
rsPPHSH0y922z9vxAzFrAQV+7znF7a2wkampJCRw8gRfqDa/slwN8tOeAc06zVNB9NmXOPga9Ohd
eVneCaWnpdQ5eYRMTNJbMMJJ1mRip+KSQQi4/xlwi+rH1Xlu0jqKbutv3OJIyipY5HDUf4fMVfwE
sKfMgeuAhHzcOqccTqJ+KlFDGY2t/zICfgnfRjqKSzFjckqcDuW3zJEx+a4xdwfws88UsZ4Yq/Q1
Vgcq/6pdtxEJMHbdm013ln9hcKnwbzz0Kf/q3CJy2dBySVCstBNNthcWDrl3VZLnJUGV01pdi5ao
/MEdfI9/ChhYqF92gD7zxCWyMZ+j6ncBCw062yekltNxP00b/IqvxJDk8xPD/sQZnBL7XiAgHqkE
/N1PEOpfS5L24ZqM/ZjqpjjsbudKMcY6BBvM6KjRvsiljihSUVij7vHhk/QoEcOVGLvRvimXzNt5
lokXF+fESvHFDhFss+Rq376PgkJdx/pRuO8+jMt2Nl2qk1qMa3Y7LF3L6gX8CH8XpSw6fJJygLzV
YW5UW7Mt6LAWBoOkt/WAhQ8k/0t7N3f5chXanT8vJI/eVZ4eh3mMSqnKIoC2gsyxWwkS87iczzFw
lC8dMnvXy0EcIIderGXlfED9XPnVB/epzELZ/9kQ1sNPx5imfcMC7LzmqnNITblu0TjeDTCbw6oj
mSY3rUQI8K3p4vxF4Pi0DfG+yFSVDmDCvDl1yAQtV0yTq/3Aur4qc5qVNx73jfwnBDJcoanNxLcZ
5X3Z11R06fCMeLUeZZDMNBvWCouMkprjnI7AJxJIQY+yz4YHLkN61BYb/nXMqD6pdmATtlq73swp
MLl7IHCEPvFpZ+NN2Kz4AWzxK1JffM4QEsQgapiRepQ/T3nXfodDC7qMTuOYHKQd771PBVQPsMwJ
F1XyvjZHRIQOFC3p9VBaou4XT5y6t+3qbldjZvkPIs/972QZnWv2NcFnLPbybVzfW4px5NOz2ovw
xlDR+KY7FjSeYOr5vVKh1GfI7wWrpAkdihMM3zfEN/IdEwichA6IpZcPAQIbZIryd+wSVgb2bQxH
WeUUmooLhkPC3ZGFL8kTKUFLBc2tnLrtsrGu8wofZY2pg0dBK4fTnhIu38sGNnzqlkGwUwbhzvJn
R+ez1UkPLPY73EcQuWwpd8VpQt+XY2kO+Ysd0FxfxUm6Kpc4QE21rRa5jF2+9j851S5/I2Httzpq
l6F1Lwu17ZXcuEq+DUPW/uDvxdA13+Gb8BqZ+e1H5YtLCpQj6+pFF+N6LZByw2vBrP49U2zZiiOE
pkbQTVqclCj4/8DZIznwEiI/wbG1LdCX85Sc97wM5VfTJQKK+kG0wLoToeH15QxMNxpUQDrcUDbP
P5XaYWQILK6X0xu8B4VE0d0Hci19EX8BDOqOW6vy9rfu1SEoEu3jlt/pPhTLa9KmjP7OEAJDfwEs
6YH1yY7eidmOODvSPtZ5ly3hyYq2NBDPYVpadKxLn4aEMcxnUNSktzTAIvcsNsvyZvdHSk4b29CH
KL3uL3D5zoovxortU5IU7gtvy+wVlCB/XM0t9E/XyQyoZ1d6306s4LCoPuRmvuCdj7dTNoKoySQi
5eHaU8yXuRdiqalBz1aZpB2/Qnu+VwuFbs2YIrBbu5vkqWRhv2fi6Pl5bmEmclI07lcLglKuMqPS
S4Hgb5x5E3FvPRqY+Gi6GXr4bYODVUUXdKsvYYVp8XdY4gBpcDEU/VcMO+A0xLaI95AHKXEsCJKR
GTUImiGgof613xkqUgJwDMXVkEqawPAYsRKNhbCDnijvgASGNZ+RvFPaY7jKTWreECggx+ecz7A1
2JEp8jzgQSoyvJfmNY7t6ENlgfaSRxSCZVETg8d5nec2zGe5tLKv86I04cc7e/syT0rr270sD4V/
Y0zcM1rloB5JV4ZbVJYDOXNukvkapOAyfMJwZTrhmJims6VUuibvN5WBAIqo49McUhwicHy5wbcA
wNYaOhtgRwE0/C1G/+ySXm71RNdM3STJpo8rGOodvxKKILBKIez0tjvmHdun5XgdY0hPoyhWdJg+
3JA5QwnbD9NtND19Bh9/geYFjqVA7mA9Qoqy/ZocEEicOTRf8RXI6b7hInJp9stz2+UlUp3GA1iX
U6uZLhNmbsP3/licrvGlYOHAxx5tAE5Mtem6X1oDR37YcYl7mP5xIDWBmfWyz8XCr0oEzSPst90Y
H6qEwsjzHAR534SJ3LoOnfuCvg2Hz9jIw4lw8ZAZiSqfd6+wjTHB/b3i7mwvxvq0azZ4xKfgFuu8
yN7mAhVaswVh+7osNgb1mmdxfBsYjJeaFHjG8FUBnSsqPa19/5ruB06PLklYdsPKTNNai1zlzQx8
d6vnaQNYW/Us7l0joatMHwuzWP4JETfDVkX4mpvTGluKVjg/ClQwwmT+Z2KRE1JRiJfEJ6QzbeVV
H00ofzL8UeGLQ4HK7qjLVFkXqhzzJ9WFFDbgBm1GPzitnyMsKcZzLl2qY0VhH7EBku+no6sK5WEY
g0W9oyicY9kuSG8Xrr3v53Q4LlmR7tO9MJg8VMyQgAQA09vfKSVD/5Af7QS6WpuO0zWiGJL8CZLR
kmFPWXIETDSnaM5IJA32DAKk0TXmhHT9MQXtEkR+Hp5fEgVs8Guq9PsXYmipmswKI9HUo9HTDysQ
8bGGYsi7tYK7UJbfpiynaGepT6brAcyh7UfIo3BNy1jrrwLO69BYasx4UoTwpcmRseTHarE69md0
GAqtcgFDQdCJ1XvgHfL/5kb2g9hvWp+WvIbyqRO0gbdIig01tBoMDQz35+6GbTs5ULN4U1zHqZjB
P1lQ21WYLGRjBa3sIZsFy0Cdi33Nlt/lQEeVoHfICk+Q4Axbnj9m1AoKxREzX4/LVKNOLOpEWXHF
cpPH/TJmnPC31SKb6C4AYNgN/vChkAVqkJ3Mj7Qc1P4lwV8jkqoHCjKv53d/djS+Gz+24mF979lv
22QedxRfYIAflYxt1z1GnTk0K3YlDBu8GAHAljWmhzT4KnVaTD+HiH4elM9Y6vS39VuyoBgoKRqm
2UNAviF/abY3Tswrf6Q4PDqUilwev8Ye87XvUoZ5PBddMSUAiBZDJqSLMzt8KlDuYy/noizo2aA0
Wn73pqCBVz4T8B8PZbHyzxnA5gGBRpho+R8CBsXjm0nWOXmaO4wwP21CLg4eHJGrvC63BU7dEIIa
qy69xiQXi6Qw5GxLND7shGTQdbmFprWjoT4wFZ01fAdtOZRNSpnnt8FgNnqH6pqzO5RFhXuZlBzt
TdmRMF+SVXX6O0lT4FbsvWY7r7NO1kqVeUju5hR+a5+S1a0DzjgkbdYClfF0iqvm9mFwHtItTdNy
+3woMF1rnjqMLQeiJpgm2S7xPzlzpv1MAJrW+YTEDrkdN8mBQHqUrHDqVJdgOhJRTyG0vc7K3a/X
cZ4EubaYG4UrNbIjfct6T+nNMGK2XZtUg9JygpQ6tQA9JoyuMNByO03Oi83ztSZMy6TCnrtnxr1j
tBOF4cs5zSAWWM5DkmGCySYMLWOlEBrIq7jshja2L2lx7fdVHNem2JN0gklhHlZRjaRD+h9QiUze
0cw690YdcgJ+l12x6jsUtkN5VrRfxUsIGDY2qgPuDb0tKJZPwzQpdtt2ahpfAseLuY05H91NuiIk
CggeNBdXo4sHfZJrqbubXVoxvqLRA7wKKB3V8gKojWvMYAq4Dg5pvWIzm6SGmw2LpsFku+TiPILg
+m7KXX6DJ2fqsloIWLrqk8Zw060XFGAWL9aX0tgn3NMTpiigl2E4jNpNxBeC1w65oKD9eLxiHgjE
d8NOPovjKO/QRLPkNk9aQOsVS+HHmL8Ppnl+lUrGzNUoy4XeHWqG6DzL4+y/hWEVwLTHFWY4Z9+Z
PfZVFjCcwNQ+B40wXRzfYPtotfuut4LnTzOMRFx+fjcvzoBp7HTjABcOscla6BDGJmr7npHoHXug
ti2mCwxJj3C9TGYlTbdFM93lDs5L1d6OaXYpDkPJXeKyLDlj3u6HRvFOoOE0izOojYgeyD97Kdfi
tj06uT9j0lJ4jJD61h6/yERJ98OMc6ouKYFs95IOIS73sEqw/rOCvTqqmokW+11WJC7+iQuV5m7Y
Vl2ejpVygIIChUiF4fWKOeHgHIiriy/u11S7UPuIENyLxSPIZj3yfKyh82DgfxTFO99642cBqvuD
2pBy/ZqGsXP31h/ZdFMiwvF4/85lC92O8HGrB1cW8gfQxASQLOWJcYDN0cnUbsI61yfU1COuRhyh
7w1+sCY8isRupI5JkllsE75YSH8MfX93wgC/Qg1hqXh05aYSeCwM5fBrfb8Zf5UrAGhYddDusswi
ZhiooJx6IdbmfkWtjZGWrVZVwJwkEGSelZgRpA3JaQKmGOmW9iHvSx/OOD9h67mpadh+e7mb/W4+
Sk2/2H1lBbqWRa43ESD9/oWX2myP73ak5Nrpta00fJuWCmVotzcTwdAKly1m8U88RlHeuB6imQeM
+zTsRFAUH8C0lhFwFUUGa0H9P+uaLLyCRi4PwPnNCCTPLv0zGD8ZSqEN+eLPEiRdXIiIi4ENqdh4
K95KkwooD6YUo1lAv61dZl8NkK4W1cxBiSE1aBx2/Q0EqQNODKQm9f8ApjiGpGIedausKI5Xf1Sd
miFcqpC3gIbzvEPpjJyraS9Y/w1mAZjWVGtAHtNypTdPB1mHBVb4KEBTttOssaQHK6n5P856OE0n
lF9h3kp8nYLcBmCT+6Wt4flNXgn+7+R2C31nLqL/H4QZffeOacQEC9THOXf2BJjgWEG6T9rk8n/a
dU/36Ap1Dc/5fW9SJue1OmJPHzF2ndaGtfAx+Dsy3keTLBaLSc+TU6dUfJXFZ7ad/47O9oGkTBXZ
dhTd6kSGZw60YqB/pwYj7ANBeYbxqGiHsjzjfkyBHoktvXc4pt31f37yf/FeI+wDSRkYWO5BrsRM
JMH2W/p58Lc6JDPsPB2IZkCoN4mEi1Is+dPugNmis5JJWmNQgu/0nx/i34hzHziS3Q7Ye0hseZ4R
zKuaASKne/BglxqFGoboGIDzy3/+l/6NF/hBhmAXh6VGCDvD22IpX3yc27UxHQpcGCG4d6NdmOso
lKN7nP7LG/4XNvJHoy0JqiOukZyeGUe8jIeD0mkByPxf/qB/+/UPREqDcEpX9oKCBKV/jDZ7C9y0
/0X58G+//UGSgPp80aZr6RmTZ3QKNl6GVZG//PEPZEmfZX6aV0bPAJ9P4CBj4pEBcvzPn/nfnvwD
07ndMVak/5e6M2tuHMmy9F8py3fUYHUAbV1lNgBIgqSoXQpFvMAUCgV2xw448OvnY2ZOV2X2YjNt
8zKW9VCZkqiFDvfr95zvXD8X+1TXBg7zOQmMjGP/v/fq1+/6T0i/WbYWRjf+LuZWEzM9+gxM3Zqn
//rF/5MV6lh/fHHRo522qmC5ZK5v/hhoJi2hLlaTEVmeWbdBOwEWxEBvTvvfmjRpOX/aAjIvXVwS
sZw9k32dL3bXD7eFQV/1v/6FfiWp/wMv7p+DmdxitegHpfa+9vyM1rMv1wVVhX8+V2MUrzYlN/9F
2oYUh7wtnostfzZYaU6cDPmUcUlJsx2DRn+o2cpaMxhdarHffrr/8aH+Jf1s7n/7OYa//yv//tG0
3PLTbPzTv/79uan5379ev+bfPuePX/H3w2dz+15/Dn/+pD98Da/7+/eN3sf3P/zLjoJ8XB+mz359
/Bymavz19fkJr5/5f/rBv3z++irPa/v5t1/ef9Q4R7jt9PnH+MvvHzr++NsvGGXRR64hZP82IPn6
TX7/jOtv8bdfwuxd/sjT9z77j7/y830Y//aLK/4Kimj6tuv7nk48J5vM8vn7RwipN3VdeJbjW9dA
Wckg3+xvv1j6X5G3dd8njNiCD7xmrQ3N9PuHhOcaPnFfnm8IHaD/f/8V/vA+/eN9+4uc6vsGk8LA
r3Xd4f6xrFybXgEzlV3H56fQbfvPA5MmLiG1XhfrQSx991J3xJV3rpFePDNBhiv8Xn0dNf17Uhr9
p4en/dsy4XgVM3LDzh6WZufOTb9zHc1/6425wRPVphGX5OqHU6XTl1//vP+vl9kl/8Bp2/wc/7zO
/rA0/39ajM4VIfjPF+L/lD+y/v0v9/37j8/hj4vx16/8bSF69l9dgTfT8R3TIHLkGnn1j4Uo6IYJ
wwcR45M4Tn5fiYb/V0Ow4HC4slavS/T3dWiYf6V5SOOJlxO2Ccj/f7MMr5XDPy/D67dAsDF4RAS3
rH9XWhKGOhvEu+z7KV2Gp2zyvOfN1WQbOY0v7hjT6A2RZtAFkLpq9lBtBdkKzJv8pz/b74/HPz8O
Vwn0Tz8JP8b1kUDosmwesX83S8iZRa6tvrlryD19Lb11omnnJ8c5ZZoYwy39G2LDgo0Nvk7oO7fN
FHv4rbAFKCfmP+V7zSibQ1Nm9Tcnw4UsM/rcqKJ5znSZxLknqio5MkLdjMCgptusyOGXi84pdzb3
84ds4G6Xk8N19GgZhVqnbbTs0yrZaX25RJbjrjucNBDsNCLeDNryXNSFI1GnVv8skG+v9jkwgYLP
XwNMjsYRy5R6bzRphlNh33J71WIgRqcKtmG03iFhqotjkcQQEIhBXjkZoWclxjCnAfzdwl72wyh7
59lnERwgDebTWC7DfY6HpgiKrMyROpfmOzjdcJzE3N9l9mic9MYwI4Hrfi98e7xHlUgiW5rrTi+s
U9W0MTUrFk6MFC+YP6uO/iT4nc3R+WZMCfYooZsvGZN59hPXvWMhrSTYZsu86bJU2/Mp+kG5iYia
Jevjwdb9m1SzluPsXe9ba7VnROYaMYF3OuNszuk32umuXbp2504QqeHUSWu/uouzSxCwoHbF+Ox0
mOH8vLEiN+2yJ3z8zpu7eQmnJ/cuC1ojbgdr41fr7rdyXYNaaMslrcvieWJMzpdlQaEuaHLE+EH0
oG/MfNcx3zq0tn7+0dWFtxN1KR9sxj1RsAltujDNqD/lqWVHBk17wJeLnXWxJ7Wz12UUYErDoK+7
d65VZGuAw8QINx1NB/gBDQG9xy2lfyhJJA+GQVybSmsVi0yLZLKV4UAbYRDDPXFcIqgyLuDuRKwC
sEEeWzMBYCSFYhkry/EtL5jbJIexoV2Jg3OVmvbd3Tq182bJ7EUHS/U1whRtWYPcvcIJLe6F6/8T
P1KutQdawOmXDRMIBkpjXi+pvWDGyBrjQUc5vJ/qWd3prbaFHU3NaNmAxWjm3mExxrpRT9uhTcfx
oaoccagqe3uwxwT/xqblYW3RrJ+5lN+Xay7vsIilO8vMnR1uLXGE8rBDJ+swPEndDJnm3MYNgP1r
JS2Ld9PtMIaXgAV+/dPiYr0zFr9+hi6h+0s7JuI1SObLOhHPCjBWZco+Ns7oHaRMzZ0lV59kxtpN
w1rz/R2GSC9UKsE0mVp53CO07sp01RWJtA16MUSFs58sZ0Y5Qru8pZckIq1VODFkvdZxQWF2WjM3
CSZLiTuM39bjrChR5XCr2m07+HPjXLzGXg9FJecILce4pF5257PJ7EzPvtOnOqyyRUGqyOk8G1b+
sTZ99rNO1RT6FTdMg0TCmxX7zt3mWt1byq4fY8ARp56xDRe52ONxk7Oz18hLuhv4scMOD8BjijPm
3Wy9/CSK0YnHZZo+ervqHtmZPRT9pv9mdlNBp7dI6CULkkBamrASxScV5dGznZDCGytk4k7TenC2
DusmVjq0nKHtpn2SlcveGXyvvZXIKTICYS0uE01krJVasS9SeltZ4+HaSAhpDQ3cCGNkdroFPDvN
FvOtrEVEc5684rRL7mxwnA2PnY+JGecf77PPZdz5CpUyPeBbEVVg6kP/OnTtFpZGkt4x86g+cfjN
l8TCecWeth6GdZKnZa2zr5h75zn00p7nOpvRCJXll2TvLTINTcxA1k3Wls7pOovG3lmtj0uO9tax
lbLbLdMoTx4RaG82E9bjrWhwu88EruE+cMVBoituIDh++zNvyrXdJVs//nQHbwiSeRvfavCwmCGt
dzLTvnRqGWKp6QagE9iLxxVmC9rK8LEYCn/k+d/srwhogiFFWdq8Eb9UYXNf+Qb64h6TBS/AWtfy
mJnJUkW/gVx0mKp7oJvZONQJjqajKNbZv2lrSP9PoTnD9GgUtf1E3o+l9mOrte8Dj8J7kpjytaky
7QK7JbMgaTigd0bPd6v9jTwmXN/McOgS+zWd57ey9rXz6jkqOevMDA8FXiQROiPN79+YMAI3rRN6
iPX4GxhGRi5qSb6Kn8ZqOo8chcT+Lm5RFQ/jMDRHjFr500Tj4Skz4N0iPAimcztjYv+Z1hiwdlnu
ii+yU9YHXp31ONIPPaz5LM5inb1Pv3YZBJGYehFrnuHcJIUNL6l1S/dElrG4SMVflUQpF49qZwf2
oHXisUxE97W2RffIQET5tNZdF8OHzvt0SGlEIJB7IsBWoS7Wllix7eTpzh2oXX4NwhjnxX0dMoy6
dwPhe8VpLh812pHnAmEzsGGZdnrZJG1YkAekf2kYO/l1cYoJML/N6QbWVTpau7yZnG8CSVjeFch3
zW7M5VYEQ+Xpu8rQ+iFgApLxYEirYbvV0odscZa3qm+NF0tbrKdmNOqTb5DJZ1qquUuwYr5I4eO4
g9JHC5h5CWqtpUBB7OeowigNKGWOZ8O1UYp8T0PsJdDfIIErlMvWIBMqc498ql3dGsn80itDFlFZ
dAhuQpbqdmWs2LjbMP1YwXbt5zJ7qlFxYSxTtKTpMRka9T1ztSVq+jX7kpr1cHGttMY/kxmhrG0r
nPkDh1CBsVljG9N85SGbqe1uYtJd1Hf+QIoM/i9qMe+gFFwOm2pZo7cx2WJU5zaRmg0Civshdgfc
U6ehKbIT5Qygpomqyr04Ec+AOhkW5Jbz/eAXrnHP4KMNJogounJrxIAJ3Oof+aq9U6z5AeMdk6tq
R0ai0t0z003XXdasaR3JoR/e2kRsQVI4K1ZBkxBBomI4jiywmc7RgsZwiZxutvRu3lZnP9qsURsC
4EaAYwV52udBbget/ZnpR9XLN0Sad9LmgsIiaN996+fFMkPkBHRl+KXv1JfNfjSclia6WucvWrZ2
9xWuwp1VJlUZVVw/b6/a4nZYkaBIkij9A0FQeDtLv7oOw7PjIk3FwWHkTUTHgOQz2Jcs9PBXBMZU
tzuV6MZ6PyjdbPDnbg4el5rcDifTcONbVXHOS798nqckC0zUPOaZMVUMsKS4505ooRK2zfo5mzUy
f9osxRdv9JNIag5eMZ+BX1ZYIH+14YKrpd41tYfhVslBL5KAcU4ctfMVr/QGlYdF3i5wY0mdxo5a
7CMEa7sXXS9vJF6K22JxO5P6tnxVTQZYMKezFhWL4SaxnyRdFRdeIW8800MeMzYn5ldeuLgSRcp0
QOP7NKTWvb2YA3X1sOpP7DYZ6k+GmhZlihxBppXv6jmZTyVzxPrS21v4tncUPQyESmR6szgOnq6p
0t63JbnOSxejdvKK4p2pNj5eVzfTgnUzq89Juuldya7I6T/WUJLIBtju1mSNSluXFyatUb1ps/7a
Ygy+54Drzgwmss++ryF+2vCeNmIfBFuT/HQqUe1Kw3LvlJObFNDuhCtvcQ120VZ71cTGHrKqJFGh
30r9ULY1qTGV0z1ui7CTQI2mddsnuh/m/qbeHfjDh5Vd/GCmmo5KA9xWG7IKp2r47K9uCHxYXeRe
B9YJh9lymrMZkWMst0lPUZAv1tniHdoVa+liyNIbAGbX3gkOGpwdXbGr88S9wCJmr8bU33amGPfI
88OhQsuAFeByc9M7aXkWYC5sJGY1xRhHKdzSzDzqtrNedXn8YJU8V031Isz6U0u8u3H2IGOMrISh
KfV9nsnlqOUeJxO56I3rDoEwxu2u6rr6g8HK011D9YWQn6RMkyqzmG7ycnKN7yWxVyP+y31plXSv
1Rpbmp1xl9qWaM3Wem9wIKXBnK6YvoHEYvyVa5iYZEJlR5U7p2wVYAPpudxycUnd1DhLD69rWcCe
h0iZ7XUiHpSDqn94zK0xgmFenolvpoiWaRMKb20ZT1fmEQ3W8iFdqWiTPrXP3jjZD7ZRQ5np7bwb
cc9HrubBRfO0n6f1ChlaTW9Qgkr9ugyd0F1ZGprqq4iRr3GCD/eA4fjkleMBly5NmeyA3M+aXsNF
OlVE1ZGfMI4UTOMt1Lk3HT1aBWdTsDXNdDTc2tgXWoEnxHZQGmuQNCJBVQwoFHc6NcRmz17omALZ
lznwx2Sr2f/mmbc6aRstzOoVvzUm2HOWdv6b7rT2AWrB+ILz3g6ZL1ydWrVNAHH0myrNgcVc/Dne
5sL8hrvE+iLcrX2kAi6OI+lHr6VMmiPTTrVHY56cx3LrSvZKiAFYnD676ccigzJjGplO0fZhEOh9
9IzWKgJ7bH5YDDwMNHu8UV1xJl/HiVY9+a4rzj5rDTeiqcMp155RMBHM11kE7eIPsbZW7lGZk39Z
xOI/eUkxRhJuMWxg9KLZldYOYsPDf93e6BmDfRj+FwkdDNSyuUXq9WMxq5I6Qfbv9ITtqAY9DG2u
+McB+g3Xi3bSrbzeSQYHABSPw8n1y0cH047jSRGYdn/bmF86XV0m8A4i/vbmKL6W2XInF92IQY2f
sGLuUw33VN3HtOmux5JIkQMwclEafulT/62ufeD9/L2nsQFDCLeRehL1VE117EOvBhwz8oasaZN1
3DdH3yvPnpPVp1TZ21n0TExwHa+K69I72GvZhCUOpTjR5RV+rdIDU72edAsRwlvlHJo4WKMNW07J
4mgEJBOXK7ru5YdlFg1GFhe/SL5IERUTeyQAb5w1hRU5Y6UfILqTfVO6yVlVWJQxpg6xD2efBLIr
3Js8ZViYp9xow4dwJDa5OuTu0ZiyM4N8Y/I8iAsycuelbd3xRmcK1kte2C177jz6ZEPBuR3KukZ3
KJMVvtErJme/DXn7qi1+FXkWV5RNIHrUm9+eMZfNT2Aj96Wj405y+HxcO8jxp7HuPqWCjobU0+og
9XSMNR4QeutFHRrEnhZTeyy8Mgk7S5WRWfbrBYSPIAfX1D8sfj/wj6kcQxcR+W3SvO44Y0u7V5N0
9gmwLmK0HwxModzNndL3Yh7DyUp09rzmzRKa/jjDBXHDUf76UMOKYfrVRL8fHcwdC2PEgmXR+dPj
LsGGtEDlaMA4AYLXTY2UHIlWLDcuqfY3s9Vc0pzgr834hD3PEGPck+8/Kb1ESrTumSBwrMf8+5JO
n2vaCyvQ24ZC3OxUFTgi7eLB6Js9x6ZGOmEFB2pq+q7R6uV2KmeAWVfLY06uGMt5bLgDSuEcLboH
NO7Xsec1PFBuveO0/RSLeatJxz8M7hY7mnF2QNsDaq19N89foXbSPiSAvTx2HAdPvaGvt1aSfZ0s
E1d7o71aue/c1YUa30n+bWM+HsiSssXlAnG0Om5jlCjak/KtS2ORVlsoPXQbkMjOhNwuHPONDTzF
KNM5r5YFU6lhgYy81XitXQGTI7w+3ODcqaHhC8oQw8znpA9mMHM0B74L8FZOXg92Kn6WLjkPWX6s
SxVmS/3cgbkFJT6vvJsRijnA9wy1tmhuHCq5vmmtZ/P0aOUuXxJsnRWOxycu2cO+svNLkRCI4Rvj
/dJXlHq4Gu+zwXphnDqAmrKwI1Y69SKDGPauYU5wJfleEW0d2rlZ0coz7FuloCY9OMOo7IskcqTY
EZKwYyxB04eOMZ/s8kbz9XO75DmPo3wCWAimWZ4Sf/DjfJhuxearPhqmyY+mxqif065Rb74cT7hV
ARe5cAR1q2LRVepAgKwpd5Vam2OOKXKvlcI4akZmxuVgzPfdNqffUiSFkCf0nSv/s9VX4QKxGuBI
/OHS53rGe9McDUrfY0ZnaCfVfKOJigs1bMxeV64X22ZVcDeZ7tKadss0Ne2rZRRkIRTrlAa55lk7
oyVaQI4zQEm7tjemS8eMa0OC3ruJJxBwYFF9U5dmsxW9TFN0RyGKKeo1lUfSV6QZ1zLwyXrijdJT
ogeSfOea7uoHXWvlL7Oj7FvW2c6c1htmtAw3OMi3oCl0ul5HoCBvx9cOYDq2djS5Ke4aS18jvqf7
0W7JEIONPPlJ8VSbTXZwGwZHYiwtXzVJ57tz+vsJg2dQ5Hq+K+EAMC9rhNBxzlMn498uMhtPStU+
YpWcg406Yd1cGxuQ1snj1pZt2C3LV6eBKFjZxY8iT+1LpZslvqtMo0VclS0kK6ksVbwoy7txGdGC
55QsFzdyCj4PynKOMkmWLQ/FD5dWF+7K1byXolAPxZB2RlRe++FITFhpwUpL00y/EBVQ3gxeI0/S
wr2yG/IiwfOcDLIMklUVhwVPI6A5Rt2xtMiNp9KkoCqnqLY5kXNitooA7NnU2BdW2E7fcef0Zhbr
GaBIewX6xC7acvXYDZphPPuOwxQo3Hkl+StNXdwQuZOe3aQ1YmYu6VjVU8nqlDX4Mqyze+taIsfa
N3QxX2LtdDMfiYixzNfcr5yjMYru55C1lI6JPdwsPRcmqVn6gymd9E4TjXXoMlLjAYwogAjyNBgT
MHHyzm3t3OjzGPUUf2SPmKQJ0KW48fvrUJ3aTE+EcJvPbPzybhJWdpjTbpS4trrugOXL6nAW1STc
VAyawBzUtRx97haudjfTZusmOmHNambvnmC/wCazlC+m4V0mH+7NXRd5X3SNCA1lfya+bn3XLaPJ
sBZbyY+kyutnypCvhe9gMy77B3Mank2/nJl9TMNrwpFH0FaLHdEdzkrpLFeHxpcn5BwrbZPvrZO7
sdfaRYipQd/NDT71lPZglK7ldq9PswrREUiaWV2PtllpjjxaNg06AY5Zk1XV5EV765UWJGanXEZQ
jy/zmuFzM/svuYFdBSQNUNZ0xO02pjlu8KH7ZpOqw2CUxF0OljPZXTjZVha0DhebNHkmHMQ/ekDN
QHJNILzprEAO2PBUcVpN92dO+U/wUz1GJS0odgLltOE8XZN7KlC6cNhKFU2jIW/EltxP7nYvUuE/
ZEC/IXOs230zmh8y81iMTm5dVE1t3BdX2pbYs/crKURClP/NHw0vFm0GHOd4Nrgb8UT4YFsNiagq
jlBCRsypy9XYPOVUTS9FZUC0Gyw/GM70NClPi7nYYW3rq4cRlj5QCFN7txtvDAr1wYPyZgJiNu9m
cxuORCNrt/OqruCT/ZyR/h3JskZe6TGsZZqYowmjLJ4+fvmKyT+GdadtnX5juPoWeAmp1YaXciku
S5/OkCjPo1SPhtnzcPbShXZejJOZ+E/Yh+xzJuWTzkMU6M6yJ/nH38EjPDdVcbtC4YSZAA1UkGBG
sJWG64bkQumxkP24N6lw2Atpjdq70Z/Zkxe3JJ2IQccZXYDeZjEvJEcZgg3Z8Hv4Jl8TPxrHpWsJ
hBNSWGy8vc5wbFiG0XoNgeJKXbZ7XNvFZcyG5L7ftu20jsK7eP5YhWVbvDipeBBD4e8n238XhXGu
MFGT2OAebGegFFytB5+66JxDzDE9JMrr/nWdijdnbmi0Qj6FqOAY5R+SYc6iDYHlqXesOjS1pnq0
9KY/d0MDbZGK7NWBHY7LfqGkUUMTjfia081woy5r7Z0LBHOoRz9IpweF1nRJl6w4FTxr77VK8iSs
3JayewTIhsLjCUilc2NMJrpYZ9fQ3O14SjHZRsroj4ZgPw1sB6IH7JtqMKdaCAp35TipqwTLs2Pr
tBwFMyy72udt9GrzVe8y+1oA4Vr1VCW/E6o28vxAUtzwosUJOO5l9GhRVZq5b9jfLv5aFW6ozUr7
2Bj7uOM8XB7yZZuPaSvLLPChT97IuNWeufcTrMVSflWymkNFjz2Lyikb7tgXho7f2q6+CeXPH5hH
udfRNPBnRKGydKBjpZOXdG/t6dUZh/xu1hSP8VryJqAxLdltgiF+DbYxp8ysCEp5rgwxHIks2diu
en3+uuBqeJkY1wFMTIbERaZOI+lk2jb0Z2NWdymmWvx2lfJh5NNrHrwLotCGtunmL1O19EfkKMo4
OZn5nhu1Hbuk026BaFqTzzVrsrjKZX4jbuEjq+GFxnX84FpONEnHjPdI78yPioIPwW2jYUUcBS2R
YdK982yOOTtFwz8R3NBwWUWTUVLqzhthOjxLfFgfLpolhu+AuTnuaqY47dtpdn4UFOR7CAlx9JJU
XFBZ1e3UQwY4jCc99mIZ921eOQ+TsNnRMjdloXQu7x5WDivWtKRHfwKpI8bGv3a6ZECpOH/y12EM
1aigEowij3XVPwplI0OSCcCoOtvRwiIpqsuoCfVEZy3bk7UXbtvs6yTJd/UYwNGJnMevmNPIFSqL
XCNxvjeEScw7u9K700As24s5+kZk0pWNIS6tu2rRyiF0E29Bijat0OoEVaXNBFxgMQ4+le9RFA8M
tSZ6bfPeZQb27QGc3bPwicvX/OnYmI15p8/Zuz/Q0QtyalrctvNXm8CkcLDTblfa2z0MJc7Dtvbx
buOPJTwBm8pYb1G3vrU5eQl6F1hmc4si2PD1nfGStl00r2UP5uxtrzBPekQSXb+bimmJlDLcIKn6
E45ybh3u1sfcArP9YGnJ49SCpriT+KaSMVt3hfQ6PLFzfyk8ml9EKLuPdpmQV1hgNWc4QLbts6xI
Hha55PtRaeorY2w/iSp0wtJP7DvZ9/Urs77YEUtPDzAS5Q8TcNhhJrqsDnu/IwQHFUVsJNUm/jmn
LcmtoyyK52zSx0fXRPDZmYzFncPa1POz46+UBKlnG1FqcSY7pRsmm6We1FoaMdl988FWPhc0/NAo
iEdYC6RTa3Z315Pa5eKxc6+BKy2GgAALpv6qpmsaCt4fuilzdRVmDeKJlnkHbP/MzYwqZbT7g9e0
1qVYCrKG1yqP1tL8hv6WnClEipuKajKsOy40a16LM/gTjF9RVLsV7e9SFZnzxdW2HVlSy77IrTUe
xtGNy7btz+1m5HuoBP0xw1JL+CHnYDC2Cxl9VC3dYZRL8pTNStzSruRXKRAF3U7aZ6Rp456/KjCJ
sNf2YiSTE6KuSRXgXTexUbRMdiPLxv25rpL5kKgv3AFR3dSJKKqcqJKN1UMv9Tnd7OnOmtp7Ld0i
STfv0qlRHIHZCj+AcG3OKUGIetDpIOURsgo5fS1B2v7W/OwWwcTDRSCpEGs4/aiwDuxHrUpiixyl
NGiG1jwYFApnDPtxxUDf95LoEmNHRO7iBqkj81fe32+r2TGwniYCRxe6egB+zbVNJZEohjfdLrJD
ZufgreCTTh/YtOlo7qDf6ZFtW7BBmzWJ3VIKJEXsWmeSE0XodXL6Oq7Wel+snI9t5xbBCG5BUnRz
dqUzDEErHA4bNHPq/27N8scR+oB2cQEwaqXs0GOj36M17POF9VuDUhqVU/5gvmH+PPi9+wMFzr9x
JuOUT4XVBty3SZ3wzKWX7IVGBYKqNW8aguxdY3R94EhpsCoInNJLq/22+KSnwIdcgxAUzPqZsyD7
oAfKzcPsrLvUBAfGGAS47Mn6DuFfQfFKUkoGZetncpF4tIsRgUlzOnyE2tcE5vWbD5wmQtHM+pnu
M6fNXDjFR0KzkmsCoO/BWowixrMDHd1M3RcaQ1/zbPu+KL/iGBf9i2WCQeWdA9rBcZq/wThvX8aV
LEJ2IX2Nl546nbvGwG1Kr3AHcGeJUj+fiTVV8sFb6y1MJHlQTDN3d2ZbLTHA6byFdPpGArXTxmZ2
IHBYusAmMyhwGbVwxUX86wWnpC2x39z+AcXLCPq8MehipIOKPY0IoC3TvIPWKfPhOnTvxtVQXkf2
IyJ7aM5udPojinZ1XzmpHZtE071lo7ReunIs8TrgWkHt0TFzaPZ8GKZrf1wre+O2MBf6Tnpfewhe
wIFLX0ZN7mAmclNOglyuNNrnnChWYyEjDmbrRicSMxyliclHbgCEYKZuEYlOEEDhDj8LIyfIr0m6
CT4EO0NfVtvOtIxnl95+mOsG1CG76Q59t77RKvPemeW2H4j5CExnc2+Bp8ihzZX6Plfk+weDt3hE
siRLzxVp82/13KgfEWn9J1Oz1T0Ctvhuepk8a6tAV5P6fCp6ovHCNK1g0JrMe7KZJniE0Hgb6ENf
M1j77WLlqtzjpOkPHKX4XcAQ7yazfjQcUd4oaq64gNyK7MV77eo+IwazyyklPVW8dPh17pdZOSrQ
J7t4Vd2GRqB5G+amfCZ80douhE/IUJbJfEV+3OOQlYesXrKTUxM0CNzsnQrHuW2TkuhTq/Zi2azy
SC9jDre8rXki1HKCldketqKnv9m7bk1866q/JcQmX3gkrC+asB69PiHnp13usz6VkZtwiyv7IY1I
N8yiWhUPGTphjhsqtj2X58f31/NatHReKyVvy2buQ9mXR4ty9kECecYLl6gbf62JC+TyZF1a129i
+n4f3tA+2/p6TlMEI09zTrKrEW10L53iIlH6Wwb0th+q2j84tk1YzuSycY1o0kdZyJPRiOlMTwBP
iO2oKDfM7rUixODiYd5mGKYJD9QjVBPzKYbrlq51YQebu0+7tIhNLcfW0UzYdvQOvLccaQCoaTX1
oE3RZTNbrx7YpkmoQZJXO06OZo8mqRMONH+2vUGvZ0ixUOcLrb0KKfKWfcshac9aT/gJoGH9VD3P
Y6puPZkssT952yMWy2q35QktKd+Qjx3FxeNCkuQuzer261rNBXkwk5rPqtaHMPMN76dQVvI6DyW4
9cal9JpC1pU8+Vt3h7zkf5F5tUZt3tA1ILMvKqVZ7hywyGNBHOWxzlzzwchFfmvJgUb5xtRzoHNr
vKc3kH1UC3pykLcSoJ9GJHYHQ5xXMdhvRrko9rNtoGuonPO0rYyRWktV4dvK0RMc2//oEt+GNjbS
D5qE1BDFtRVldcVDziW85iIwOSdvfLu2gr7oCa6sgITX8euWCPOV7kb+FX/adkdvw9qlfqKRO+4X
n5lmG48roV/HJWmq56RIst3/Yu/MliNHziz9QoMyx+64DcS+MLgveQMjkyT2xbEDTz8fJLW6KlVd
mjbrmzabC8lKlWIGIwKAu5//nO8wFuB4X2jTyvQq98EWCxOtU8D/pBPd9yHjc7+yuuzYRkn6Taa/
fyhYXhnMTMFVecq28U5k+T5vE2ujgYY9drlpbimoZqrQyELcZtk0vCGzOBdGVtlGlmBuuOSt5srE
wHrIOw7gWjmlD2mpfSRNTV1FzfoJMOsIDblhnGPX11CN+rsNGWfDyRkHRlG2gjUx1jAGwdhpFWjf
JiXAijzT35O/ZANoDF29zmiA2s41QkaVeINfeYb+bSQyOOHQoXeA/HDNuTbooluHzQEB+DE45nDp
dliycy5bjvocnVELmEYZ90PZBPeJ55WbECPAYxHED6yu7HlsztIsv+Rvc9dllhalpybNxidniOY9
CDoGT1qG9d9gW7tmj5y+eEk1IUZrQfTaWyCNV16WDMgO6NukB5kLaaDAt64wrVNjOPN7UcXOTkZM
75o2hyLMkdMn8MxyxazvATWs3du2u7j7Fu29El3zjblm8umCtx9mcr2Hfuoyn++tIcwfe8cqHRw0
DSYx3Kpq1VqkNaAfu+gKk6MBIEY257Jkgp2PN6RS7vJZb3HGtf228wK5xU3GnjOMtV3B6Oah6QFo
hX1j74UF/NlvwM/aHCon+T1rjs1KMRdPKdEG9oKNuY0zB9oHPcY3ddLVVyto0mNEkJkjPEbBVepa
ko9c/+KBo116GijbjQMAWVvZWcYz6P/gFUuSBfy0jfrB1v1Mll+2KoPNaAfZW9ZOISMULMNPTsb8
g+ac/rYvggSsUdPfwCYQOJEKzLBpD58vspLi7/j5/2m7/P8mIzyjCobDgrjPf+2G96PovW3j5l+C
Gf/5w/80xFtCWMKW0mQgB5PhPwzxUvxm2LbnOa6wSILYy5/8wxBvWL/pwliyGYLr23V0fpf/sMS7
v3FJsOY4ls6PunjL/xueeAIfv1jRHZjcJDI8QxoeTvtfu+xEkPQp/xm3LhQHYzvqTe0PTcIxevIK
yvPMCrTppk51uOB9GEwJyj35pjVukVFbtU5r+YPnGOdiAPxQMh/BdQKr7Wy7bvaQxoP2aCPZHEIo
ardOXkQnHhwcv2vbzXfUHXsb16zSVVM00WdvSohkaEMyWreRGe2D0cme5xASjB9QgXEK9YK5XmQ4
COJDMN05Y5ljaZsfgGkt83XONDxlCdBSjsceqj5BnCx8MG7C2E5lB9s2GDEA+242acMOGrm6icsJ
L2iXzeIhsOPs1aRU8QExACOWMJIPJafwMmUqR3LWwMCFpWf/GCPLxdDR1e8Dhwvf09MDcwwiZvCn
4EMkegpiG7WMMGaTXas5TTYFfv1VYYynUFB6otOs5MdmbWx1kYW+1cXVGlOY/iGhS+U887uACJWM
U3zoTvoxQAAaV2mYeZ9hicfOcBL4rYnLqZ6gsWZw/jaYubW2GDaemS4UtZigdBIaR07Pms8J3PJb
J2FLUKJCxgXxcNcY45QBNx0IWVIIHNmjKjaRNafmmkCxe+mcIXmPCyv/EgZOnl1NiJ48eNE3tITT
S32ecf4hkmMuBmtItZDvLRsV0Alhu8Ilz2JuAHW7tHLwjqNXVG8oqQ3Y3i6bxMoZ4xKpxAXzB5c9
es2znJGSKYxoDxNOA32xzITQPCFlAoZWBUg+HDCrMqg9NmzkbfecN7tPMA/gRJFcxj3OCg/+jQua
3QgdpmUVpIqVa8q0YkioN0+tZRq3KaP6c+Awl2DgVL6HwoySldMWyju1IZeijyxf/VScLt8aD2P5
molEDKw8qasfOipztZoxzKY7WnHqB901vVvL0qFb4wbxzgmmo9s8UkpxRIRCCURZ1neMN8ZnZnN5
vQpyoX11FZvstdT1+tVy0/yDM0q5A5rHn5eGNzw2RcHOJ2xzOdIQgSV/PxiLz6vXOE60AGHYgBrD
TmtH5M9oGJ498v33dlvOBxOvJvdtqvaw0TS8GRXdICsON2KtQntUTEuM9CPk5lp+NMgomqizTO1F
3CT1BheMPPR27NxilMFxYFjZKF5Cxf4egdYkVaFKzOMB9Zor2ZX81iZ+hJU0lQAqCntQRw6R4X6G
gLyCmwfa3JjfhnDc0MfD5nAwf5a9J2NfpEn9wRq+MLh0a3wbAVWv1WKYDLVmeByHrjpHTJRQwyzj
iGCCoGuHLX/MYWCjprF5mQEbROuwaS0M6wMQ9LEtj4weaBIwIZj58HaKLV0Z+IZGGeynKdrxe8+b
EjqG3w8jdm4zqncdTj9crm7wDOEw94vWhFhCZ4Lja3rH0H0CJKmIzedqHc0F9EOEGqH7+cCYZmME
qYViH6n4K4EL+wQALzqJVMd9q1oTAVGzjAEuiqfrW2WYdUczgOrecmIWNbcIx9ZVGmN2Ws25DfgY
vWraEjcg8JLPmC91rWpXsF95sHSd090osN3TairoeGjxo742wg2o8io+U+jeHVoQz+k+AycSeWkE
vLbTbHoNPPUkWiO5AOSAJuBFY/9iBWF9xtQQvek9LmgAKPm8YSJgN1ywgdT8nLheDN2KATKg22wf
5u1PoRZZWxbE71hK7NQPk0x9Who4LtC0Hfuzoh2GC2Z9kh2eHU72utETjHJa08HpsyDPSEQb5bj7
zssiyTE81M11ShfAF1j7svWH0UUug10XWn3O/rJWx8Ahi5HzSQkOGEwl2E5TEbozGrOJ9mDGjK0V
O63Y5zPsGD8JzYUxAg1a4ZEwM5QoT1jNmksTjN4wyaNoS2OtNw0IJTmPPJw8PB5MXXMMKXEMOnlQ
6i12GygMlSflXVvVxjPNLgE3nUoRGaLSePLqXr0yRpcYMbMQrpSLnr2ScGquVSuLqwPd50lNhGZ4
bDhcPm6DZrCdkOnydRP3l8mFZ+xboxU+e3oH1HIsXf1bKKHLE79hZK6d3s6MVSQn+daOUpQsUEZz
4b61831gGRzx68F2Hnk21Wd86lAIg9LYEjSjfzTAdO6PGjOrVcbWOvIpCdG3mirjM/Aj92VKFiBW
OebXFHe4nxnQMDzaG24JfqBUzrrOhJe4Cmqqeu5CAW6GMeNan7q3SrjmY1v11i0bbmPdYUDcg6wT
j0qU2he+qzFYGaFBXN8szUMiEheDXmwFj7kI3Vu3jB/LUmi3QTnBJ5kKdwGqJOmtlhjAgq2q7Hz4
FjZUf8Ay0SYWRTGhv+ppBJQ7wXQdZHJcroTMrN5jTsRb+AbhkquHCkC8e9jDrHQPbcjWoc+G+WcG
kHLNVDJBT6A29UpcoznDDHE31eDEP+K2fiNJOu/Gzht3AS2iFMzk8XvQAbIv5ZDeS3cokLdsnEJ9
VGyVNkikTIlloBgUdKEuQmw2msaoL66d5z9QSuZsJXVjlBuRpToJsVpYhyyE8e8j81iHLorbRzUP
JemLOrp4qaDYrpnonnPDBLBkCa1aNJa5s3gA+SXzoUebpeWOU5UZwsehrWO1oJo2mHeb9xlyLFqF
SYqJJ0J06MsgQpzujQdhoSHrnZf0KxKM7lmEvfNg2li5/cxK9d3QmMYukaO8mWb4W6eiWRxBnoiy
i5O42Xs1ecFbN6XpfUtO+LtWGcxArgF8efTP2hxP0fAG/k0N498OuyKjcsHCemGbfMUrPR8CEE0t
vvPWKqcXYwa5UZFKuU2rgtiL1biKhotGN98dpj/Ouk3C6JkDU1RvYZyW2g3Gt+hkhcm8BqYUBDsz
wiWDXbubhgMIx6bct/hYX3qNO7LI4/6eOB0SPayW60AlgvJbu2lJQGk8HhzM0Tsnz9o3fATlXT3B
olwbIZjrThFDhP3Kvcr0LsGtZk7n2lEQqzWk7Ds2sAPFC14fvQIYw3uVDT1wUCuNzEeRjOoFWaG6
9ZoEVJJTzzeyc8IeC5ZljWtb1XyjdR3PhGpy97O0sDojehvTjdYHxfFv1ukaw1Pv10iuxDtc5+c8
yxZsYW1N75gXmDw0eaFtGCr0HxwCE9g/JlYndBcPo/c83PVpC3X8b+9SWS7DFGwcb17vPppJi3F9
HmyMnaVpMU0sqlsJN5vzbv4Eje0+i/J4PWZhc/byyOKeDSwuQKvnnEsUL/S1qcKIahp88QHp1JeK
STmxKdg0qU9Ylx4AF9vHcwK76OzpZXnvlaVz3+dOdeHwkp2bcMpetcUK4DsYnH+m0xzt5pREoc9w
AUqhdDAUNVk7/pDxJKZjicts2qee3nNELgy4lJgfpn1LG8rPIAvrXVAIXEkw1dhchpVblWj80rsp
VDjvdVauL01vnK8wDOpu0ycpWRZ8ArJeOxRUMdvqzdjYGaWHpcqDJsWkPXmdNQ1JDT+oCdKq9Fjb
ov5ZT73onq6wjBBZN9/Osdl+mX9bfGsMkSs+eLKCQxjc495uPka8ZRf4jtUjI/qTrog+EDbsnXdA
LWQbB0tGuH/gZ3r4VCbg5zMQaJm6w1oQWUGsI7rL95xBhluJwkrTfdclM46OhQDZMCFNVlln2K+U
zahx1akWDrWggZcZkKh+Wppq90NZx5eSCe4dKAr1UqPRfTbK9vZwxfTnHqFk9kdAiwccElC2dfRG
Io8FTdiaZ83aIS2U2DOxHplRmKCb7Clqf9DjaYH0r9vujEeTRELqyFZiDqXqgiNBvHfqwdhXZFiw
t8N73uhEke/tCXM2AiTVVmuzymfFyBc7vy+YDeCrK5tjnieBs+pH9nJrAwvxLbnseU9ma9ndmF1C
bqRJ9tIusCgMSPv3IVfmfsB08CHLOf+xnLJbXsHMszUiofYgurq7zTO9fklHNR0ILmD4IeE2+bYZ
zH5FQok/6QVbDCJ7p0bg0iu9kGRPbEZl4JcZmOC8zOqIEUUcXo0y5y2kaeVa3A9JctcR66xb0zG5
XXIEsyy51Wi/wUpA845fz7Z9CiNQ7ivOleIxsQPvHrfKvLGoXLX8bOqwvySK0gMcdWZzbGIMtGtn
tiyqdgjUMoJUAmmtiDWOplGyLMpxbu/rtuGrYRsvcgTyHjzXsWVFeo9Th4laEQcNUQvS56iEJICs
ddTSose4AofcPLRMsVPw5z1mIheHq0idDUUqESIbbvWa+c8nXX6MdsYRXCvbSGI5bhfV0sesEx88
9KOvMUzx7dYpTxKNApI7hbnnKbeXMwUc9GyN93jCEyJ1dK1ON8+50xKrEn2x71O3gWQ6RWqLK258
Bk5niF1ODPagqT74gYclVv7szNml8JDRDia1H+GL240tG0B3YAT8/6kO/y+IERcPnmGiLP3XUtYO
pnf9/gcwyT9/6h90Ees3gA2mZzm2aTLm1P+pYTnyN92jxBKxCsXMMBeGyH9qWPiAbdq7WQbsv8tb
/9CwDPGbztlYCt0yDF33dOu/o2HxEn/AOghegVueQ6ynGy6XIH/+O9aPZ8S902Sju2ltIkArwoHT
CxrR+G/QO38kXwExWSQ3A0XCcx2D9/XLyzSUTCY4yZyNY6X9j15ocosOHjL6btN+F7Kt3P3uW/gT
TsS/YlN4RQd1jo554ZHw+IW/5AHzY4QQYJPQlwgp1Mcs8juNid2qcM1inbNZfZAkHWjPlPfdIMCg
Kn7qRzGZ+k4oLznyADCPuuqNjTF3yRFtbbgALJzP+phWl3/z+y7Ipt/zNZZPiK/cslE1hSvc5Yv6
3RfBbj+dhpGWQpKS+eeA7cVvXJ3/Tr0CZzuRqtUQgrRexbL8rEsxf2JKHJ6nEEeyTfvId4hE91TA
IiYTgp/hr38941+vE349/E+ubpkoS5KL+Pe/Hng0wWhkcjYdI8xLPOu45mN7ATE0Q8T8cXRhgepV
ecpac9wITYT7NiQ5yO8s9yT23ReDQOZ1GsmB6NVBRNrdyHSEYwluTzphVJ++gfuQOwy99S3Zs/Kj
C/V0l0+quv/r92Itfem/ftQS7VcapsmMdKGs/P69yHiGIggCYFN1WXRGG5McnylvXI8UWeMpYSKw
mMntjVY2w2fhDJhKs7zwECGJ3+1Hx9PuunFs3xyrN9mu407N2Zm9jnq6bRr74tZ0KTJ67VmQtBCz
Q9cfOJnCeAqTt8peYqWB/erZNA+11J5wULuC5O73FQHXQ1pnzo2eF+pMhJ4DvRENGIUMQPPbKCdw
lKBqb7qJMIKRDealrkT0KZ06nAmHmtWJQpv50uJUDhmJGQLBWGDsIvHhteuSArbXv/4s/3bj/vJZ
Ml2yLdPVTd10nF9uM7I3QMGbyUalMvNrCcKZsohBLKnOnWvq31oyjNduqVj1KTqJ8n1XZ8M3dvb6
w6pUS2h96BHLmAVRgphlJOgw4qyKgrikFpjVLTNVPPjEjlF/q3z69LpBf+iqAJdqNmqvupmG52pm
q+tnFeOaKRTjWaZdsm07R/ybC4cn679cONyZy5IAm8fmVvjjhVNJgn4gXZ1Nk6r+BtwM2Ew+WutQ
8Vi/xazgbZWuG0S7svmuRs07MZFGMIDtS9hltuST3djTVz2E4udffw9/8nyVy0PW4BtwBISeP/5m
WTjlfWbDSqF81/bNuvyO+ulgtbin3bE//vWL/cnHIC3PMCBSoYrwSP/jizHpoD9jau3NNDXuq6DQ
cLmLk39Tsv0nD8Q/vMovd2kmqSxrTOIgqRnHXwKc1BkSBKUeVltM279+R3/yRGAqxBrNiiqp7/zl
4+OSTKrKUABLbNM4mVo+f84oy2erNsW9MTY8dotygDMCy7m49eCUrv/6F/iTjxT8mOW5kue/xT/+
8pFqg12pyLZBJrkcoQZQB2OAc+avX8VY/prf36221Nk4kLjkEW6At/8FRGnwyJW4h5no2vV91RiL
+QKOSdzfjaDjvPg6IoFTpfu57P87qhKvWB7YJ8+lXJOXndZeB22gjawS/3Y17DAUtSt7vG+MCnL2
FIGOjkO8R110APNsLHaBuUZ3VF9JGPt//WZ+vT6YCaIEsFYyylv2VQsm6ncL5sy0ReHwcjeKZccP
6BZZQZQI17ODC+OvX+pfPjZElGXhg/ADAQv61R9fKpoDGtw6jXFb5oTHYEq1PWp5fwrrItuaTQBg
Cp3n37woW8FlUf391wXxi+cN2yWerK7N9uyPrzsASzFyhnUo0wN6ZVpuzJBxuheMwyv9NZiI9LG5
p1vkQGHPm+sVydYdJuOd4ZW+akV0Yu+zpD1c2iic26aqFmSwqXZxTQPhMo6h//MtMJq3EupILJgE
0FHWrAjfGiuVteSMhvFgp72FWakRt8uoxF+meV48MX3XbKD0sZjEtsZnDBInYC5fi3NlaNnWHQec
6IFBhUWV33Uq8oiHEmngfkLc9XnoH1JLPsCN7q6z825V82ch5uZaIOevC9sOX5tS666aSoztQIxp
HcyJvsqpeKaC0U12GSZDfIwqS96mxek6dnHB+HNs+k8j8+qdFVkeo4DWtN7G2ED5EfljVfW3tdx1
vE9gSvrPIIaXbVMvQBQNTrtr23jL28yut7ZK000RezCwyLj6xlTnN5ZCbdVHB9KDkSiaBRNyZHrd
GV+NmcoL9sBmG+tYqYI4HeDv6D1N3QPwvnXAKvWDSMiwiRkZ0kc5+VXmPNiYhtatgoG9Kjqc+LQA
RNMJErF1F0Q9ync8bUYAKh7zObySMzWCJmVFj7RNwQ+w1tiWvO9pMM/p0D2qvvtK2F0+xwbwfHJE
+YZqvRfmaccmH5tt07VAdQylP6skMVG+6MFZTVWZ83dlxGm92aPIRN3BjHkew05eOIRCbK9q2E9d
iPqQSo7Nutb213qcxx3FafYtGf/8s2j42rpaIvsHUfgtyfHuwiU5J5Ss7uCh6K+FqrKXITZ3RULV
NX7yUd6WZV7daWnWYVoOBao7frEJS15PyUc4t3dmMHWgCug2V9RWPNKlVNE+qaU3WqWYko21dp+y
0brpErVkVQyx1lXu8spORTKBEB7+KbHpLKm/awHpDCZuJHoYSK0jvj0AQHl7F3XZR02H4EeyvMNB
0NRSB/2tCK3dXFJ0Sqe0zKerCqZLoLnNDlF+gM+Slj+DQI8eqWTSV8rsYjbgEt2RPtKj5mbzum1V
u5491GzqMGzqVUhLpIz/1qKadDI1dfENzH/cahRPHnOsSVdq9b7Iv78VwKxJFevU1axqIx5f0DXL
vRUOkComejAjE0tx10SkbgY0CgBNL3XVvFT0pWMJtvX6Iyv19jmUqbMHwZPvPHMqN2BXDML+Q3Nm
MASN36udPTPZbFtrMtzYiFa+Lpzi2aoL7RLzW60rnaRknRb3PGHHvcrVQObOpECbCfXOcIczyZsv
0w5BPowO0ygPXkYhzBGNOeL/oIXRA7AuuenHXoPcIOU1aKjSoD9JPpjd9NFIu7zP6sG50q1QMdot
MEVQdnPIcvt2roR510U534lBfcc6aobuaOnQ3UnYRtvIGwafaktcSmV1dpNFbsLBu/obAcIO5uip
RZni31XzSQgq3u1SNT52+2RrW83EAkHmzNaj5L3piu7c0+1wE89BBk+nHC7gvQm1V3W7jjLUNCt+
UyCPtvATijVzBCxQol6nPbS1UcupR05hu0/aaPw0hwTot1R0d3i4uWPak28NLceZHHC0c7Zmbj2b
gbJ5BobMi6OoWOtuekVi7+6xhhCP7/3OpPcKWF2Aps47rtI7U4zYlqbY+CQFm1EjlrDTl8Ns7ZLG
cDFYzjB+xtq51gaMZ7rZ5z2opQcduohdWAbDT1Qt1+12xVx1GyoAPmjoOkW6DYkm/Shii4K8ord2
Q+VQw6eJhzKt1g2Dzkth98GZAqRErWy6EV/bpcO2UkMR/Ag5ntH+S7XhdkqmltP1XJ9avQXDlZub
sUnDm474v98ag0622pzJtFAggpmq7ohFeQUGraawFu7ggkYJjmw7ADJSr3oqTa2/1eis3S4TrHNU
ltXRdpry3nLUXZQSIi1hOb7HVl2+z7VIdxCc4mcc2iTYRis+x0G9lCuV5QZHtI0EHWc7jATzjhgc
+RRdS45KYrl0HVbO2mCig/GTGA6jV7IUCcfBbJJrbN35oTLtmEe/TUNonYpLNlTdtlU8vJO4vqv1
b2qYzGLlaFPzKFumB40eVbfGkE33TpjKE5Ui08md3eQkLMb/xMWDl2L2plcqJivfMzL9nrYjtcPw
zVoYGcnOqtv4h6RekEEEXZS9ku4rdXriEEdeeUzMkOU2mm6Fk0brMTXDW5SddiN4t2ds//apxVd3
Dkw6+qKgF4+GiOI70mTmoW4Geba8sCMDk4SXPpf8U+P1NwQJPqtcEVJhEOkDYBR7LtENSKkPmdvR
tsjYL67cenm6UF6ODSer2PfPrjMdmLNtTK0+Vt0VcA8jNKe4DhktbWE1ytbXKwcgZifdC4mi8r6d
Y/vTjlX+SqTD9vGsP0+BZa9L4kTsDIhP2gN9dqt2bpOdsDxs7ZaTw7FUDs8wCxiLSwsDEVGySlqt
HjS7B+A4zpnXb90Kt60ysXAKah5WGZzt9WzlXPhBy4RtPRaOdSDAMh8KKV6k1bq3uJ2poxs17a6g
gvcyx+rTaQhzCCR8dsBZzWS77m60xoRTZX3TaHIM0zm8pRjSWcN1IllLUvBAIEc84quwgUiAeEaO
ujQhQIgw8NmoBds6yAdinPoUbXpN964DGLlr2zbhE0dMhxLeLNa31Hk40Yo5d31jmV7w7Naufp/n
rbgY7VAdCbuMl3Ecm8+GthCc+yqKHgc6l25pIra/zFF4PyV4nWNKffjGiPg5HR/CuibiqTPvrcSW
KZJJJG40p3fDa9xz3jeTtgrNstjUnlvcV4ULjE4l/Vc2jDjuE1OrEOUlsQLSQjTJ6jFlbQF7EmCi
noRew3rdI/+Uq9wJxM4aKgJjslMUrFcYfXyd6qdVM+ThblImwYMmUE4FfJ/UXtwY2XNpe+NrTTsZ
TEhmWDV4wCgINgm5OGelysS7IX5OD28Ki8zkMIT3mr7Yt1CxBLkV1k3H6NydZ2s4klPMEathyL0L
jFJqjBPhLN7nOTE3faUp8uYAWq8jY1+2THVTXaspai5Jn9znzvxhuclLl1sd8a/JONZhEDJAml+p
DuGGnnOqMaO03nfmjGMlJ6onl+VGGK675CxntUhEkL5yaoSrTHZnjCr6NsIovIUHikdYc/Fd1Xkw
Hvpo2BLHXCf0K29ZXfFamDkeK4pVkhMwg+q5GOdTF3zOlnsvB+Oxlv27riBtTeEPO21eMfVa+xyO
zJ2iuWzfiIKaLpG756yXabvOyjhflwIHIj4QMhW5qGqoUBTu5JlGn7CbGeyTGAwR1a/bB61J07Ve
ShPiXWV0N2kBeWDVOLb9Pg4Aknx+he5WBXZ4l3njQzDm5r60iuKNpr+5xEGBixlpafjqk6B9oPNe
7aaxZLQP14Xp/BTKFYGk6bPraCStcnIvoeUE9J+a1Y47WTJirss7GSbDvhd6+IZVm4CMTnO8U4b4
6kKPXF9a3TkpgssKDhJJQCgwB9cuhmfSOyw6UvY4seKQxLhTzpxZRUwGCX5c/M3PALeocQIRLiRu
7bONiSzCko12TAdJfxIpnKubeXGEcWtKNzXt5Wd4q5q9ih0CdkTd3B0Oj5ZHrlWaUIMMOj8xMz9o
4wKccBENn2iVLDERu4STzLjc1ZhEublJnmihRiNaMN/hMPB7Ynqf+BHn7Wi24p172NhMJhP+lEDC
LVCxbjO6HozVkRHkwSykdhERpoQVCdD0klFZd63ZfGzoDyqgGmXlrgskmWjT0k95KJ9oPjtC6is/
5i6M4UjBxWUMXT7MNoHYroLWHoNx5VDnOXeeZ4gfkZ159x0YiIvhAkLirwx/Lo/CH3lYRg/dkMNh
YpOrn2qAKxjiNe8JIH376IKVgyzSxj95sGQ3OKrHp0FMcbKOSY1vdWALP7CgAHIponQfhaT2MiaC
N/ocqru+HqHVJZV5qMKuvSHwA0lOg0QRV11wrQyiLjhTjNNA994pZ8P2knuxSQYOv9OOPU9VbVRv
aRuZj95e9W5PwgQ7yBVlEO6UhTI4alN+LL2+gbpZDs2daCIXOWWupz2BLcDLWet8DbqiDXxOivgO
TlV1R+3YBDRTGwzjACJKsOnjNElefHHPFDFhFZXIYg+8LHlpmrx+U4kl9I0pGBysSjULb83mPHnq
dBtTBCCajZVDq1u5eGnrlST6iwu1j240B/6QbgNV7oO6pylbpwB5iupblslkS81dZnKXqBBXvZye
Nb0onrAfgVXNpA0ZZQ44HBbtTeqOd0R1XS7+nlrRiregrSpZFd/8T8vxBytja4mbHl+ZRyZ44Gwl
7XstCuM16QF2IYGRWr6C2fSktzqCqRDs7/hj9TOrAlI2c29c9T7HrKGx4YEhp/XvVHwlbxQXF/Um
0O12qR+0hvjejKJ2lymTze7fe9JKnGirOpwIXAHQ8Csigxyq4OewqE+7EXvQPjU1YT7nQdB890aC
NdlAOSyOhpU7JGC6yR5O3hQ7WO8C3Z3WGfkcmtRDpWlXYS+FazpoFSgMtv3a5WO+r2Zp3mezCQBH
ixW5c6gXErAvQE7udruSG86Zw7WFJ8qjYJ67kZR07EXbvKCzpy1ptLcBSFcb+NGTcf5HVRvpqg1h
/mRe2YPSDqOyS/pavOYp7vFjDBqt0oNa6E+aHL/nysOjwtl7OM5amX/YetVvmypjiZxYYWG9DD3T
XTefX4zCar4jaO0XMdvaJ29dvXXB0GADDSAJsBTyGPh9CRxdodNNUzqywjM6001q9+KMGhbyPO9x
dq5JAMZrRbvpNcYJdEOlXPLj7z1xLh6rj4TaX9R1HtwvSpdeupHmcEraSJb+MGgFQN7Bqd5oqC7X
WWUFr4yUuK/6LOagF5cPRR/Ic7DQ/7awej4yAwFqKZuzWovhCXrmbmmcS4ng82EjgREe1ML7eHKz
x5Fh9NYUVXiqIqlfUzvVED6I6cEB6otmOxVzewDcamwqLa7bDXid+sVMnH6fsHw9h8BDWp7wkYNl
ftCbYz0n6XvJdmkzDGW751YNT0p2+i2VkhoGQuJjknk++B2/HVuy6uM4BYQ63YhVcuznS6LrHAw4
DX8YtpIH1NXwZPTjV6P3X3WjPQmOAEuMTD+YOgETie1naw08Qku76J7rKgyP0quwKVth/NVTJ0dD
bRlPNyhbrAw5G2v4XobbAYbQlwa9mITOWGlf9IQuBkjX/G4Me2h+Li8BJQJKAD6HyIrsjWP01L3P
fczR3mGcCUXcnPBQ6tCWrYA3h+OPI/j8DOMPanw6U/KqQXrwe0l70Bi4cD1b+9LyDAbrOwfruMU7
v/JSszv1ZJ4ONUDpFXfHm+BvIY8LyG/NwSTdOe1EMphHxAiQff4hO3S4cOfl1ptby+EqlGu+Nrz1
o2QZXqEvtgdmXOUGdcl8ZnXyLS1ScH6Cyb7RdCDZ7GWwnWQpjDUqAqMiVydKj3s/aFX1OWUjclve
UYdbcdbVxgRYrBragIAtHj4SX9wH/5e9M9ttHFm39Ks0znWzwDGCBM65aFGz5FF2pu0bwmlnBhmc
5+Hp+1PWLuwacPZGAX3T6L6pQmXBVkoig/+w1rcMyzu0lLS4nHlYjSu8+N6qS+1ph0LM2EHwBovY
oIQBXmFXt61tFAA4G3kopa2w68TKulR+Iz4YZQBkHFHpmaGhQT1Z7WMeNfE90W2QkQ0sslL0zk0U
9WGnuQ5nMZfgdPxy3vONd1h6bZelq4+5u4/RzQ/By2g48ksMNvyYzk0Vpv5iMZrNUavx7D3CKXdu
/KEXa59y5WWwhD7lCBtDioNqY08DaDHyJlduEIw30+jjNehMY8Z1ELOtK+ivHuRMV+wOKKEaGSQf
qsFDUoH9Dx2PNVqaqOI5R0D/pFS/PMKLk1/Y15e0RMSLRiu3x8jnK/wIGVAVjK5F53/xjSRjBpvZ
FzLkEFHNUE1ogaqDtRCdVzmOj4Cu0Wil0qEIXZL6ICdPebKDXtjueExrRKPSHPEWe9BDgthVlFsz
0e9JUKM2hRsbkPg6UtpHS9Id2EL7oAbausq3bSL7R9A7Jn6DiKhUj/HISNtlo/4JvNF4SLJZ39aE
GB99ABa7uASNOSLOPaOGrPcjvhlQE6ShwpGiB2qvjOEIyWAyoXvKHecZ3dqqaOy3pBTvQRZ4K6/E
HLGi4qs3Il7yFmG3CAFU3Yg+8vYIxszHqiR6HVeXf8znMbtJ2vSpiANy0LMh/lFbtnWRjesSJFFG
h4QSZIPm5gJPNOWQFuPjmI8meisvvZ14khLsUmxapfvHyFjURSw5xpyuEVs7Z8rMQNe5GQu333mi
6rZ9Cx+GZcgrCDrzZKqMAPkoJ62vkbve5TLScfejo1v5RFYaQieawmtwXTjhocbAUCF4r/ID2F9k
/E2R7mRMGGUWSSIBgIAq4JNL/NT1/XZhH+vUBd8xu64NodEfbpsvJzWOaOf6rsGNCdeWJHFO0oL5
086NzB6mo2nUq6oDiWZ7dzVq81XdpRUCSw/VpCbxOsa4o5E6mXV28nFELpWxCXSB789AmR94n7g0
1a43CLSYCyg2cGvEQ282YdmKs710e6Oivys76KlNHd8x+y3ZHeQ70BMPpeGZ3+IKqivgN8jFYw4f
F2PliQHYM4HRjBVMGbJ4CO0kYdg39BW6pwSiA5G2XTNlnw4M0jB1mrdlUWfLoqtYqaTEeI7xFY9m
hWzMkwZ4cBA63uIlB6AcLVSzgBSwVVewyaL0kCfPwNPeLDTIIpsR1Tskd/gWOsLo2k54cObfCohW
p3xI3bVTCpr2ftpisGjXplTgurIE6Ao0qYuoVQEMLrZxLCCeE1t31t0+m+fKZdZS4hw3UKPt4Bh6
r80AI/w94g+4PRvYj2snsJ7Iv0YEOw5M29IZJAH3bRXSS28WnyyRLQsKRhlNMj9EhhtdAN7hJe6D
EiuPbx8Cj/ROv7aPtWcnLDCHcZz3YPXQaMuIp6LUXFJNYpX6yUgWzcrRcuLgXeGOJtTRc2QIm8iI
TiKhPwkVgMDxNQh0+hAo6TmwZVHwh3PPfoQFLewQ70pFSKeJaEUA47PosF4onofCZIXAeRoInAVN
8qjHIb30KJtVyLkBDEkvzDThy3joQBIhX6si69/nkiz6n9GrjRv0OSxK6uaWvi7Er5Rtl6Wz4WLM
VrdHMliEmclXTTM40C1G0HsffKN5YVDcbMAhwI6cOnmUwmOGb0gM5Z3HaZXdgkNGj1zVd47GGZxX
71Dh8WKJ8c7j+a5KsiwMBUusMy6uNeLccQGIPHgUJDdccfFrVOuajrheja0y0T9bn41HtqWa7Wqf
DXXCdolkmVwHO4wGb/CvH716esHGOnVgfSgzQJXVhwlXvfJJ93CLBvwNcVOhAMAe5gnDRmIvryIb
q3/k2V3whEyZkumsyje0AXSqHcQElNXLkH9fMD6Ejeu04ZXQXRSxgwMGW7fvDiYqE8FWqgra8RKU
Rfesegh9U+IwpIY9fasRMCC6v7nSczbQXK01NGKGFG0ZRS/0CzCMUKXBmcbgj1Le6d4SSyOxbUig
OS1dayo0mKmm8IVTDxaNh27eK448yOXMC2atgv1sWj22Zto8zp+8vDWzwrvUY2BRaDE/TUyD5Yin
X1tlWLt54MRltjrdJKXXoHWdlpdZ0rXlIassJhuCi+VONPnLOFrOA0yvSG3bzpnfYHSjAqY6vnFB
577M9YK4tGatR0m0eFgM58C8mTID3JCUfAzowQy9y1sV3TmMhj7oTelCFh3dJoMqGFTw+fFJGrG0
NpFnZc+0cMm6bZodnMVwzMEXunDAWVMM6XPe1fumr8jRyMcvXZuTqFqqZxbIu4rwpn3GLmnTL00b
mvMMggIDPjNubcBoYaXIuZI8d6UEeeBDd/EGLjRyiczmR7Ekt2BfILwk864Hwc5ODbN9BesWuGiL
sgZOhl2RvT7n8HdL1C9i7XrJNxvxc4WIsRr35NQ2L2YRMEsVbn11Xdaf8MJIqp9sLogxaUBAEqA+
XDIPE0ZYW126B+tBl3CNKibgCXgUkFKMXwzngtB0r5Sd8WpEKYR6iOv0tpPEj7RDlRzZlLBiADK/
n5oA2l5j9ngWcY8vj8uUFHuEZiOx6Mik935qZqibrygIe9b6RXMKfixWQ+QAYpqLqKKBufBUAU1a
XI4sTw73XcqabMCcv+GcME5ZYpOf7Nele2jsASeOgK5wO1K3HAcyyztWZhVy7Die8LX/mqbcmTaZ
mB0fcWjY/Ze0hTzp+4u/SQhI2o2+pSnjIMRKGEirMfZ2XkvFBE+3s2/o2MpV3LBFHNYYvR6K6rPV
ifGdqHQjbGRvnNNrhTsudvKIPq+8dZCOhyWJ7fd6WcSeW8e5v/IovrixLTd+YGBpHJaC/g4DD+Ak
O/RSoquQT3NOAZQ4o2u62lUHauWoHk+csBP0F2DTPafyTjjQKciYuW7C6sj6mjFeOEZsfdYVYvx1
kTjisV+C5AY2sfeBzQe4MVM8Hhapnhx04FfexmhoYmsAazEzctYmaR54TozupUli72JxPT7ElcWl
pIjFHd2lfPSQZq1K9k441px2rTlUGUgN7sGsTXKICrKA1n7q5Zckr9Jd34ruax1xtpWmwwJ/LFCy
rWZT847JRIeSkhUAaislO2ACZfzhopt99QY/uZvttl6zPjRCG2Ei7FbHC30ZwLE2FdklaVaGhE/N
J3A6PGIUdwcD4bL2343ReIWf910N0rnxAueeC4rpPNOjED+Lvo8NK+/JF2qunYIbQzAIFlbVu4ou
t9+VHJZxGDftsOeyrikXHUakY+7HcHUS9Sxrk6A9HjyDuYYFMU8QR6REIrAE52Kw4AnIvPmwAQM5
zNgj6XR3xCfPBzBIMkxTA1BLN2rkMjGwuQfYeNWFqyv5mhaV9QKKLVsL2aqNMjy1jcpouRNFmYW1
7Okno3lgzZxZ5gsqy+45JWtk7fo5gB69WGRyNHh4kImp7wHMtnUVmekmEMt8gcVRnQv06lueDtlG
yKY9EryLiXzB+MS6xfrZFffh5BT1yQBgjdUny47erMADX/Hn12eGEy6ZP29bd1huGayQVhSnxnuK
d+OLmQI553EQ3CUeShO+ijWw1k1mT/2nEaBVT0ZsC5hfRpGFOMzOUASne67FjOLZbV5LMegPJ8iY
msdquUhpD+NqprMhYZlFMVqFNfPhFUpG/gmAa3iaEdeTqyQLkKDm0LUXa8rbWzcta+/WxHJ57Gar
QKVkjP3Go6vaA/1hV76k5v3sxD49o8gtMK5xtqlEhxrFqpjfETvyBOnHvo2rkpLDkoxnMA5zJ3PT
VaplXekv2XPc5IhFSFxh31neGKXxLAsDu0uTPeWVUT+WvRvhlZmSa/165b0nyReTjPA7AMjYjKZ0
eDTmoVxr/TAyVN3aru5fUiJO7j3LmV7gfnQbPEL9ySkJDepl1L9woLyINHNuZuNaCYx5eott3T4V
WWvuMjg290SyY9b3hvRzGKJ2W4+2GTb5kNCUmJwLSKn2dIGJCuvKBvSJ0MM7ZLLl22r85TVXNbzZ
jmCMD5CKVF5thSctoyI+6cRT68IVTGAJml634P9DBaoyrHHh7+iafQ4lgrHzCiw2BeCucWR/rPBX
QiG1rBcvyOCD+vytcixVufXAWDU5ka/kbJnOan6rnLZlZaYHhaPlvpJ1u8kDcIWYt/1TbzG80MWP
kcmMmHhaZGRr7yiYoUfOjkuslY7NMGp1sa8F82Hhq1c/jj/RI333mauSdiO3SWRtgQ1j0G2F3lV1
+Z2MKNDgAuNW0mSrKyUJqx1+kHw4q0adR1mC1uPAmRb8oeC5SfOZTTbE8YabNewtl8AraR2yobrM
rbVHGxRKWIj7WRPS4Y1AxT32P0TVT6ys/J7BTt6CRLKN/WLWx8xx972ez27NnHu2BLsffuW+BUq1
dTuF8rhaEtpGXE1vspobMsGUvvGx1V9sNl1PXkFvWC4JQ++8tHb/cykBtzcs6Tcy7dQ7yT3uDc2u
uV18lRIfl7TPP7Vx/w8jTIjeRAD431s+/lfbvue/z5P99Qd+dXsE4hfTcmyoVqjVhQyusaDj92uW
rB/8wrqN3y1cl0iYn//nN7eH/AUbBq2jFPwwClTkvb+5PYCZ2CR4sg1Gf4bK2vo7bg9xNZv8TlKI
oBY3BK8EsiRAOOn8DDH+nWqyjOWI9p61dhTj+WXHZOB27xFvs3UH8lFAAlqyez/B4E7IlOMXIckq
HSZG2Al5GKNObUEtm7KBudFZWxbqi7dychwIQKj7KNmVs0t2Jc3aBvOK+50GzcHjjhr+6HpZj/UQ
HGvoBkNyQEq00V7R3rtJYT8EgHFvlT0LhGBGcZ7sIDlQkhOrYbsX363akE9w3pkYKdclOVg3uoVN
5lfUHaPeeMI5snMJZdX366UZlxAtKLL5K1NpafxyK2Fgr920JzDQIx+mrIObiDbjdjBatXOX+K2w
kuSEaxGhK+lMZLi1wZZJ0ScsKA+5YvtBkJW/Sytkpl3rLUyxovlAbdc9LMzzWL6jww84dxDrMK4u
rO5dToZPnWs2W91X1JoBr+kngB0Gad129fS59GRbmNNMua+NW1FzI+vlGyjRg6GcdZdHX6faOQH4
PNOrI/frj7mLTjM22VjJ2vhwsVlvo8n5zLJq17qgD1IxM5uay9AenScV4F+D6b1svJS0JLZ7JbEG
+iubiWnTSfkitHnWjcWMU67HFhhL0k/1JlCYs/3ewI05skxGMnjM83Ims83dEXZJU59192lTsSJa
pjbfuIpcDwQA3+aRZHlms+bD4gibJ5xHMFbj9m95a+fodsSgPuyIJXAMb+I+7R2OXGt0P5qGkXDW
1/5dnit5ciYx/2iCDn2GS3sKeJO9OPX0eG7i9M60quSH24wknMyVs7Kum1aWnwiKkqz7rFL2TvCf
Hq06OKZkOYUIMoF8LUbj3MEbhGWR+fdpCadiFMujH5cPqTTZ147yfsmT8eCx+zgldSfA4KWRfU/Y
Y71OvPkj8/S09Y3sLcfNcYPZ+GDYcG/oQdr0kUqbnE/ClE6Tybq7FkRR0XERieAsIcuX+dSl8s4y
XO+xU21rnSnAETZe82jqdTEbCSkTbpojL8rBF4Zs3hSO5iCjmtUDb/a6nOG+06IHTib6JM827gIO
ZQeQRfCGYQA8Nr6PPlA7eQswPmF3vs7EYpphP9RQiCuWyWrTSsQEJATFiQilVUZyHWURZZHSFhTS
3ijiaVWoBpC/4SZ5t++toOrC2E5bFlypm1RfCSrDu8n97HfLOs3xMa6kWfqhPVBp3XoxFFCyUclS
OUV1nI1bf/LgpCjwuf4FgSdAvBTVcPmjgt0R8LrA7rcsajPmS0C1BYy1qHDZ4QfoEucAFVaoBtMr
d7FDQvyq9DCHbDr4uTFaCsNvP0t7iHO24j56PAsjAnlzNZAh01bz12Lkjgk6DYJcNf681hGyMjTi
U1zumedmhDINBrZ46HhUOV6ZEVYMEY4PS6bGqhncTc9f4znVJndI53MrJPSIqS7yC/iN7vsY0W+S
wILJnbidxErvRalzvV16t/A3OWosdcvOnm8fB3q8U8NE+h7YE4I0TOEvDgUtEM9d3jNYOIi66bKP
ujH6ZBvIlGQeO/cjxBmDBdUtkBQsUx8/QpUyN4DoecG+StcdokHeaBXL/jBHE4PdmiSJrFyOwrDt
t1Qk8dUi2r2PtNcoo+KpvulLZI/gMRZ9yCeQcT5gaS9uAR+J9kl38inuphe/0NO6LdgZ+d5YExYQ
Zw+Otjj2EkXobVF0F1fKcoszx39Vds0w2Onc5c3ClzYya7/2+8WXyGjWVVCsDWS9q7wZupPg9zYr
qCPMFzlCkYGfO5Zazi4wIj5RgsCueWajAdERpvXd3GTWxoinqN+pkcn0upQUNxu7KLLxxKn9Zejc
SW5FXHcXncvMeYwyHLLbTEofSXgrMOxewTNz05nTo5eRqLbPXJJoB2Zd5AdLK/4ks8TyVtRpbbz2
Gzd5ahiPDWgcl645LozCQEMPScswHLu5laSY7Mfp2xRrlkPA5kqLNb9gsaKq5arrIasLEfp9183J
nWsQ0DBAxbrxnf5hZkV/iNhoAjVi3N5mC0v+xZTggbPptZ286qEyTIA1A7HTT+2SzQ9z1OTZ/QAb
4FuBkX/fs/w7REMuWaz3fv4uosR6MOD30lB1wd3U5Sy0SSLzvynb779m9Pc1qbtQiVaN00d0BZ3j
//CzpT5Xcz/+QGc+9mESMHJ6IlkTHp80CAW1HYFbTaJvzn4kV3NZqI3YvE2HQTyWpSW+5gwLdsmQ
2BL1Ghv5s0XAJ6cCOjeDAdNTqeoK4EY6Ft8RqZY/BkIlXxhakNxXuzGQIC8nSRA6LZPPhPnpnVEm
zo3KWiO/QR3pPrHPqPNzUU0+IyirdAX5HcagN4EZ++BjFFsr3cId0TjB7KOwUvezpK1CLmT7T2ZZ
ZOciAVsMXDqSz1ljeW9LzxOE1TSHpMxn9SIGw3ywJ4s2MmMzeXONzV77thT7CK73xlKeRSqa3R0G
104H1EsoVDxsogZnRNmkW79pUIctxozI1giW9nmKLeMWlCvg5km1dOJCZQv5U0bCoAU+RjFyStbZ
vGpMuGog0OdsE2OyOLbd1NvbxXFa76HRQ/bCKJKLrlTKuWbBDZHD9DMgpzQoEIoAne+7iCg922j2
pmvy/KsVlKwHYNTGfOcJuOoPBjsfcMylBsOIjY7VeOvIuVpXUCAVG7ZMpQxd0tHBTQpodKcaoEPn
pDDEHA7FODxYxOioI64MzzyPWi8wAQISTcIKJS5+hIrwZG3MbL3qxKu+RESJTuRvAm7TOBYDTAtF
yi3PSjMgR5I435To+t3Y1cETSjLxAM5oxHsUce6LqU72hrs4+8BjD13Zib3neZbfoYkhfUq2WELd
GLUdbTKpE7pdzm3kIlMoGFWfEocRK26KGgSzRkH5ARcD3hmxRpQPjnnbziNSqSZ6NLnhw6ZNok0n
4Dy3WTW8+FZfn/LrKEe3dRemLcoOsrOEenI9RQ411U3BN1yyPJ595iZAVv10h41bB3uBup2vFTWs
E9J3ut29TdjmnU9+5k1mxM6zO4IYw6ZiMHUvRcqxnHdCpGRa6fwA2MN5nq0BUVg5z1JtgrnvL5Oj
R3Z2sw/Bw17UJ485DssIWtG0GkaWxPssMZnO03+8V1YenGYYufeLW97XGH12LQk3qyyoslVTLN6Z
LE5/XfTeqUYJtins7kmJJEURWkSnkZDIdx4Y+qKknX1WPf7rOq2teoviIT1YXRMVK1qZ+lMxAV+V
pRcdVGaOLDVyHlDVFEs0DEmjUcy2tOOIb9FUJ0SOMTqdKNtvvBgbSMtaOKDxJSA2dUEj1t1cflTt
/MGSE2wwAqT8Og5EkLGFOEUKKXxdBAS/a87uf7VL/Q/2rPdlUnTtf/3HH611f+14/uRQdQhsM8uy
mw5umbGwdry2ORaZoZ/+/svgCg2wuQOWtL0/OdyHJS9YlRjjQU6031C+lQ7rmYnGv3k7V9vjPz1h
17dz/X4xozkmHSH/+UdPmBUYducHXn9Y+qJ/19cnvOgWOgI1+zjcJyNNvmcDuFd8krnt/5tXt/9o
NP315SUOcDfAQR2IP7/NBH4N5ginO7hNUm2Jnukutp+z2rwWB8PYZg9+TUoS0MT5NZ1LHGFUE4MZ
PC1UF+7PMsNS6+xaeBSCun+Z7rGOlwfh1JBhTWhKCOOWTrKcHpPsji0LR1UpF+YgGnnAygvO//p7
++sbohM2MfXywWKf9f5kM10I1JNZyTJ5SdqWWBdEFkA0ymTEPARdiWe8ynzn8Hdf1DGF6VqWT2Uq
pPmna7IhPt0dgITwomo5OxKUW96BP1bHRM71+79+sT8aJa9fGS/2E4dq8Ztc9zoS+F3Lr9CLFZmf
d4dxSYyN19ifU2psc3Pq/s27+uud5nBZevgjyR/DIH39/797IUSoODFBJR2SnqDpO/wrEQ/OwvL6
/b9+R9ZfvzTHC1y6SMpEG5Pkn740lSauZoWfHToXXnaMPmfNLDBWZ6YfTr9OcXC3uwBCcsAjb2zv
cMg57r1vkeZxLfn6n9UfAivw900fLeyorvVh87NW/Nd/1b98JqyouLQCBjt8LN6fWQPKcBVCZz/B
4RGb8lAhv7ifyolm6W+/jsNtDzziOknCyfzHz17UcQs7Cd9tEdEMrBtcFslaRYzuf77O/+lx3w0h
ADiyf3T/ef3NHyWTSUKqu5+w3X/+1/9NXGOT71G6nLb//WBw/T2Lk98PBtGY/OOH/oGCkb+wvL/i
XKjwneu/fxsOSvGLz5keBPiEbcAUPlbf34aD/i8+kAovEFfWiymu5vTfhoP+L1duDOBh4SBocTAQ
/w2ccfDHg4I3R3lrBy63jOPyZPH/9GhJCg+hfmBf/cFI21doZrunflDjSzxg+8QW/tQb2C4LpyNO
Ms7iigIEoZ5XWWC0vVFnryQQD++EPSSHKA36TQFNEmUoaC7L7fB9oox5mAR3Gr+eGFOqnXvFMOO7
FuLbSLcGljwwNjVtwVqUlDXYGqOnmpSyax5n+9Up3fy9RIu4NggAxlSSpvdzSc5wmQ2nzILMNDli
/IKK1NyYxPBAaQ36dZB25aUsg5fJQClE5AWgkhS0mDDAGJMyg/Dettnnt8Tn9HN9QbAcb+KWUAGn
QqNZ8URd931XX9wc/Tlar3yjRuimfgMLJGE9vuvMYARvMnl7QqKyHwHI+DN7kPibL9j/+1DJv/WF
T3Pd2zkJ75EY0H86LOwGRyYYQiZYpmRHWm+E9hKJ5Hq4s2o/OI9IKucQ9gxjEArU6c2hWK0o8XAl
IjMdzNfSQoVsRtWI+FRZtFTN4N2g0GZtjMv6Kv7L2lNcgxMJwUNXJFDitx5/rQn+/5HwNFff/+s/
3j/zpFgnqPaSj+73d7cDAuNfHQeY8d6bv/7Ar0eB7//icMMyKbdNqjnf5cD+x57A4ZDgj4WwHe8f
h8RvR4H8xbNNCYOA2/DKIvjdUeD+cmV/+PRWZFhIHvd/5yjwxZWe8M8yE6i5CXLdYkJ/xVHwK/9U
NNQDtM8iQLtfRZb7pJW7rAGSFcdJEhA8MDHbDXX+Gqf5xO3j+3Bf8/yM/7xn/sA/3F0RWOImLt30
q47jBCPmIm6soJDRYVo6aACt3cS0DI0Q8C1H4nlGTotzlKKGWaUwqw8poJWdQhbxNXBE+WMpZfc1
XiT9uutQXQhpTPemz/o8aE0jdGts7yMn3HFqBvuxb8f65LZFeWQaTzF5lS6rYUZxZdmGQ84K4t5T
1bX6pDOgkLTBbvHElHwxD9QWxgn6KlkNnqvRxMaCfQAGyeiZhrre5Z7hnURQDm91UpHcpQ0/ZTon
Z2yo4GafI28eSTbE5HvSTon62Mk0BnuGAfZncH0ir0Scl4j9J7X1BpHeLrZu3JVu++Rs5lq6YVPi
nkPbRXMUC6d5MKoyDUgARecXUPhsmf8UNzheGUuYpPmlzDGRVd8pNgQ/iA80HiMnixgDJtFIn+jl
pDRg3oMTb8z1bTylHme76efVNpIu8UoqJte+RUh8ECSWkLNHejFjVEYz6Zg626qX5ZmuyTtoy0Lx
k7ums81J1NrbvUci5eT8iLsMFZCISX7F0ug2e23A5liVgclGeOpMvt24D2xEBj4JWS3YWvLMQF3N
nVltW6hkF6805RZBS/M5dxkDZg1UAyGpdj6qFNmh1Q3iyLBUnZhUwh7xZ/t5RC13g69Ae5hmTGls
vcrUxmbCXkCOs4vBK5RaeEfChOY9GX0BQScFLiIvZSjn8Sg5siGSZ7fQ49HrOrYWXsX2QRvjxhK9
90aYJ0t8iLoX1nnxuC/Ztz4kkAUQGtH+2SvtTUQXiSC+qwRW2xUHbneDL8w5ezXZ0qbFUwr4Z9kf
+naxIdOPfKRI00nes4yAkBbVM4BJg2E64wG55OYSvQXoeo9G6l4V+ASwMY0DIG03Nh9TaQW3Tc8H
hQCKp8mqGhinhwUrsJZfwoAO2xOx3Mwgx6tPsV2cQ8sIGgYLztZNMg/No1GSzOzPGs9wYqwhzrxV
FamkkSjzdd0NxpfabaawwWxsTr2xRWlSrr3ZveuQqk8sN7d5gKo3atyvUYzjt7fbbVnKRqyAd58p
L0ZS0+oPC3/ubS6aS91UP4KkRbPkpJss6LtVxRqvW9zxDqvTWnroYC0sHysHbWyZQEa8i9DLMxOS
BIdt8WSlkM2hn+LBm5AklC20YRMANPuy3jtCmg2xIdJsuznY52Dp8jPpfmLDbTg8M/YubgyQvLgK
MZdnbtf3D52g88L4mjWYhEwjHiGJT/5bD4uRmDO/Axc5dSr+IFHUNNecJhDMQK11wdFfpjjeOT0f
Dua/zJhYfeKV3fJDnolIWIHLnZwR6dfodU1MzItMP1nD9Nve0sbWF9rjsugAZ+SeuzMxL7M4q62D
hQs2HEYTvqNyocJCzoieJR/tVeUI8q3yGDWqIIc5EI8kshF5QD6a7nqc93qBVpCYF183mDesWjis
KJrhlNs2RkIZpfeR7UdbU5fJD2SZGGrQ8ENWXzpz3o5kCW0SxxinFQh3bnhngFHtZua+TokeALSa
Jvs5wojfl6nCMtFK+4blnlg5KSKaoFYQ+G02DlEzE94djWqbsw3dZG4xXEx4oi9G1qcsZRmCrG20
Xru2Z/zC59/ea232AwJ3t/+mSCbd0JzvF+WdSO2Zz52ZZi+NrVpyqQgmgHkL72tID7rw08c5qdWd
aM3lzjbSfOdD+7+vi3OF8YBJ6XxvdkmytqUzPLO8vtqwRsgXepI1WIXKuDXbwqxODlfT3Yg//8zg
Tg9h2gfW0R2z1ygIuldAfOmXOunLGz7m9CFPF/etI409XdeNOQHAIfH8TsXEiYPYYrdgqwXxW985
m9HviMQFT3oTw1Rf1iNQog3i5VM2Ly5w8AG0OjkYJzx1PrhohnmXZUyzbbbkyyVC0NyEUa7Sr34w
OZu5wtwDWpi9dnZ17ZCyUYVoVvRnncb9wRp6vqTc8JJL5iqusutrS/wK912R2FuVs6ewrUp8WGM8
70SkOPr8nMRNp8gKjE7WdCUxE+l0RmN2VWaqbDeMPO6rpt5aGrYpMb7jYxy0nkL7qghZ8P30ECyz
2kVuXIVJFGVfjaJfiIbw7fOCWi9doRC2jxjJaqh2sWMdlOl8trOZrk1rTL95MYiUzYIL9HkivBmL
LKVHsQ7qRp6R5+sb229nRtWcrV6cvzttkXAZp/pWu426c0j2gqWxRFDj8zFI38B5JzpEwOoYm1kV
5QMwSIspR50sT2RB2DYD8Lw/mm0jvlzdLc+TRp8NGmLZQX81VlIRfyqDVn2Xfae2mPBJ+p5tXFhz
68IRcMeALgG18hfdyPFJctS8R4B3OXTtQUuU2ACHV1J71bOcdfY9cxgx92R3rPM4YYuYd9ZrrG1b
7BtdO3gQ2QhPHKKTMnwCrjx9XCpveAki9Q3P355by8fSFkAjt0HODobaF7V1MRe+51mX43Guo1tW
f/UKy6bGbT/CM9DVbF/Shptk3weJd5oKLS4DIXUro+3tnS6C7uDHmqKDBMT2W6XzWxYdfFGz3Rzs
yvB2+FvZrLJ41BgXdAZ7yR4fVMQ13c8mj9bcCbbQYMZntqvZ1lqakhwDq7nPpDs9p9ViXBMfvFWa
FYLtQEamcukZTz5E0cmdMS+Ytv+AXja/hXp3HREn+qs1z/ZhaPJ+0wxIZ4tGp7sxbQv2wdBvJ1kE
L8KBuxNZovwcWnvaEmFHizMKMV/Y0NUoppCMVXYLGceMEVD38zYd4votAEZ0mgim+yGx8YZV5GEt
xiSSGzzuC6QM3+aCPQL4J9+OwmloiSqfByM5ZTkTOSrJdPoRReZ4XhCsw/fODXE7Y2DbtkCfv+VD
Y29GoyVLJzK6HU6g5F7M1FEWEsSt7MA/LlpWN6yvr2oylOpWBF+lbqdPUAPtfVLVt73vdHvLrNr1
bBmUA0j1VnImn5CYeVBM/Xim6KQpDAr3LhvsbB9VHOtQ4V28WunOlMl57uJvbN0+K4ASUql2m5cd
Uh58ifKxrP43e2e2FTey5vtX2S+gWlJovjlrnUyllECCwcYuyjdaYBvNU2jW0/cvqOrdJu2G7ptz
dS72XlUFpJRSxBff8B/aFnZTq6NC0GlwVOjXIxSZp/cVoFz0iNalxkJkHmF12X63XbnOMIfmOmgf
PX019b9mGLXuJbDBJXIdKHghVYP1TJLVQGKCqfKFQ6qLlhl3XNeek+4SjQRyP+kV/vcJFSQj3BAj
/go0FJ5BabuBtY3btd5rYI9z+yPJ5HqZ+7jsmXpfnHqZ+WRzYw6hmdoWXE5ioMs8S9u8xwEgOVY9
iNNajQbmIb8y7da5ISIMB7tLqpOTiEnuqsTMHlr+4iQq+AIoqxTbjRw8BeTTO/evksz6EzBleWK/
0opEw2oNZbdOd4XWwYtZXce7xjAAq7jWwbTpEJPhAoApABotRl1+2gxHdId2blEpKNLqZPYF9Cyj
EvaNifxPUBS0KEBP5NgppYnT3BZisJ19X/UodaO/n237okOg85BsOD3sCugpf+pFynCyRXFml+qW
dpm4pBjWiI96UVY3QB6cMoA9cC0mx0UlAQUZEjATG+oc7O531EKNJ4CX3rWDT/pfWGyPF8A/cI/F
ABqTgSpJsX2Ia3qie4vutc8caGEM37RGdwBw6933kA8GWBgSiTEa/Ts4ZF5odXYExR/ccdPiGaph
f7hf81hGRK3HKVMEKTE2QepZaVR6wMGWDM6eSG4BdsCcm5JjXDfQpfO43xfYc+pteoSDcAPQDLC+
01ZBCW7ikz5LdCJ0mUWxXeJlocemslWINFViYIp55EFs+7kJ64bckDu5dOz6WWfMHGSJdkScWKeD
Q8JNiVzsMuSAAr9J//TlXO5xhbsfVPMKUYPPGmnHjnJwDmU+fKCcRz9h9q7pDXcBXkJHE6JsSDHy
xIj0VNg5QHnb24OT52zQk69DI3CcojRjYiSCYXSdYJvhmBdNOly4BbYv1QyzhInrhuYb0h4m9nr7
AhvEIIPivHcwBtnPpQyrUgR6uTwynA/6MT0OQLwCYEEfttEtbmdkQCAr6ts1e88Cex7TGYIUg6bJ
KgFJ0C+8zOs++Ri3TB+tGI/LBLW3Q6dDtWQI52AC2NZmCNuxICkFThwthh2DHbANuGQlPj4A00ev
27korZycdcyBrZY8X0+WbgRlgWGuaU1HS8PJZzTE+ACEFnfZNC0pWPLBya4WTDZw2RLTdFfqeZUe
nKT1v5RwFh8HM4mvegevhKMEmE5CYz+A1RiTw6DZfr43NgqcS900so9OmyzY1ZvmpoTvlx0HBw5J
dV9+GvSkVU44lgMYqyj7S9d1B3JQD7KJ7k7tnzC2PpmgISJ98O6HobCvCDDMsLPWQ6Kve9zazKSH
ptBBSw4fofcPraFPP8Q6poLsVPduktEEjrfFYMFTvS3/Wj3sSBYUoBByQPXtKzsrQ9K4BSNUVWlU
OYsTLStHtc0A/0KkfnKZb2I5Dh5dgp2HW8ohQ0/uykiI+UQhff6SwEX4C32qLMpAkteHCvW2zx6J
C+hvpyrRHsjN4u+hy//vvr3TfXNpgtExf6sB93/r74/VY/2vx/r7v26yb83To/zXRV/yr/3Pbbl/
f9I/CF7zD0TZmdgYNOhUI+3fnTlf/CHotDsMP5nxMnX6rya9Yf7BfxEMX8gMXTp6/9WZc4D9WmDi
0T+gecdv/K8QvMq88OfGHIMDg0yT/cKd4YvIp70asvU9wPUmW2SUzpVJD6J6qokLB5O+HCJJsg3B
7z6zZ1sCWfHUGL2x8xtyIUSDdmvWEFC8ug9QELX38Zx9maBy7396yLe/DtwNNSf4qXeobpEzRUfH
gnEC2OWzWzSn2Nbx8cL3E+D7TtvgICdpR1qd+qep6x4tc7lx+hEMvaB1gVbH3w1pBknJj+Z/fgOM
UwSPyvVt9Qx/HkQWRushhSKjGADxztwwiWkNFFZM4B8ppIf9GMe42/jD5ZgqyozBfbz9DM5GKS+P
wPEY0Vs2g15PocB/voPeIjSUVdlFeFmvO99w78fUvskoVd++zrmW+T8XYiagWy6CCObZV3UQ2hyQ
AEBGrplw9UkGlYi2D01XwcpffbxZHdgXndObTOdnSsRYr0/IFd7ZtZItRygMETczfuxzez7IRegf
zcJAuJzVh77WIi9GbKwjCTwVUUR0uIrCckFbw7aT4zQAek22MB7FbafRaUnRkt2tnfMXZoUXuuy9
gGQ9vkxqzdtpol0jgNPp9Rp/3maL1VpRpzE1Da1lXm5QDXw2zK044Pf1VGuVF5Qyvtk8/wcIz4/m
5v759pN7jaNweXBsCR05DcOhf2d56g3+tEbcraaVknUtWW0M6W9Z/2IyE3iWHPYx86C9lSY+KOvJ
D9++rlCr//XusGwTagAzPWo/wsjrC6M26LYISeWRB+714A1lfuF6cOOFaEWQmH2PnNKGxo4U0OmQ
mUB2KlfOijUvtFzEoUyh1Xq9D8mXPWUaogiwdPJQI5rXqESNaw9v0aKW0GpxeOfeVdf/7N4daKo+
pp+Owi2cLWt99FHLclMkFQ1Ba0578W5BzdCc/I9Y3DeHwh3KaIiH6gbo3sVEC2AuUMZQcnBx5Vz8
HYAsSD72yUGCkTblaKJUxJcG94D8SWlmUM+2b2/f96/v2mKYArhDzTeZZ3Bq/PyuB5FpOuRI7JrB
gdN1ICh4uo/1r3rQkjJn3420TzSrFO/tz988MKHIHrpjG7rtn71sBn7gq31ZRvHUY50IoBjx5KEP
3v5+nEi/vBYwQZjqoYyokCWvv18NG9zUurKM0tWtI1d2xaWM06e3L4Ke/G8uY/muYKZtMB4WZ2+/
qSSydwAUo0aUz2gIQJdyeqTFktqEMWexyX0NUm88DVCZja24rOzy2WB0dNduUDTqMeXcWf29YcEe
rgZbO6QbipMlEjNhkc9iL3Uto0Hl3WuoaoZoct+IZZVQBkcvKBY0KCeEBUPNnIdDViKjRhMl0hfi
m20seMJ2DI+bjF/rU9s46ejV4DZV6mwP/t7qPASPN22BX8s/dcuiHQFpNTsQhz7OkcgTpX5rhUL0
X5aB/rpQU1VoL0/Vlj3ZaCZXyHBdxrhg0DfLnyWl0JFsnvmrXx+1BTfA0dH9EB2+Z2QEvR04a1JS
qJ/QFH0WnMH6rhOovVNbPjkTa9Aqks/dBmx4Kv37lMWx14aC+zbvkJ7WjnOK8wijrgcD4Tn0moje
61og9rvY4MI1CcJ5obtZKJWa0s+tR5yqCMvCBfo/Z09YJniB2XVinzhlt8+E/RWplHyfAM75ODWM
HvJs4yDeHLgGZf5spHzpKRm8gBb8goXqACCm+OFg/rSfzfKEesi0nzwC9zy2/aHgAAlyZnn7SmoP
rupoWLH0935qeoGN/+h+xJAuZIvVUQER3VSanrZyC9d6TuByHWjjWdXJLttPueHf49dVsQ3R3S1i
L41IfkwOlgkHKJNXU/fyo5ORd1fIjZJgRLFbP0laexf92Fo7VJf7g7/wNquVYCm7HKfB0gm7rnwG
jyyUv8gVE46rrSqeSxpMERVNHyQWXxSZSuDfCAGZrEBYDF7ACPYGFxaxNzrOgMK0ikCMnR7ELeu8
UUfm2pBf0dBo8UIvnpH7Y8XyZkFyPttoN+8LvbO/4C6X88Y9aEgWSjRLnDwz2GMRpERrPZs9Kuzm
tLigzlDVzLCarJ5MSOIfaEfre/DJ3ie0MmkppU+OqTdHplzyyonde33AhlWSnp4cIAWgEXgxZAY3
vYOQVmEQ017W7jqzbHT4SyAlSmYvafbkoUCJGax5Z3qlH6GL8+TpE/NWVrgxsDVeFq5EghXWOabW
qPAcjMqJVkDVrU8ik9JE+nsL0Pt6Aqh4x9gcla2J5NMCLXxdL7ysMVPZhsbnofFtUiqxgkxmv3R2
2S44C8O8gLdxAkytHZC3z/Yt05KgGZArUJuO2yWLGestZBi3RsBf5JWwx/5P6C9MVoFb0OFa2Gpu
2l43vt8dsol35+Lde9g698JA2zewoZHtsoEKNF+mUzOjNpLj1R0qcbBdRQDTUG/bwZXjb/geLN3i
7xdc6fadKLsHJLgB/y35c+dw1yh9oBLOAqNkfx4W8mhvIhLUOTDPvHf63VBygrTOij2YQc9qpF+1
oxggH0J+gorUR8LHNnBmE0ilgCMOmJB6AYGqODhb+2ALRHzV6eTrXARtID+0DSu+xK76edXj+BaD
0BAh92KfOZt1kH3dovYlAuLp91pNe03ByqWrgu5qn33ue/YxYgkP9kSsLZgMBvZiR9ItnwbyKxXO
1poHkZbOzUtQGm3CSzr0D2izczCOzo1gWHhENuOOeqeOMnRvYNTmT7CVaD6bEl+9iZf7Uk2k6hx1
GCYd1LGDfubNyzdkxPSstgQY8Tt1FGANhSksN/byDlrh32SVBgexjnVGzSfEQO29UatlUyPzHwu7
OjTMkfTcMk62zJ+LNikPEuEy2CUsxpdI56FeCn3Fu29WUNKWs2kHosn8ocegBMs29m+uxp+ztvFX
HtTEsujjy0G9nUVj5dlbc8IkXQ/snH24tNty+RKJMawhEQP7GcwZVtKc8UWwbt69W7YonvEXDnfi
LSHSGyqL4QWM2diGtAq2kMlUdsPwuwg8ZtKB3xMRWMN8vDpXcKwB/aCS58Kx7wwZH5CYXSMzVsCH
lQepVtiy8ZtpS5pOpAknuhYoGrDopE/gKaFX77AtxlF44tWYPgmFervYUD/QdTZ3bkrUF6hnRZg7
TpR+VAUv8Re5LaUflNYR1oYmvIWmOXZ5j/weEYDRpglkilVtj2wgdytOjsNdC+X6nLdGEbykwyNT
gsM4o02qxeX6GcHR5ghUod5hCW1CKC2eXtZKPVRPuZeiXLLcxzrSk4UtUQqZeNTqtIHhxcE4sAVi
ORTXiEOC+UIlc2dNmPdaA8ACVIsw52zrLsSCj2GRg9r/nPFUbUPl57Yb5l2XHkvQEQhFDt0NUbK7
yiy6c9aMKjtDB4eZbLoEMMf9sBhnpQZJKxn9fwta4Yxic5za+lG2W/KUuuivkk5bWTih4Mg0OANC
6sK/z5bsuemah1jWA6a5XfVNQ0jmE7CO9kqvCyDOLewj3C0i6hymjzFMd7C/6ANWqNAWtG2DFIZt
QN9LPyZlF9obZdLUJCo1aKfmQtqpe2uMOAnOG4oy1hzTJV67BulfjoUiJU/uNnljGqkVMnUxLpHH
exq1EvkgV/T7qaCBKuatD4tZ3642yXZqa4K9KvMaF5oYOgv8n4fem23P6dHXqu4ms8sCZWx6gfgu
0VC3EADvEeTaYWpqkaN0CLxXTMVrvGyDScgf+UbCNkzo1xtdXR5BncFmc60LupkPpV+5O18pCk0g
8K4nUwlWoS2M6A3SclluxVwev4J64MMsY+SzN6aQmWGMIZiGyxI0TVIm84+C2fmx6jz6/UuM1Jdw
vrXufMiTFYlakmfNSAlamt4jFwiiBfvOcs9qkNAT62wHChrNb6tB7yAWGUqHmQmXJM33Zg+cG2vs
gOT5VpuhTOINz3E0hgnAVTTzeKdJeq3N8ipriL80Fz8b+gzEoPR2HvolhHLtBzAP9sAsCsT8DHEo
Ru3RZkjPejLMC2ANd0mRAwuR+klqZhHUCSFTz8c+QGRLU7ITyAYsFbtWVT7Mo5H43QhL2Zg9G0vj
I0FN/mSg0Bo0dbp+hlDXqTdML7zkBEIlPH6ecw1yr+GVX+putKDA6Q8TU1OeS/9Qx7Q4KkYN35IN
vTRO4vGwOe4QgY9E2HbptpApm7zQleIxsCVB4FJx3NIKhE8551CW2EPMGw7ahITY2Er+SlX0tk9y
h3xJcU3TH0k93bgzF0/uyhqdCYlSOQQXligFc2TN8xNaNxCl6+kuhVp4iMEuwAxjogl261nd5+Tp
dwbdh6h3DMpCTusdLM2n0UifCrt5ANJEjmzrQJIWdDqYeNHV75dLw8DUIdOVqI2b3EIAhMJmfKWA
7EIdO6Mrxsby86gVf+WcacngRp1Y/ctZEtTEnBfX+czdeGRVqIgNZNcqnAIZ2a6LkRNv8oY2nG3v
3syKp3atTiQY6JJA5iALNK9bSV6DgvsJ5ReHuhGB7EHM2a5cqk++mA+TSLdwECXfFUjbDZT09FaX
RvtXpvPsUfbGL6ZwL0qLFdaWrIZRU6T0hWeKUBXP2XK9L41Zy6tEy2aGdTCRBslyE6p5lSXrfi6U
k7dHXIt78pyiS5cbTTMFMx9fBemKxGmaoPzY/YDa6UyOKbapZQ4JqaGRzbFMjAiZv/7C8PPnWkuf
E057CSnz0Nf2DZgYPXg50YeFIkylO51aqwnL5Aahfqo8cgKKa3HIzVU7aNwwMBzOzJq5cLVTVcu2
0CBCZA28LOCQpuLogV44f0hathSQKV52PdTRMK7x5UpnklynRNXSGYqP3TjhqYuyspboYHDclOyO
ih76G2tSDk19ytDa3zP29NC0841TAjAGfSnW8JKaG6xsN/0us0Vhh/gAz0exA6hrsh81VpMPrfix
nHs+RVbP+qbrT7gD1KeSU+9l9VNvwojPs0uK1WeaEHyr0vnoLVnk+OKuhjl/7PFPDnIEXVWjyrY2
htCJP13biGvsVsxdjm7C+hwhJO97ciiCQtLeSR8smjX4LVI3yCvhyHCzZoQxmpEF0wGkkwp7uNTG
LSPiAqcWG763HZeHpk6+apFgZZr4UMqpgg2PqDOQJQMNTrpSrHaOuJFXNNXW3cvZ6y/s0xTH+LcL
/xfexnnXB8S6AM2OQIXunLEtphzBpCRfmdDVFJ2FScMWwNxD19IUzPVqC5m1g1obecvDVkKXFVDZ
56L9Ynd/wpu7173MYA9T6Ko0Y3R1DeEh976YkltdLNvehM96FKUcg3TWceGep1un0lAH8wYS4CH5
/NLIfKmRcND8jvZ7+uws6FDbg3NnFFsdzNpgnATU7kunXaoTgGoSOrSsWQ3UQAMwa+qlQlBf20q1
WUepWBVho2Fi/el9x11TYuLe+XsrUVlgmjU7h5o3sBMvvigMY/nft8iZCECKEy6tQDgpZx2pvMzS
KmGnRHFPTem5eKD0aLAfmWienKrAxukl8NLHB53EdgO27r/Tov5NUwy0MF02ZECYpZz38vDk6exM
FGOUu8ynerGlxx5D9TB1UIIstFwq4CvOymVmvtOuOhMhUb1XRUryoctBEgL9fNZIYmcbYwZBIPK6
hQEqQT1APs34mM1OBWCgbb+Oeh4fYuU0AE7mtpmq6ZPfimg1F+Ph7dWtOnC/LG7U5lyTOTfL+6wP
PIqRMXUzM1lVQUA1DPAXJIXul+EgbQuUJtH17Uuqr3d2SfqjmIEwntANEu/X7ToTyVXKTQCufWx6
h7JbvUMHo/mAtv/90iNzOaX4XtRYZR+zZKqOb1/9N81C5gTcgO/x9hllvb46MFPUG2vwK2CNmL7T
0NnXFBTvrPDfPFa6zMJ2bI++5y9jKk5TYTMlG6LNyCzUsaB0yHz5CkDjpvcZvoLyfeeKL+6b548V
mgwL1xeQYdyzL9bVMiEtqYYoyfL+Kh5omGeDJS8ICbRyAD2gAVWDCaF7JpzkqVrKNZoWhPix4Rn3
5ZR938ovbz/r1zy1vxc6c0Rokix2msBni6vVSgAuesseK/KvTYv359/Jb5GT45VL9w4J7EW95/Uj
gH3nuhZdfw8ij3vWCB6FqzlxXfSRl7k3EmJaUGvI1zYxPks6WfPOmPDaK/PPrV5dlLr7WWaOtpuy
+XoUBSYVM+BQTPDe8TZWU9mzBW/byOTYLHW2Nqy910vO9JZ2Tdykjyp/ok9TkjxjU0srR685MrFe
QBvylNIk+9McWgV15hXh1ExLV2seDLnQmCKPw3sITB9iWDgSOebNDEt5N+T5N6c/2tD3gs0iBRnc
C7M37wQ5zpikai4/5gdtSA4pull7d0vSPUrxaKNwiBUO3kNCL/O9VQ3oVpqqttZBH5Yx2C091jDb
Ua0sNbZ7OdjyTZcXb68Q8euzUZNkG8KP4yvL6rNn4xvTMlAYthEYMkQcATbtgT5Mu3Ku6Iu58NLX
1MxoHVTIhU9IDaqvSWsVYE/XkBC6tGpjTroNqf/LVh9heOpMiSaVNyPbsYU9ltXXtCQKQFp0QpPq
3XiGBtX5+3VtTxeK8+kwlNbVd/xplkYvgzgvSTZJSpGp8XEfoqeG5LArH0ahtDIdoNn4zhyMHLCY
VmahnNGffvtRqs30evEDQYdVgocrJBjUrV7fRZVvZju5SRdBRrwUMw9GsBJwN3PeuZD4NYQyOjQ8
32XC6wrY3q+vxBQk7gQ6FVFc0xXMyXsw6t7Czh3q53Lr6XC4dKUy1V1GtUXxzSQ3M/or+F44p3Ob
PglKeOxFxMmtqPcKSkCeb3FoVM1YU7zT3z5Jk9m8iYzPUYupXd5+Wr97aQzwGIDarm7bv0yO0Tjx
hLGlbZT2GLuJEk6ZxBRjX/VknUuFEhRw9u+qXloL2k9jlz6vlfdOxPo1QLrAIpgnmsK0fj0mSjHC
zjGMNtKt5ofpY8fGY+BipURZd33vauLXCZbrYt/gM/c1Dd31zk9evBE9GJYt80vw6kXbrIEaSyK4
ihY1kh80cEmot4EhBxbQyYdqax6apSmunYrk3tKTp9Yz1mskZLbjROENzwRmDvQDLFBwRLzGI/cd
F+Rfz1Hu2FaDYmhfCkbyeqkhJ43D9sLWggqCuFrfDoFW0IEYdeonWtm6krJ5Z2j5m4Sfq7EikIrT
CdvnO6kkdUA/VTRRnNPY7LDCoBBfxClvrOWYVgP91ASDUaMYL3raU1cwzO9eeob02zXgyw32hzUt
hJhBUTAUU08j1DQuaa0YIX5Mh9akxEwdym7THh7ERr710hOpDQonwfg5HFwVzTKbfq0av1hizO4K
Kqp91ZiACjesR5ICddYMHY2yw3vA0BjqtYYDr4OhQ5i6KplHySUCCoZdE1UcjgtI16nZBohWhLtK
/5uqhJ1s4HILNC0j/mpqyJdDUpnRF2cZvr3jfhs2oNYC4HEERF7rPBvwtiyVFmEDRb30tqgYYxqU
L6GwMV2gsdxwBlLkZr54om1ON9vmRdczcmzzKMpD7cj50l3pEb3E+krMjEbXrKVn2rd2MAzir5fR
pgUwGMxPJbEfk+ZNmvMS3v4matG9jrQe8ZXkFcSJDv/+LN7LxGIEKzFExTcOxy0MwwIMwNgSVjph
iuxXe9/bqr8sD4Ux04W78fblFTfy/PrCcm0TzAtYI+McQuF7S+HPS91EeskUrRFyuTUK+v1eSSfc
7HzrS90iS5+ZaXExGuyRwuKEXDT62Jn6JyhgXTDqWPMmG8uUs4uJkssAyFmtr7oxYu/RPCCrlKEs
xvyB1oYBZYPhdY6zIiLadqumATZN9pymZKRXqscHbp1BWpvdyW62vuilHbS6f4KMmAER3exwVZiX
KvGf+R9DD/THf1h9XkY1jiNR4TJufPsp/SazgIeGwITh+5RbtqOe4k+nMrpvRZ3PaRMBQKctxICg
stRI2GAi1GZsw20oIUAV28WiF/oOtQT6PtkXhgeI0KgxzKZYOq3EaZXT+q5U8a1z7q18y5iLtzhC
1UrqnlmEq1dr9Pbd/xr3PMVwtdj3OmXqeY00DlqL+g60E82zlMcncxNCRYEUNA1eulFlXL0T9X5J
nl3WFPkpRRn65xzs6pZ+el4pyPNVQnmMaG2jNNyieompEg0mNYvpX17vyFBoIr6A5AA0Mqox4DR0
3g6eJ2SGThYHGzDLDqjGe8Hj/KB8uTmbvJb9plBD6uc/3ZyzejmkSkw/shQcwSC5B0TlmALwnkr1
VN5+/L+5nNriIJVMREJhGr++nCxaG0n/Bl6GrVatW51WjYTK6lk71I7vVcTeeRaMYA52UaibKiAb
5OaztZrKiWkjSuNRmqb2yc8mi1goEdy1/JBRk48Ee0FGktUoDZikocfMRszRMLT6xmos98/Zqvzb
fBqPjjl+6B1vOXTO4OysGSOYmT0K7nrprwCt15E/rw4uJ3V2qk10v+OpYrq5DTVuNXx4NkFnZHZ9
B9Esv8jH2gibHLy41ogqyD2vPVLDWOkewbIZ6zfswHQznbCTmvEVKbqDTOA+VyIxL8FyaExUig8Q
oKw9ZZsZucLkGRoyOzkdfJs4L5IPNXVyuE0aviG15wVjyg9SoT0ZCm1nzB26cSRqYMjjPHBTKrW4
maCskdHREZS01TPm1EFdVBDFbOLBDq5wHiA8UId1a2W4EgGAB2mBIOQMzj0y3c47+hn3oLVxQn/3
UztY8NkyEWh0h688R9to/2zG1xEdtGhwC/udjWaeJ+qu8EjCYGBREAPD8876iQiMSl8rOeVBUHjH
l7rHLEGN1L3OZJtcCvkv/UPbdTVOUbO1N7fVOohWvcAGzxWEFxzmFyN5vSsRRs3K9FspchNma+dA
hZ0dWkqoN4LdRsOfAIkRkqxDhgjWXnUlQs/ctHu8nq2Trz4+b4YPQyrubRe0ybw4IEns0TyMsqpR
c+69dxpO54cXsD82FDuYPIZAo58tdSInojZd4YWp3CKZ4vbFJPbt3XsePF8u4YIwtFEGMWz97AFT
hdk0AhIPwEDeBs1E+3VCZTGArgUYZDA7no32XlV0nhRwUWKnRXJDPUHYOItQkNqc3EmlG3aNC0U1
8eW+ReGasVuBN6zJSE+DRX7RSD3GQK7o32lrGee5vYsOCgmyIIGnn0rH5XXIWruqnHLliDI6rcZc
HqfgVpgb0urqgrHtX7T+4EVEu3vaDgWMYGf6/PZzf0HA/ZwYvdwDLXKEDmAP+Aog/nOUZtsgvCM1
J0SWVQumteuPlWVKCnG9x8tyyvx9Vun94wIP4YYHad00C6jTehAYixbuFqSTK/f9DMl/rDbvQe9h
HtVdT3aXtmFVpPLjvK79hY092EU7pO6p6yzn5LZz9wUeaoLyHTrG0ewPt6abtLt00sp3kq8X5YdX
35EE1kJqwkSlgmbbOZhyzQbH6jhCw5FddZpNuYTY/Bl7f2omqOt8CX9My1t9TtxTjx3bnsFjvPc3
fQtKA+zIRgoWmPQi9maK266Pz3DgYoHCvtZ7xCHEcwsW44gIMxAy5B8g/Zh3hcBYvJXZdIl6bX8s
O0eCANi8yFncial2f8CHLAfN4XSHEj00ED6NmrHXCF21YgtkbO+SNl3CQnb9DYZaiPg7ExCLNPm4
aiigOvFc3q5b+2WTGAcjTXFpQ5LbbxZigUmXTtcic4cHram/v71klLT3q1wW2R1U3WlaUAhzcp3X
WlDs4gzfND9MCknvBIUdZAumU5bMn6rKijHFtODUDQb2H84a7wUdrz2UU+9YeKW7w9wNCizz5X3p
s83yekqvuiLRH7sV7pO++dsVn+KcpgkRykWzoFcOMAJ56E5U6NO3LW/9K6o8fa8PQPbsoUfMT3Q1
oD4h95rTfEFOegynRUMKYYaEvsn3Mhslrn72BAxqbnasaSODQrv09abJs2F1aKfYIYaH4wcPjsJX
scwMwbjxmBPUE4ex8YZomBctNLVKA4jTpVeoh3rHFVFibNPicVeVTfU5SxS8I2PbFVtv49iGIkUo
5paF6SRYYgOOC3R0A1CeaKAmZV6OEKdnHFY5wvVJDbAE1qd5Mh/gA5a71Xc/IXTwnVoHLxTmU1fV
oLnHBNDGdVJn3u1APomGp4do9lRSjtdpG1TzMkQOvYHIYuQXMphkoU9ccvFL850ezu/WDpMLi6Y3
se+XpHBdspQZJWtnKu1n2AberdorcoS8NRvJ9E4b1/3l5ELZAwUzsgjaNb57DmauRnpV+jgQYYFT
Iafcw9Nt+vSq3Wpjr2/VEpp6nN+kzpBeCU8S8CTplzHz0JepI4P30MJkmvjn5Mc41jvX8Wb3oQHK
Z3Eu1yRvgg6yLb8B5JXf3bfkhIHmsy5lzvEhZnYzaftz0+O5IxrAfEa3TT+MpumPo8keaCkKT3mv
O4ciMZMwBRL/eZ5K+ZGBP+KSIp3u2gw6piXAaRQWZEjTwcM70ShtAHP5OMI5dwP8mKNfrEQOlKuu
KweREAm74nrWCct9WxRhr26HiWmpEvHpM+YoWtBPHDNaOnnV3hZuHjYdZs/doOU3Qm8w75G1/tWM
3RKIjME4O00bLfRlpeySEi3seJA7dKCdQ0oviAyUDbG9kxX8ZrWwSOjFKDy6OiVf77PeccqiSkDF
Il2rYgjPT7Y2hxNSW4hxsCHeDm2/Xo+pIoh0UiwKdfu8SneKGmTw1thhWVUkIC27AdicD2k9847p
Znfv7Abj18SSsg2dNCpeYOpKnvL1N/SAt0HFTawQHJOJ5AnIUCQYnVNWMYhCOTu9WnwrOyS9A615
lEfZEy6cAtfMpmLzu3gS7a3ZhRlO5bz3Rw4qfeJV642FC6NrDFHb8VVwCJcfq55wbdfqcLcx6LS3
rLy16+ZxVWEkqe0YxDWLzjHKR/CLHS4uoEJR4tCChN7kfYNL78UG8xjXySJkyvDcNbjwQqN8Ltzy
Eboh3vI6/NQVuuEVfS1xMMaFxkojkYZmrRsakf/laMXjSe6ll6QPIMrMA/at250ByBeMCLvJ9zkl
U5bgVZOW+tU8WEPUOOo0rQrA4C15CYpHHLXVuO10tVdXQfyAnb8+1RvxrZhY51vHEi+k7I8AdDl7
cKIM+qLtvmQZWpI8NxO7dW6oRRQ8oONCEqClTAHWDvL+y09L1nu2oiojXY1qvgEZEowC6fQFaAEC
3XxCnor+wsoKl81CuMjwH7hApmLjIS79RTro3rXRMcAfS/7VHxLv2LvsUFTreU8JGUQd+0PQN4C/
wXwPkUx6idM4KKJ6QMkmV19Ts40c04dtC9rJ6A/j2jgRHCX/QlQZz660vajcnM/O6n6rwOvui9IS
F+zOCXGrAnfVmV2T2KsXIeVMypKRRr9sd9/h8YE05Qoap0Drk+mkiODsU98cKNp5HS+76/8Z7/OV
LmP/f150GqHXBY/D46t/OdQDB/Dd+EOuH3/0eDv8p8Kg+s3/6Q//9ePlU96hdBqcL2T1/73A4jGr
Hr+lj+W/buXj9x99+jOL858//kdo0f9D1+kpqyLTIgSpWPe3uppr/4FyqGcZOgYtTALUT/5RVzPN
PzjZmB2ReKPsQ5j9t9Ciqf8BW0ypq1FOQYDhR//5GG7/zo15gv8tPxG59Ncpj8XUCDFHnc66GoiK
86RPcAy0qMV4UY3fAXCyHpfI3kf1vkWi65s1mNhWgpX/MnesR0ebK3KheAB7mMcXgmTpuy63+khj
HUV8MXwYK7+K1AzzaykLFwao0yJ+MhTdNw4hsItwRvflvCY3DCmWj56famEz1i9y9oP87tcx7uxp
735EDySbD7CjrW8x6ZS1w+spDTFJCFf2GTDO8srSsWMaZ2e46LbkArkBa4e9lh5mrf9BH5HmgCcw
PjhJ538vNAdyV5qucSS1eAzNmlN9X+bl8j1hK34d7Xi83PocW1bQPBEGWukR8hZOIwJUc790dBdF
ee2vmfcBQbP5sIKBPzapbpAnjMqC3dKP2X9wdybLdStZlv2V+gGEoXUA09t3JC/7ZgKjKBG9o4fD
8fW1wIiKinhlmWlllpOqYZiF9CTqXsD9nL3Xgq11VSJPENFCYF+VjtD7qJC42+corZ/Huar+pE0q
bnrTcE4ow59Y0IUw57qAOxKybpJpyGhsUUVsIVI2LCtq8q2/jZJOzytdZuM+0MjdwAHkbx1QlBP7
7P4kc/urZZ13g08+vaQJxitigd1jgS/w6OjOXxv0xLl15H66hIuNVzuKAbyknXuJCYz/qtnqxKup
84zvUYv+ptTB+FYx+rjhH5y/J9FSWgcSAajp3iov6uSGPTIr36ooiMYE35MLfEKIZCCGCOfj1OQL
+rtwvgCTlMhZimDYpQ5PJD7wLj8oQ4KwtDNwQxAGkmAgOhqzBW9oB8FeR0JWD7l14yTcr+hENRuF
tXAfxLYPzBpf6jh6Y72KOZijyI1eON+pjYcr84krUr+i3sYBeE6c90nX6DdtFPOj65d3aVFkPq8n
WFtipNPf2qrc+FG3Vblvc6YT7bb0kj+EWKnkpsztby1rzI7oYFb8o5uXujfLi6rm8LdXu/HzNFpg
ZGAmvOjJLk5BEoknJWVjrqYpbC7kO4e1qk37vmscsmRGaLgLS7Qlhse5+Hfndneh2xpra4jrHQdl
+3Z2dLnLlJhA4xUDFDWbT21qhsVzwfG+2UxcJ3dGyc8szIiVGa0cPmbch2c2TvUDATz/PIMhYL5v
kh+f4DMxMSXZ2rKH9v2XvIYkmpfeuGpRyXqtzjbKyxPMz6l8tkh43yb87fq1Bxlqa0bKSkjSZvFt
X5nx1ZnRi/WJs2BqyLBjCVetue8cRWoqMrHO6YxjC+T9rwC8D+Urz2gOhte6uxb50BZF+xV66Fdn
TaeA8svaMBXtpp6XcKVuytGpDwFkEsoJ4glczCa2pH2sQQhhH0mEsfmXZ/U/HoP/CmJ3/hITWJ56
NlVbjjfespP46/Y18jNfVR2Pg7SN7YQ6TEWhq64R1fJxlPVlKliCqJLSWyffiqmAw1o1bXvrkiGi
mRDJ4dzPI9aKMhk2MpHFOQSzyp4HFtgFJ4Sk9gxuo/MVr3LhECjZ9oRooxUyu/wh/Pk+EzDnu+0k
UOuPku+FOEKPdE7K01ihuPnReBqIhH785391Jud/eeLDbA+5pzGa9rniEvv696OpNnrXDLiY7zmZ
AcYpkVDkzqMRTB84HLKVVeUDhd64ufjt4Md05BzkOeOEexSKnuSiH3uttaU+XXEvnSPMF7aniFQV
45/cGeIn5JX66Dfq4E7FsXHmZlrbQ0s8ut9VSdsg5+tOdmEHiCfTr6aZKqaqVnmdUJEfyQY2NCgK
bDlWl5zshpEB8g7ubnmbO0c5to5YsyLqt/wcbbABebYZxYjxL5zK6+Cr8INCk/zQoznulCjkLxtL
0q0X6+a2iNtkR2gVyXev/DckHdGR02d01WU6PvA//V07D+lbhnv6NI2KgyNTuu2M5n5Pz3DmrKog
+wRKHxkU9XhP3D7Ctm3Hj7ggcUyoGdAjf2y1drI82eVuaO0xJogdx+h5S84W7GDCM3LbdlH70tue
Rck6rF+yZfjfFNL9Jp8Zb9I+z8+DyvBbMn46116BWnTobO+FzKh9xyHaeKRFYC/jamzVc2BWf5qs
ml4EUMUXz6/klVBIe0V4Op64C1sHqiTJJWrM9oCR9liSnO3Hn1EXDfMmIF648gdrureVUuymsTiO
SkJPTRiS7RN3lPyLDDQ8dNM+sv2lyWfPeJAqy/5FLDh6ItNVhesIBWWfKVwKs6fmVd/N5Udp1upm
duz+Mrc9TUrC82dqiOJSBuA8ubWmF9/TqL2oEDr41zMNKRmr6ZqOdL3MEqO7zlD1vfCVD+rJivWB
Jg1hWHBx27bFFxUCB7wOrBZvBMl2xMcSvU/s1KeJofd9sjxFEB1zXPGP2HXgmUocruh2AEE3qijx
bembqUO5mJF8Jebsl2s2b9dueWbFgqcXcZfm4MRWcl/OhvEdLE+4cXnWFWxqK0WMyYVHRCu08AgY
Lg/G4echyZPC3dAvjK/t8gzFUc9zBjnwzIMgMfu1vTxvgRrK52l5Bre2O52kqnjm1najaVCMAeMi
zRPdqpqH0W+q88w++MNTAscrVqFNbrQsY35eDNnyjvCXt4VVWHAx8+Ud0sCmNw6UNoDJ9D+vIDOs
k5hmtO7VJrca/0mblXfX1QWlmGl5r0HbdvpVUFk5FS4zaE8GWfBdt7wnhzZj0PLzBpV1HPxSdebx
quAzTVfeTmu6BCVcj7ovm0MVIXKJqNmkG2orvNJnE5RWrA28RhiAxp0FqatdzdyZ7v2fU4NeDhAG
J4l5OVIEP4cL2I/ZWg6+RzWRc4fJ8TEKk2ZNAAY6XlQEwTYyhulcFla9Ab00HSOPjHsvyxJ2YJ1Q
pCiXvdlgI10OEnfDttldy6kaaHkUeX7j2V12dPoKgV9c2q9JJdxbhHrBg9QWWtC2S7qdTRHmD81o
+zoVyvsai2G8pp1Onw3Ab4+RQzmPW/TgH2F1GiRvWmMC6OSmdyDUFbTQNHFuheEMh9Zocvzh/FKe
G7ZYNEm2dy3ZnJ7qqC5v+2HEt1Qrv/0FJ+rNFHW9Ib2Gez1n0rADj2Htg2lMnvyYvzjQOPvYGnWs
UNiJEcFegGWn7tCrYGA1rnQJnaMvJvexzCpxZe3orVmq8/ko0+qJiQNO+cpsiyPxl6zflCn6DEb0
bKliqyaBGrKzuBE1WkQxqvDAwdL8NYXz8OVUsuZnDJETFCBftJ1SM9RRIWLSdDEkslftp94eJxjf
YtwaKar7Oj+rNjBOYTOqQ5lN0yljJ/RjbUGK0CDsBqZlvpO4uc44Op5gogL0qoxin8ooPSWz1U38
0AJxn2g7/8gcEW0oTnggJ9qy/xV7Y/xRD7iaWSMX27DKoz3/l18msh06w7a37UspznYd8uE3oELw
KjfTeygFDajRgmlX5XEKXLGMda8pf40IsdraE3RLq1osIsQ/pr0st/uKMD7PRMcgT0EHNkj7Zst8
0nyrutw9jbobbjwHjlts+cNWYbziF/szo7wk5y8gGc6yfJrYzlMIK0JxCk33G37kL832fs8LrOCC
FFXy6LdewLddcSiXlDceIB9qCDYeB+soN1+yKWVUVJUvllvbb25jDYdxKOpX5XnZa9SZLd21Bgot
hqLD2M8fEGRfHFEwO0HiLY6eW93YQt1loU+6rpsG0gMTc8qAdwVfK6jGW3OciFoMYSVM0HBufQxY
YRNDzb1TyH70MPd1trVaT7+nBp9TE67OeVIGfahERF9gDslE0dBVa79ajvWznDgoT6DUpsT9PQxJ
tA/dxtgJS9tLDyY9w46M9XmQRvUgjNF+ohLRTeu0mvo/Y15zXHTyLrjIRvK0GWMne5S1Iu0xY3lZ
ZWVe7nwaKntGbR5H4xoDHzFFkW78sBX8rmP6WbCGXUV+TRyTXirfn46/+1hER4AO2Rn5I6wS/qIa
HqOB0pDrCG2gLjlIoLhbFRb0B6N54uLkQFIwcn2cCCTtU4///mQW/lvJSTAFaKfDGwqoeufVTrWj
W+B/JE1q7e2R7hN1/XzZDmi+ta02BddQLIWruuqOWdG9E8O/mX3ze5lfbEcrsj770fDvwibi9Vg/
dciRyQhTjH6w41aXe8X8+HfmzHwNkuCl7JkTGgPv9tkGh6DGVu0Dk9kVmd1pbw6C7fRUmC99PDWQ
cjWP4qYdWx5JYw99wK7vaz8i58yrhM83AYD+ifHE/CTqoV4oAsGwRgJ0gRZIIxWWeHEtZGXfQIcE
8BkxQXfc2L4fFDu5DZ3ZgHSDHxqPRPqcq2NJ9e3mv6JupktQT9Qh4zkRdzi+3EOb5hyLDHlTBhQA
zUZs2q6IfGpP2V6kQ8NTxOaOMXXGpvR+a+Bl2S6sZE8DSRdyrfBYMECLLr3K5lsOhOfeRv9oDm9B
/lHNDzqJ17bbozWQdvadefFtnpeSwXNt3vte1Lzz+eLlJXR/p6gFnotE1m/mOII6TQumEGuD9ywh
TX94Z0WgnkUZOu9IzL1XdszNujc790iNJzvxJkguooiMNZRTC3FkUW6l0XGoyOJj32Zgdv3UJ6I2
JPdpVosHuvT6w6OLtDJofR7bmZngnAl37UvMlIcgaHG7Ev2Z3gYeeetaVpazKKqSQ+x6ZOZT3Wxd
K5vxgoXTo42Lfe8ZEGU1PFTE0lV2cJFlrbBCMkgtIr1l+T4dOEOasPpwV7AIYEly9QpZH91mmHZx
Mbjb3LYSsvic/EbYkes2HBooiG1IXbhI0MKmGm8X5b0dfwZwdjHswRF25Fsz6gXPO8XxWqblQ4x1
DcpCZYAUWV64AWLEPRHD58LQ9Sl3kdpDn+RAtuTCB9aM1YaEwhPQ8W47D3UFZxB8+qrTRb1Q73x7
3ReGwsjb5XwDc2nywJ5baBOCEjhaa7ta92HJrxh7SqA6ks6LlmkHSGf2v2qwMIck5wkRObRGu15o
vippeZA2uMxeynZlBXkWMRTnaaZUo9Zx7m30kEdn24qiGyqiKxkmvzwGM1luHmP0T1YSndsyAnmf
w0gequStLwPYyj793sKb9YkJn9xwfHjgXr62w0Lxsy2nfCWMqLxJIHOuSzX6G+YEM8VuL+GalPrc
zYO8ONNX9fkRRECL2spCzwsaw7c7+Z1ECviBwuIT0H1cN0ZEa8SJcPdJmeW/bWIp7zJ14eE0uR09
uMYYwucXxZW7Sn92U2xd4CuZLHlwuF4ywx3XfZzW7yWYW1gdRXUG38722q8z5utmcDCdtNi7Y9uQ
UWIb1aUswya5NqfML2ARhFTu/Mza8w1znnuua1f2TCC8CQ9s05LZRxKaK8uMCYpl+bmyvdPUHXTA
z3OQ4XtH2yVrkuDBlmO4pymavaDEc49NXhQXP+3w2vEVPEYqu8a0uYf/Yg311xgsdbMFwgQUGpAd
+dHwL+kUlUk7ilwn2BtEGSieZ+KrjUfEwo0nA5KrLfdfp5hifHUSJi7pLwV0NKmN+0Ll+hfS+brd
Fq6XbDVyY+yyy7ySmQ6FgwHjAKuRZHYREfxMOE0BMn9FYJT/dyWCUwr5v1513BCNv6+7/rsH8v8v
OY8EYhKSyozI/+OZ/AnJSZ7AVPy3Yfz//pV/H8gHPlBFpu68fqgcuGLJfP2r7gRqIpkdGpHeP8fx
tvc3OyDDxKTICQj6LpHH/+U9sv4WclKHLbj0TjxBtPUv4/f/bBzPFvUvwxkCQ4GDpcTkt3M9mjj/
PpwxSzOD6KznfWm5c7suBgyiKwb4DKC6wYPLZHqReMWlYBabrhWcFOouD8Y18IDY2nSd7XI1gpjw
qEwyc/gBem/Hk7O8Caah30Fg7x8qpXmaWRVvJo+98qrWRXpIhkqe+QOVSDUqdVDhADxBe4GaLoKL
wpnetEzvvIGm8SpkoJVulqtgcm6BPdLDZhb04Mre0wtpQmueH9z6t1Njwjeq/IQzSpWlii997DEj
JkDKgyWU3sjiIMoexsFrDqTxwalYk3xjd0l7eois4Td/ORZfDGThe8XO8OR3wkNeCu4DNHNpRXuF
KYNzjxKq4oRdOjvqTWO8a50GJXAK3K8CdBClt2lvmWqVJ41L0tonDXayYVXkKx6nPQk+RpL+ISMW
Y5Loz6TcYpYAcRwKLtJrLkfGRwVKOySvr9NLBR/ls0GCcukYMporZJw+YFrSvPOGxW9PZIWohfhZ
UvLGHKMADG01vBd2rtyVGPrqjz0buEpc3zAoAtf1JZpT5hAKScaKXnDXrIYu1Hrl1VMOJdpWV2M2
xvuM+86XU5LLRLqcQKDRjTLeusbVxiYCrFjtXZCcV8P2onpjw9GX3LEBlqwJahZPlVOMRPx6syew
xF6mWndFYH0LsuEF4UureJ99kje7wcBbzVl5xqtLONNZJ3Xb8m708xmTaWSEZytlKmDVctzYbddc
a23U12Rs2wOX6eYhyQLztploTKBPzEqU4TQFYa6U9afZ9dMtmCdnWOsGvkiF3/oEAIMSHmWE9U9r
vEsDhvszdPR9j0oHPp+ld0mcT6++jvSNGcvwQKAGNFpdpa8ux33iHDMZjQCPEOfwfn60qmm6ypgL
gtvDLMgXCk/GG35bgP9auzU38WHBtw38XnufFe4mshR7noVUhDHb3MTdUiyZYazDGKKytvTJq6iN
ID/01cEuYQJIR8i9ZyblS8s1DAaI80zhAvqAAATQhTX66/No8zVYhWUKIUgp5r6j5xzThL+pIuuz
SeG6nJsItkXUp/qZU0rNcWaYTpRi2Vb51AMaU3CvF0vTwmKZDsqE1c2VofZ879j0ADQS6zs+686+
hjBdb5IKPnXAYPKe46CNC8KzHudYzS9G2YpDgXSdEHPWcMxwplq+cNi1X10sCC951Q/fQ9JmL77l
Yd8JhoOb83uTWOSN3+W9uGq7bN4bu+zuZelanyqMWAE1th8+QscxsSxgkQAKPnicdHmmoONhsLlV
jp4Zcwr7U80o2Xmfd+6zbePOAK9DE1eN5S/27v5dwGj3I0uMbpuUXoQXW3TjA03p6KDr1DqmZVX8
9rso1OAlTbtewXTWd5kvZ7RLZlZ/syeyXpYPwhOEzvmbc5iqN4Eyi+e5Mf17XU5Xn8zDSKe+L0m2
eZbi72k0pJ1x4L07WNKM/eBOkitkUUS3juMPJ80z4iGa0vhPyR2eKv446dc8lKyZOh7NBwfLc7zK
nMj5zttqBuQSOk2y6nJbPA2htOC7DqR85sKLH9oylp+MFPn2j4OsV1VQk01MCWita3zKwLqC6eLZ
cU9oY0bHO+F821DeWcja0bQlbcrITPAZaFvd7LiymdhnIhczuOk19aYtWmFtpDXgFdcBkRYU2MM1
sByaFVXOl6QWyNrWQW93DywzUetV6OeplQ7dY5Y16ZacZXM0s1CcGRZED3Hhuu+AhvITGYroA5zi
o1mX0yWLB+XQXdbZPbdrDEI01hGF/3iFIicejvnUYhuyDMwKlqWdi1hkRAWqkHRlLYqi3ENWREeX
dms2Lw4jSlDzPdf5WB3stGeqZqbFUzLG3oe9KJDGMfbPVpCY9w4lkhNdRnEpbLaMaT6U7CeGpN7m
i1SplFofxmryTnnWEl5UP/4lXMEpSA0O/bhvWL96ayXC5oavgv0sFoUTm8f4bPdoneALlZ8T8IVP
o3CGfYPim2md47S/rZ6s2VSl9tNIVG87L8qogIPrJW7b+iuOYvUZ1hlyqZhuCJuNH+kUC6L2IDgZ
LvS3RUtlye+ow9hNo88P4K5gjhgbx9Ab2wM430dTdckWz1W1GK/GH/mVv3iw+sWIlSxuLAO2pQBO
GVAsS3/0WUEdNrdhwuNl1fxdsKVG9Wn8aLfoLUcPyeLicn60XLTkUHRVgYuuSy3mrmhxeMnF5tVC
K1wOvF17L6tF99Ut5i/rRwKWLz4wOQ7AGPCP5bfd4gvzF3NYwvyjWBiU9m+/VFzJDHtQEI8cJz2H
P/Ix6Hrms/CL9IV3NnIyVL2IyvwQypL0sJcVFCH2yH3D5zBpBSOGdpDM3TKUZ7k9GGfMYbN5TMdO
PjmycbpVs5jSZqA07jmR2nmtalNMm8mjgEasjHvNYlobO5xrPbfGh2nxsLkhwSYGY+xaAyxtczWr
6yy74c4KeeguM8H+FQVF9Z0sjjdTtWJfLN63bg6KTTYH8iGMGpd9mAPln9uTeO1/lHG9cjgOeVzH
o2PW1uImXfxyRdTkrxXt4BsObI27Z3POMqWBNXDBrR28I4OlyZOKN9Mt6j3CjWljG0hB0sVsFzJu
W5Tz+ZGiMpj28AfZLv3Ofya2Bci9XpjuyUJ3l7GpiFrz2F9ldlufw4UDn/RMRil/2dPBnorkJFKI
8Xphx9t9I/ZooXfp4CQ0nzN4WzRHxg9ta4Z0ae4KAJd+/h5o6GKrZIBRD78ruHX+Dq63YNhHHjT7
Aax9y8Foay6ke8vpPuXCvmcQnK+GhYdPs/XJXQj5KhwfrYWZ3y4E7BGgcbzyR9YKcwZVaT8ZHbKQ
qoiLx5SPyWuzkPjTaJwPqTJGSp0Lqd/+gfYPPwB/3MjU5yWxwrew6/WvmvBMuoKAafQrBfir5fUT
dcNh7mqIXUhg2zX4Qh8RB2zo1RQNlPmBdBbvKXx+fojhOGLZ4fVJu9S21nMy5NdMS76pYaWjTUU1
4Qrh/KkwYx89KDibFBufsa4cpuuDS2zMYu+GDxqZxh9qfuZTn2fOIaMFtcmquN2hhIEaCi/oSbnH
iB/5jiHPCnKVd9OVpnkpTeVuVdkyiwxNFrEyKY+lRVjA11N87UBXbAxh3fplat0ibo/YwJrqPsJq
esnnwtrlRmpAEbB4x65UZCfemr2rvxkhhu5I4mS31jS1l7gpFcxsULTloczj/qadOSyuWq4zL97o
Abmb+wptma2lIWCTmv0L1CRBP29yY0RsEi/YrL2HGuBYtnEGTonEXWVBKMRA9UHqLOTTCbDllkZA
co39fomixVozq9XTfArI3r5B2BLPgFA1MzIfOwNuLvECP96752FHpBwpTPLOF9hEAUOKYl0aTsnb
tJCP/jzFN3XukXzmz2ljV6sDprhgo0Ixluz8iPc3m5zz5lGSNiGCMssQKIHfd+YB9ZG9czqHUS7j
dUfy1MR2sxk6QguIEO2mWc8mbiumILGzdumAp1t2kR4EYG7un4bhdo8SqgFrTc7smxrnyd3sF8N7
5Qtdb5h6yZsh8NcN64ke3BJGl5V2R/Mu6ETxjsSHGxpmr6y86yR6KLrrcCw3XkIZh0VcFGGBHCey
yKYkB3CYasvlpMlH+RCNdvga+QMXndGHXLbKfT6q63JouupkFAQDNrXU7MTEbL12neHG+57+4jnU
Sk3rzI7T58oISn1fVi2xeZfC9HfXutQYCY62eheZvR/DygriflMQO07uesflylEUFRVrnBIzL72C
eiiLyge+M2qFc4eZPEoTzho8/c99Mh7aoZTnKXDcVx5L3oNge8cEPQrPctT94wQjGCR4Mb+yGveN
VZgwJOXxm/VrulWkinkk4RP7ufP/dw8//r/TQgMVF4ws/uPxyNNnmRb/4/bz9/Cv85F//LJ/zEYI
F1KY4rHJiGSBIv1zNoIVGpINaW1qn8G/T0cQTlDqDU1ijIDYbUL5/5yOBH9jjsF0BBWFT0k6NP+v
wopLKvxf6j7uEhgPkOVxNAyX7ulfgitt4wSDmEhppXF9ZUPLbchoPmg1xXxZMQr2+cntpvkwQAL4
LyaF4v9IDEGnYPBDhpP5DMAi8ZdK7sLxYj5ZF6CRjPkQ9YKTZ48juWWDtup5JpJyy9hmdWOyH2oz
vfSVZX6BrIy3YT0lJW9mt1OrcAZ0PXpBR5d38s6ynSHKeClxQABtAPu68MZh7sm6XSNRiMRM5CEy
a9CktX8/0q3Ob+oS5F8jxJOTOFgUYpvf0J8r7syTsu7cygKfN4juBp81x0i2K2sCfPOuEE7dr7yi
c259l9ahxXKI61jpzPetjm2CLZ3x5M/utBZBFd5xtJlXACHcmzhfoLuGoZ+ps7jbxmcYY4HbJh8i
hr2tTe8cwhXfe2k6HedlvLaeWgOjmO0nRn5w/Qa0CLhtiulGOqijgSzU4d5rYDxwfScCksTmm1wm
Wa8KMNJHELmZw/Gvth8cUBi4Bn9kn73BT61z9EGPWXfp4xZyIuzB8r504vFPGWnzXbod0DTTM6Sm
BSL5pRAR1ZuKsVCxZVHlI3z41wFbwHbkdbkK7f4cSPccSlkf4oxM+dgG6T5rjA8xmOGNyX1QbIph
albF0A00NVhsp2eROVN/oGUy3Q4wePnHIrEzBlO5LxKR7+0gZluWNUF1kWgAjgloxoMzJuopdqps
HyKo3KQtdN6uA+A9D/xzd1ZufuKtM7dC1mhKQ7+c9rnBnYYRzyVk2w4ipK1vHCPfV7ZP6xx6KvAh
DHAHixPxNuSb422mfrAuOgVwt2ZbTNYxU1G9g/3EP38LHQ8uqnuMfTjB0rDp6rj00ThVdq8itoJX
P8/Nm3qhHE4YMAOrgeq3fM5ZEBRMIkL3xmEQ8TRyJFol5dBvVFd1W8dkfuKVYU3AlLrnin/B7onU
ScHJGCnvYxB35HRH8FwWiVE66ckmr9hZL3Bo9ZEFg2NRgAtskx+xCQwh78aUb4tFNHHnzqSvVtDQ
3XFXsu68DaTv/JIEkB9MR+IG9jMkD1oG+lHRaPkzx3b76KsufO57+oorbsDGR5ba0yUdSvfJAbNk
kXSZGv/WBeLHgm4aq5bitUdp2jKMBsjiUt5TZhoTiAXzUR37PFZgOCe6QWNmQx5prRbYJ3mL/Ux4
iaCjFXBgnEX2q5va4qpKiFpNPBRPHaD7g6yaI/ZI7xAU6nvuDThQ7aR2uXSc7xgk7m9eidlBx156
03A9OxKUYgoaUWTix+mMt9yYYft6sDU2w2T1z0LZ4VcWOdFxUehuDASwa9kpxXm3K70DuPes2aRW
193MVsumAZDnqxMVdBEHZd2a1ex9wmiSFKewA9jCsrZKKvkgoUo8IkezPmE0iStThIEET8SPcAq6
54gB774YO/PCgq98SzKveakyx3n2YX8dk04xRa51H228fMwVMw/yP3XXMX/MJeM12Cip1X6RfpLx
OXEoQ6zKrAiYA5GoUFuPX/nWzpD0M50gPYQVd3C1OcxbKyGYebDpeEGcSiE3V4LYBRttvQq9GTFL
NrTwUmKzkTErYtr0HT5jZHkZK38+aZNeySjBOjb5YUpgNuVpTOKGnGmSL6UtEmZabhxnKLeD3/jh
pYe3eiKGa3W7xsX6twoMOzhGTWB9cFsNr0M7j0fGSdFr59gtBT9jVMYmk8uIIYoYWZzH1Ig+E8ES
FjJFqM6x9tTLkEloYBHBiGjTZDmlmIaN/5qp/riN4nT6ZIxX3wIc7uxTUgbhdjT0u1ZoUzYaDe9e
joXxKAen/tNEeuReWiVb5TNG2prDIMEicdpqQIaU8o0P/xxvAZ5OMdiinN58znYwWzFi1yaZt1Go
NYSUvlsPfcPo21W19T7Vo7MZ+yS3dgCEUIkKBLnvhlQdEs28dl9LtzbfmjSG3dbM9lc69PbacWeC
yP3c7tDXdHfU1cPfnTNXt2YzhdmeQYjJ6gIt0IxPIKr2Op5Ghi9kgrhjNHNF48d3niI9CZAKhOjK
VeX2zUFnLX8AXLc5UtlkVgz66VcS986zEhg1VZ+aZybTL8DNmt1klWuuqxGLBRaYwpmnXZCr2sCa
VgUGxHDeO5znqxdePUwVURX7w7oi8P6cp/18ztsMNp8RESTIgn7n5sV0aeqIF14cSoQagLROY8X4
YVUkjsHKtirlteGSufZcvg41LeM1wBfvCrEjIflf+s5dNo7i1uLKix3PlhfMOYqn6Zycy7Dh2glh
i/QXFXUGHcINGV/WTvJgsOQRG6jZ6GDdUTE0UVgDyDQyhI7ZXP7OdMnndgDaCpU+D7vvVpvBHdRm
p1rTzqJnzpaVAHXVJ2+lOwInMKv+3sirvdOL6UrwNXzAoxu/WL1HMMnW/prR81BiY7AjrmMlhlXy
MktROrnr/I6vrS0M97mompHEI3zlJE9bH0pdrMFBJMKcGbk75spxvfYmmJMLInWqVyMvZC4pe9es
iDaQfXoap0zdjqxK/VXiNjk4f8O6Fmnh3EIQx6uofCN9mPoeK5jbm+eEqMJclhDvWCoN9BhXpBos
NuhilzL933CA/XJHw9so0d7lOsbEoZcLZVbz3+MXit0Ylf4JEWm1n3Nhr0vCgDuSqgq8KermK2nR
MKMhZTnlJqeiyI2Lbci5ytkf8JZTZL74UHEO4iD0XY7JfKu7miwzFav5QdiZ4BrnMDlbqZE/ED6+
0m1JAbAJSsGW/xmA8/d7l3TYFyE4rlolsDwy5m1dH/zRNi8Iakc8t0EB5C8rfe3xaCUUjZsLRc9R
pgIct4pnTmt5OdCUcHVz7nQ/DxBQ3S7gyOfxPqyh/L/2Xme/qsYstsQCiW8tRxWx6tk0s4kIAhqG
GSuEr7nO/Xu3jdSLxQQ5BsOf5qc4cBC0YiQKl0SyWT0T5uimrYWzvedHGobXpqvn25ws7qGVvvsE
mzY8mLad3Tmku96gD7fmerKGotrkgZjqI4NyN+cPLfiTjDzAYTaHBRMaRPftnzC3Uxo8M4Fs3uiZ
fvQcz0vguEw2qUydmd7BnKr2MhjE47EoVzCosrL+5prKfybOLPis/Lu4PFe7pIW1LlweYumovO7S
kuVVd6wlyLi1scEIkTAqJQY3NjSGbHMK5CaLYWytagrbggxHmBbgg2u2o55O7MexJbl5GiI/NrfZ
yNDyFIqGBO4CxboNuJCfhtEHwJ6UJjwXXzA8sMisEt3MGDWwIQ6e6lnZr35iile+1Nl4stzWOZdW
Mi0G3yznkZ77z7oG9nyeKAk1i3elYSU5hZ5Dey9sObLWU32eZWF8Bvhg/yd7Z7IdOXKl6XfpdSMP
DDMWvfF54swgGdzgMMgg5tkMgOHp+4NXdp9UdrWqtNdGR1JE0Ekn3Ozef5w2kTH7JIaZjFHb0ar6
dE2qSj/spOkpfJYVH9cTnqbotSBv4qXTBIde5kR6wdGVY3ws6k4R7dEav02RRad8KTFemdwqRw3V
6MJZJdmbPTpmwpZgyFd+282NI+asWM+lLY8uh/kh6gvrPDsx9k03kpeyJjB47UY1yB0/+ha0LFTr
yXOm2wYoKSEYJgYHRl+nUQOGrfssTatFyPiXzfU/MXD8PWKDkjQrXNIKbJtNVZAO9I88eWUpqYrU
kdtImMWxlvEvWo6fWtG82WH5ZLkVF6ufhDDi6XufDfPDP3/9v3solpcnXCNwmO6geP+enJJHvVXm
RD3TMgJZa8xNdeHNL87//FWuG+1fN97lZbDlsXGavM7/09ml+3mgTcFRJJcs1CRRT0RyGrYRHJxk
hvXPh4amXyuski9Kzo3FxNRi6BBDMb6JSbtHmtfUhbpb+ZinfnizvGVrzzGtW1T1+s2ylvb03ANs
V9yL8t428Z7trj/Ev/GY/8pCSrgsIMH/H485f3QVxtX8469wzBJJy7/60zsa/EF4EgZ5vKE8BdCQ
/0eq4jt/cBO5aJwx8LgAMjygf3pHRfCHg6mJZ3KRNS0b+v+FY4T4A8sohif+xOG/EJ/+L4hV/g7H
kKccEJaFRoXJBOHy8ud/zQHDLtj4MqSwo3cP0PV3XkRvYlDtBjYYI5IPQ51/t2hB/4vPfvD39Aci
XwJBYrMITA/pABlG//jKccLJ5M2F2npR2P2OHN8kgMrhEh7dQXAho0eG0MD9hABmubOn6/WNvX3G
g90337ijuN5zTC0egajc+nWgEb5dR4E21YtEJKYweGX2Orgn3BbQUplDsrPdyFpTLcNc4Q3+yYil
t2O7ZeyolgkEYS/eP4aSkWiDjceYki3ziiJgKQttsZbLLOO31aNephvJVeMZlgmOSou0M3XZo30d
h6ZpsG/FdUaKRX7r9ziTkI0yQ9lBtij9eT2m5n4/2V75oF2qDpvsAtfe3+QNbwU6fTGvo8lkTEuv
I9u4TG/lMsfZy0Qnr8Ndr0R8x6HQXXBN0HaU4r2xENwyEC6zobVMiRTLxC/pMjl67jAhb8ZPHhf1
XowWYWB162yiZdyU18kz7xxjhy2LedQmq/VuNHr5HU0W8yoJnMyucSbDL9mMCIb0SNhz3IXmD/KH
mHhja5l+aTVLHvu6BWCqHJ1zi0NvUaue60XLHBDlYZvjGb1chQWe8do2XO92SkvnziS4JtlayyCO
OtvnjGM4T6/adtSK91M8xmpN4jLGEWq55MnzS6b7Zhn0a0dNl2EZ/pNlDciWhYAgmPkMNtD8aKuA
faFteiPe+MsaYcFabSywKJq5r3sGwUBhfR9bQDuMt3kJVKQVq/BQteXa6Ul6YpBVzoHrhHkPz/D8
Qgu3mXdIbGKJEUgLOZHpEug7/t7YUhFSid+u4bvmNobB3g6uDO8Tb+xJNhkw361VhzfBpTz+qPrB
8VZBVeMMjgezzle9adl7B5MvYVtx4764GmxwO2d0r268Aa12RPNTsPK6PmMJ8Bt9jEqG/VVcu80N
ynz5jk6aBylvzbfYrJPfkfSbT96Z9LHPq/CODDaEkK0u6BNKHZW8sTiAw1AcE++srLJZHU1BaYKl
eJXZSjCfRXmIIhdR8vvYOP3JQ+M8rSPUH2iThyxBI2sLvbXSydplfaGfrHq2HyvkOvh+hSVxHcEN
lauFB/xsS99DbxGPzcMQifC9D6hbh1Mugq0TdPUNyo1cbIIw9l4GKQDIFMa2LdP69FHWsv9BdwF0
l1V13kebZi0Z7D5EihCd5669ImPQbEUrfht9Kp4S2ZQvg5tFD95k+2+VQnSwSiDWDa5Z23yOmf3U
yhEIyLeqcsun2gMeZe7xcIAQEIuZAvsqcmPgBXtHPo5k6egKQ2xIiiL9OvG8GYc78TyCni/iGeJZ
IF8OzING+jOwKJKxhT6mhQWOzeI8I3IQK4hJTpHcLzER0Ndi3OlG9yU7aJC/ZNoASTXNOqO0r/Lr
T9Mk62XjwdwcoMzRgJAD5OtjgTCJNl1IVxZ9NtpVkwXZvVEWyb0lfVeh+nb9fE2WzviQomx64Vfq
rjDDAMZ5QeNtIxqwnmJ45I3TOAA4tls+LIla27mBhEdpMrVvdg+4jxXa1D+Jq/HeOcz5jRJ7aKCP
8UXlrp2gNEg7pdAD3QRqlwaItgRX5kMuWUwmvlOjoRg59hAs8h2G8PdDxbEwREiP8L/Nw+0ovfGl
oNEMipI0eSI5h9Bq2FJC62cqe6bcWLluszXJZ3Q2ozYzLAuWujfcoPkR6Ils1j4afKxkY+W8jeXc
fFFU1hUbjL0c6akZGoj8rS6e101BUswqDkDLjyIyLH/FdJrfwgiayT1GvzHZkv5gn+rBi5N9X9gy
PGlDIenTSvDp6uqSwh6nzYyPMeqmaK3jqOu3lVVFu77qG6QmPcp9h1ITqt4oAqtXkV0ZDpKdrBs2
bZ1PVI/VRglMPpo4RiOK5tCGuYQJBmLZpaYuUJeub0r+STCf2EIagueC6IYnqXv3B0OQvt75wFFd
eaLIIj/PmclBbMJVHrxEc4PmldKvZSA49OIgHW8dmQe0x+ec1HOVY1vTrC4tCaiO/1VXnvc05RYe
dWRK5Qqze97wkfO7b62G5KGDcSAXucqws5jheBuUo6BCuCFJPK7L1wqG/BTnQZ2uwWRKeumLGHV8
RU6YVZlrw1f92eejt7X5zj9IS77F50lXNvsQMlMGqV9x5Ba3TqT6cQu4Uy9WuSU51mpc3zxEaGRZ
r1QQfYBYwOkr2n30pQaaE9gRhuTVtLGxbEr2cKxe0wRm3wh+Ntq+9Bu2Gu+Z47e5R83k7Vkh9c+a
+/niWfGEiqqwip+lwiW1Ev3seyi/l716yHw0cJYSLd0u5LDzMaTu931Urrx3fGO4jabIujf93v0N
y41ThMC1Hy4fpM8QVwAktOmlyIyKveWkmnauWkYwI4RAfM3pAJvhtr1Pm1BoYLXgl2Y9pBg3nupa
qKMyrby4tMPg/3RVknzPOY4k9Oct0IMo8oA3LkvINcWiwcJ9pCBpaNc17bBvWjTeB7dL+gAanEwc
W00plpD4bi42tWwMgJkW99EdfpW6XTsDHNGR5lICRw27c5AhK5gHu+j5ENDmhVEHdawVRrf1UL8O
ZYfns4PnxhRTEznY62THYNDO4I+GP5x14nhP3mzjmm61W+DwgP3ZkY9nEGDGOwEmorutaowlhc0K
PltL2ueKxG53RQwSa2mEUOnQEiJ5UY742XpR+wNDhvMryPFcHCiMrGHgrD5FfmUxJKwcuLpvokUz
NDnKB0LFFBFAJ3gx0tfBhgLHHB/RXkTLL59OWyHwG8kW5KEZSiW2ZoC5exWoyajPanCc11G2PFGl
qCoGocLh0je59rrCBDQMEA/lKy548d3lEfXAIi/it7SjhAzhmjPdeWlKcoqpy2GbpDpGA0L0ln3J
p1KfEKsZvyKYomCVIt0DWekCc022q3y32wHyrlCp8R4bXu2t7V5nH0TVcQqEVslyLmhCeqrwtDmH
eGiYTVjsiSCjl4/LGE9/f0TbaKNojiPkB3mW6fhG26b9aFYFkYQFimqo/Llou7VCeXWUnuV/lUDY
6wmfUhDmxaZrSR62pfB2Ljm0r+NECr1rkAi+ontTgAP1yAtN3a2taGJZxSmGQFIK41ND6v003TWC
cXBXx0AIiKudnt+g3DmpoaldRVmkQAzXUxNbdyoLYo4HN9mUNh5jhJ84VqfqEIcuiUo6C5yHrKHA
dSwrTNN9BxoWRg5X7oC5P3JxXfgqmPF8lZ/hbIlXnkT7e0yhzcjBpNGiq/3w3lddd8kSbIx8xcJ/
nAUV4VtThsmToUV5g7KN948PxcuE8geozbbpEw76TL9GDpRXj8OdsPkZGgL6Ne4FCFGjvkOmwU8n
GSpQRWrWS8RDEZ2BJdvNtw2YQ2iXkSTPTqNrrlj0+zcjHOeKIAlsOGRT4JzMUc4nG6H0+J0a/rRp
5rZ8GmcOFcoVo0ZtjBLTLY1mccJQKeVkHZRD/8xG55M+OTyIDL0AYjhcuWlx8CH7dB1tJ1xjVVvc
lkzzIKGIssyji4x0GwsvfWry1nisNWTC7NtkuJT+HID+E1kxkoGwBkK1kf606P1o3/OMU15EA/e9
TsuRh9gLiQUYZqC+SDMJclEW7SbuADA3tWgLtDezl6CLRIvdbwxH89b6Tv1DyLLcNTRreluVN+YZ
khyKRPaLoCdGbPiKgC7sSZNXye8cYJBMCj9iKqqMkhFR0KIiyYWx6hdT2cXziIf9yyrj+oAwCXxS
pXxGKzbjGp1ml5GGVsfmjjXWvYMqwdhGvzO0pRWb4hzGA+MhHIDueJeDAH5kjBwOB0cg8Hbqun3o
gjHDPkWIurvq0pkBm8jMeN07nXlv+ciRSXnu5LDTnWM++xUqr9EofiNYnnxgvwA3cif8iIS90sji
gwsHe/JwA93WaFHxdcsxxCRUBuYJFS4PXMQn/ygzt7vv7biBuckdRDmOy5o3TA1iffwzxzGI3YZI
6OzL83ECr+gbE2e2ZPcBvgEVLTEnI3WepWXNt1OS/0hmLB+S5Wtb2+O+6h1M17UhN5aIrdVoeXc9
H4A7CJJgSzJQQ2MOMHftM350sCJkwfiSBghiQFZYGIiLVgURitAXu9zu0n3ViuphdGSJ0b2rN1Iw
NSLr0l3Ey2inuNRkxG4N8NEVijeGiynz7kD8+l1VFwfFxUYkw0hKXj7e0zlgvphVSc0oMSXhpuz6
V1IS1Fqmlvc44PNBaJHhvK2mO4QHE/EyrvIO9ESERxri0d2NjRXjJDXCpYe9Tc+Au8gPuzQg7aYr
qtsE3cNpxjjrrOsoxIzJ4f076P19S0Led6OT/D4eBrmSA9a1GsL05CeW/QbFFH8FXKBrnzdIdUXN
X3GU2a6alFLXLV8xN+5nz/b99WQ3ExNv0jfPZSfNg9VGQbMaQy2eF1/HmbofaObQgCnwkuFH47f5
e6TMGc+LqUlnUn7Vv9s5axADQDpYuyrCtr3vsnwMOEmtaSNTJ0Ywi2LryxCyu2iRMFkOScgFlk0C
rFc0Oh93BQThKs+C8CHEekV+ZdCqnXJHJJGkbiEsUamoiWEVTAqUwnBnNgEtGCu7CTiogtEe8w0z
Un8iJIBjR/Kt/ZQeFoXNpPCHUghv8FAMRIW4ZHawJhBebld4HOveydeNr2y1IobLe5f+KH439L9R
x2oRdrkJ+iA8hsTdh9Svjj0OPLRx3MHUz/wOYqrwUpCccz/2461GhuKvTTNhMFUiw71XOpJ2lLhN
H4AF6oNUtv0IqYSaNA6gATZR4I0b9HzUWDYN8oVVeiVgUhhqyJgrMYMg37yoha0prsSNvJI4tTHJ
T9J7oHb+jY/+tyL2oEGAJv8JPvq7+yj+Bo5e/8mf4Kj/B+of9GACIivwfAH++GewnvMH5zEeOhLy
6PKx/+LkE9Yfvsn2Qvoo1hHEHCT89rWSyf/6H8EfFoAq4Kiw+FrEq/5LWjXL+1sIOGo1ZOsknlsg
sWB9f++8CBXehTynUx13LkDlQpiomsSbNZ4Ddaky8Cts1NYZyro+mAvfUpddXqwDpDTYg+FjnCs1
Uy0sjddwMfCgV/WxuNI4YZAHPvFclAWQfxHcmVfaZ/C8Mb10blt/OrOrzv2VIlJXukjVqRqwjUTQ
SA7u+3wrOQnxaKdNRrgPG9wmKYv4i9wzt8SVHHjQUnbWjfTJL4JxPUxTdR4XFgvvB4RWtXBb7mxG
57lvO0UAGtxXu7Bg0cKH9TQH3hEnRm7UsEB8XmXGp4EMVMqW86SnzLhQ4claCLYeBQrdEYZJkM7g
VM5wQluRmNvxysp5C0FnVixRu/zK27VXDi+PFz5vdE2/2jh5MkV3id+jGXGTGf6PyEC4wP7KC6IS
9ns6ORe+0MIwUxDnu/CIbCRwimRcAfukC9XYjjgwcB2kRImkurvUV1ayRpkLa/IfbOVCXI5XDjO6
8plMW4XE8S65kcaQUDPM2U3+mUNZN0d95Ub1lSd1FsrUZOa8yxcald+M88wqMRzg7/Qtq3x4b12Z
1zTMumnbL4SshTKF7u6snKK9Fy81RKhdYjawbnoxF0oXlM775Fiz0626cr6spNCb6M9gYMfMox19
IYjbhSpmMIA1Hq8McoDPVKGQ9tszhi0o5qRsJRBLixGgYUIfj860iBujMmZxux6c7vUQVct5mi0n
q7ucsf31uB2Wk5ebhUO4TRbsOEd1d0seWMIUxXkdK+H9dq6HODHLTEhgNBzufTSHR4j8TG/a6/FP
fJfg73EntNfrofRMO1+Pc1jCxV+vkPF6nejr1aKv14y6XjkwY/5PNEBcRCxy/akP5omqputV1V6v
LbPp1Ld3vcy4kSoica+XXNnk44DEmbsvul6DyMqih3K5G63rNQnkxpU5Xq9POA6u0tjiVm0LL/9S
16sWEAvzW+SqbgOCCCaCmCUJ8hWfaAqZwxRxH9sHWTBDUVqsOoyH2UuDWL7w1bStVDeiHSUiGZWX
BWygfHx6mnjNg9mb2UtljebeqfS89Qmrv8RhX7Ayc/G3kxW1kHejj083rKR4oMyjfulGgl8GpOTC
HUa1Dm2SWvC/lNVTnGRbWfR62GcRmMWx7HhS2jxzUTkGKFIImzZHXoCwuhWFg2nzy+7L+WINxCat
YRhKdTKsKNcvrhO0JA9oPdBZaCPfyXeDMouOtW/IwB/Rv1EaZ7TJ46gq71dejLjTGMzb5DiS2DHf
pXkh9FrwkVG70G3Is2JqnVj7yFuzg6NHztCMxICp8sYwjOxFaqo/Vq0tXSaUiV2BwIfEUj5ZFppj
ftEDgMaTbok2zGjbjxoWveqDbMsesZnALFaA4jaLsyJbw3X5aVf/023CRaCgCJYrp+a+twa5F02T
/5v8/O/l5xJ9/U/Jz5uPr0R//Kfpuf/xT/8UpFt/BBjhud25RznK/5EBFTaic0K9IUatv7j1vT+u
48BSO0oE7DUc/s873hII0j04dQ/lgBvQ+/uvEKDIvvmZ/kGSTn6ih3GFqC7PJ03y711IKWrDac7n
frfkdToE+oP8kreZ3PHcmi+JK8Vr0MYBOSeYRi4poJ84kS8pj8GYEmLkWOldBwAOFDVq58tN8/B5
rijp3kd1bHkXtgGVvMRxHemVYdTBC2556IvGsjaTgfSqN4vHllX/B5npLtYMNdw1lfkCBDMZbK3j
c+o25XM8V9WXclGmdWaZHSzORViYOTl2canuy3yiMIAhiiDGvpC0ObWJMYN5a4lFSvccbhJMNjAF
zj6wKP0QqggjOe3zRc1F3T5Wk1fOj0PY44rykrl8asyAPSBLu+GpFHXJUuWMkDEh6BiXk2PRUmTF
xQCMPETNl2EECtNMW0H72SUHxUVNVRieUGj7PkyhY3UPWufNl4N3Nt1TS5kPL4aIw68aMf2vWZCa
d7C6sCVj0+fCiLOR2pM0DEHxDfy55R2NR9V4mg13+JaRL2s237J9L8Bpn2vPKokRi4IHy0GINWYZ
xjvbNk4N2dnmvi4C75cmz2o42h5lnivs2m2MFhD12yqZGhJdh67eiSzGWssNAjLIufLs9HX6UxVO
/IXWvPuczN6/Lf1U+9s+aNGsYFmih6lsxrMPw7XHYERWHA4nBOQDOcBriZJmVfTtEK7atJkP7qKq
jYWMLzZZDvk7OmfvEVORwbFtViYWei4cAtNIyZlhuFYNYkRSV2z0mo0quxUJkskGGA9blpNb1h7B
KvR1k8UXypg+VcnTMlWUdWxwWcOTpnH2FPSY9YgdBjAq+LmB0b11RhcTOmNnqj/MxffWYyX8josy
eCXVlodcmKTzvCcNeDiU3LDmgvtli9qEvxqMQza58QZPdLo3s1kmG1mGSOll+djYWQpH3CUX19Xu
A06S8GfXFelNDEbnbQs9J/tW+gHbnQXzmZtG8cYIpBR2U5fwSi+NEbv6Drnp8PRVkl+TnQGrkiJr
Tn1lG3s/mKHRNDrVyxgNKYrd6pF8MnOb1sJp904mrRVL7zOe5+Fn5/gE3DSgGGsy/NxkPQxkbOyC
OgrsgxmV84cLO5S8YgBP0nU6JSThgEhnUO+MTuPR9LFGrUY1kzFdl2ZaHYUVkJfXhEPy1o/p1IIW
x5JoA5gN5KZ0NpCCnKMGW+NWtdEqolps18zP4q4nismHUOu8n9jaSRdkuPMNpNKlcl4dmxS1W4So
SbdL3TRRu2nRTWwc0rj1OveAg3ejnjQ1VhO/aKSbFcEJK9uKq+nWaf1Y3RAzScoicmSzfEJZ6lSP
STBiD9Y+kQivkqcrwCRW5NMuolYJAH8EHUCuF2K7R/HGhp2k8tnMCveISiVun/K+pkQcR2aY/R4H
3VwGEvb4YHPPV8TFiuKl4xu11qQO5L+LUYYdCxLultWCN5K84PqLMBrzBgaBwGBWr5SIhk05F99d
mLVrgorGeBtlTd4feTKBR5sUKk6EnfMAmlvdVpXrfnnGVFkHqhlCascct/tlh0VnoCeGggSTYexH
+ZBySEzWj8pzxA9yQYDGzFw4uyJ3QOPMhvrjJCC6yXcB4tezCF1rE7mEcBMjgspuxQGJtVRlivJj
fsRyI+g/Q6Gc2DCqBb0N3SqruvHnMFTBzQBv/lr7iHhZWUYNlWVhrO9sxBEgDRPCdotag6kPx4Mn
5HgzhG14j72SfTHIiJvIDG96cCeSgR0yGx7LocKzOKLRiNc53YRI1C382k0xiaNodXqWVNQQ5Ny1
z0Sg2q8lNOlOdADLeCM9gNARoLTkiiy3k2GS7RgPBXIKi1rJODXiGbQEA4CpVXhpaonDAMYA/qGm
sCdxqubOkLX6gD+b3lGHOC99IvKjR0jVDrFo9MhtmQb7Vvj9c41T6FcLKPWFwmN8Hrty3CF2fQo5
lshERHNP3sNQP2WQIaQnIDA5taSHm3uW+PhATqi9KWFx9wPxVugOHTnYa5cpM9kFxTB3q77wftI1
wa9VwaGec9oJv6l/UqsqrR0SC0PzkElZvvt+iYKjZl0fIYfpVCuGgu5t8rIOZTnUhMmir3FJ6q4p
mZUi22nBD4ywBWwKf/FFRZmdrPEviOai8UzROdHNSGaLcRH6T+UiWRkw1zSOGs55nuCqrH0Sflba
lCneAcN5GJS2qa3Mw7uqozcXtDr45GruLoTG9j9xRIOMjtPUnAh9iVGOktyJ0IKDyrWn7rFMiZwH
VxzCO74X+U5upPmSix6kGCvH/Gj5zNepq2nljTyf5OnsN6aaAu/9TAhHVKbylt9e9dNc2q8mV5J4
20kXM5FDMGDdfCETme8TaJhbJpcJUXpVwgwCUrShkSbHqnZI9RKq2+Z49/m8+ZO9EaRXPJjNsiGV
KtQPQqGEfCIK1zhZTt29W6LiAYsdtdR01i1+DdLMhhH2tZe/0Nc66Dea4WEiC9M+ukmVv9VYteI7
ZOAwBGbmVL/qsZefEck1ABWog41Tj9AezgcEONsN8eA/hY6GaLPdwj81ARKrFdoA/lMnrhGs+Woc
Zqbh+wOAdUqsp9Xyh1gi3AcnIzTOHelaRKhhixeEPZXcSphzfEp4pUkVjKGDG3dK93oe5bdLLUq7
ygf+t2kn6tsd5XAkFba5oET3Ty4700Ne1xQh9r5uk42LKvdHQWjlPmnL/pwmkbk3vYjcz45czBX7
WgEVRaweOUM9lw0Q+dCv/XzgOxwS/nCJOQwPXVb2MKLanj/asMpw4E22/ki1EX1KukCRnPQDQa1x
4JA8YtEdld8LgtfP/OJZ5y3+ebVuS7LUV8Ag1R19f/Mjg2myIdbEIr0hDWLEQqpA3MDXjPcU1tfv
IdkafN7satyxbaeCUNSBzBWCRn5W9WIKAx+pPtBbuWcniqIPW6keT12nOgY8IzrHWLzcVSOgLHy+
pW3MmanXGZ6EVxnE7eds1q1e2bXv3qaJO+ANBhx7TGo9LQKG6rkOSZpedV0NHRKkQ0qSftofK5oe
7C3JRvU9p77edJ0fYsbUCe5H04ziH5EolnNn5JjsrZB0wBJRPXQkQ9NG11lVru1Jt+9BmnHVBEY4
33Vl6zr0DUzqQ8ra3fpJ1tfrss3zOzu1OmflkzOF90GjAoZI96cb2QkWyR7c/Uc8y/A5bJs8oAQn
RF2oExPH10Qy0uRPDm4Cd0ie8kmhpXeQDm05YAIkcAbXx6KMQfjBzUxUkXZPSVGjKk9LGRzserGa
5LAYehXznh3MlP4DV0qHnh/R+Q/pnBk+uq/RevK4dTaNF6uXZJbpk60tDA6YhvJVglrgoUDHN+zM
cHZ7RhLD1Ez2g0ce0RB7T4MXprhVZiJmSITXd0sZ5CeQj/3YNhzUNJjWNHOkqOy27uAaX5x4eKYK
OossSmB/Q9k0OP8S9wdwTi0woBjeo6lGj9xNhBDrMLHTNRUhBJ6MGjFM4tX+z9wf5vvS7IxfNfHM
T6ZOuvRs9bJcLOP+N5FtaXMhSL2OyK5yyy8bJOplHid9KOZiOPuQYOnGQWdP3ak/ZNWOoketKfnm
FDq0bekdSLMwfngxavht0Tf93pSuPJcEMZKqkJoovNzG3gqtOrWurKI4mdRfJ2uHcKzXOQCrrZOs
0fxdDGEgoilFfaJusPPmxJMZcdphmIuJ+4p78yhK9TaZEm4urtMNGV6Kb8Rq36PaXJYprzlNCYhG
2jWcPE7sPKSAPfjdaIZapZrIMpPDC9YxebFyEaycDmqRpxBEqg+/a9859J7dHSfyZbZtIIudYyTT
PsC/so+Qa/6OkHTd4V/h/MNYma26ie2QeP99XZK2DmnsOBtrwowUh3V9T7JRcmyzhp4zZOEH0ZOV
2sa++hxz2TxQ6h4FIHOMRvCT9TOkSbzzoLUOJGvE74wzPZxv8phWHM1YYZmmZx9ODQSJTI86Ojcu
MfxNSNfaFKv+gmyCm5omic2Yjp9sD/IoiOYn+4W6ge1QjfIrb0GcttlYBMciS4L3rIV13FTU5Z4o
sCAZzdDduUPwwbCYZ6eQHoCPOWi/5sZgtiK0fLlO2caapCLJX3cdcitr3rMCxbshSdhqUxQNNwQT
VNvEd+11i8sRfwjoGYFK3oMsTR2sWyIyzl6by4vZJGC2RtPS1ep25p07u/GaZH/vYtfRM4/9g+fE
52FSxEyNDoKeHBDbLWZEHeieeoELkl8nQoc8JkunnbPkJjFkla8zrYoX1ENIjmIvJAS5BAQPq/aH
h3HrI23y6d6bLYwypiezGz3jf/QsEkNqqkLtPf5aciJNqK6fnmXe5U2P7Qk4dB/18qAEtV+Itojv
NsksemfqjNbkx7pvva6HX83c35RJgX+oyMpNi1eCll780r/Q55i/YsaNNUqWekflRHDDoDefB+Q0
C3arnsqE17aD1kXya6ldS05LyyNKHmc5l9ZtTSj/s/SZzQG4iWVWhSF/Qme6JymsYVuVFJhIbfe/
ggptaBH609nF+vyEU69gz5HmbqSX49B5nkOVovBeg6oN8xXh8vGwGagTNrdMI/cFT2O7Lem4IihK
iXLb4h/HCZSrCu2s5ZNBP4o2WROsRaS8NOzmHQ2BKDeJoYZvv0C/+kyDfTCthVVVbCbSIjGF2+Sr
swzaCvKinA70iFfvU9wBTyjbQpjqG1kT35dZY75E6VAzfuflPQSm9W4lhndnZYX4IuyjRuXiFCWg
Ob+Ho2K72ZF1xCJBZkn6krfT6KJppMLmCbKxovEyboNtE0OkUxDfzm9D0rikfbfDcaLggX1hsqt7
JEKWd1gAko/YNcR2yGfgT2eYPIRzjuQOk5U0ngRlzis5UhTM/dI8JYUvPywstiujF+XBctP3LquT
s02qHbY8RaG0OYKzsNcVKFCj2n1ufS0hImbbuolJRekhWrus21q9Nft7CSVFx+VkkFAdLMKaFzLC
LHPfcGviC4+KZWSML4Ss7dKxy3gjZEjvGClLM/Yfkgq+G3NStwGBN6/mVPrQLdqmHDOXfvaWVml3
AsGpQGyzFgWOhb/uZPiZXT6PS4IfePZASwRRbT1lcRMRSXOiy206GuNag0rspe3/DMu2DLct69ve
BpzzOZFSk/IN4c43LJ3dO6lqc70bR2jrPCaJmdXMeG6CKLgY3tyvGSGJ2VNEUfGRS7tbjnzPObeq
zO5EZDufRaaCV5AZFEfcR0zSjbuv8qK5dcOGaqwuJiEBR7F9mVoldiJMiq/MaIzo0NJ8QFJn0iHy
FjNKnBVe885l4gMwgEG36N3wmpH+D6TL402Wg7SzFqoYPKJAakdILE3YG851Na4aQv5d9F2ILgin
Xox9KSF1jMNZgvwzMktpH3o2MQo+fR0U+8EfTOpFXemvna5Rb3bULqMyuWPcOcR1PefAgS7+gELd
Vawv/L8lqcvrpOTBXHFP596phbH/iEnqW3UqibFKII9hwuGK0j5ymRV80XQaw2ZB90Xz6pUieJuJ
yJ3Q9CfGfR0UtkYHgyxqPaJMw7JNRsEuLVR3ZBIvcAE2MJ2RVj3rHY1J7brJZIN6LAnid6fVzb7y
lEeSVhU4LF1lYOwkulJKngL30wP/wHNtFfnZc4qc1AxmnresN+g5EhiXz1nr2fclJa+H4n+zdx5L
kiNbkv2V+QGUGAwwkM0snLtHuAfJoLmBBEvAwDn7+jnwrnnz+olMS/emZRazLKnKrMwID7NrV1WP
ZrgB+ARbKQF3iiiGwMLPFtW8PciThpDIcH7nt2a8uF2aKuOHJKM/odz2UHOqfSAzo8d50AZZeYz9
Oui2XWbG+6R3aUSHQTq+o7hCR8Lj1Lx0ExaytYMplL+1u9hBZdLOGGIhedarHvvfR5dG5hPsNzxN
dus5zAm0g94AOsTeg4wbf0gUTPYWGtzIbgpNiGVZT4Lm5Lvd/BrnHY8uPp6gmZJwdJW5ssWInRCj
8z7LpXNiIeLqXe5ZORENkX4TQZBnLEwIpWmyOC7w+tfOne7C9gXIZ/xaDaKH2jUFuOqH2cNImBgu
zkKs/SbWPD4qp3YKYBFAdK/QSvvQf8p0zWt+BPwBC82MP4NpWNLkMB3lLeeEpqVYAAcFgqgy8+iN
VZ3vQ8/vrZsh6ztKlOPR/arRy55TR0Y8xujEBG8kWenByXMnwF0Ou0feAkayTboa7yJGICv8GOGn
g1mtl14NP/Yu9CBgaXc5Pzmw47BKV5TiUrOd5FhgNipv8YakucnCho6RSmx63ZeXGKoaGBasce8O
bcOb2a26d36SanlbC9HtwzJsuttSSBzvg+Fa/sawmvA7wN0e7UbZxQx7QY4pnGuJc2XMxzR7jq3e
Ps1+McsVrbSVsx64Ju2V4fjD3nbIBxiywYXYl2K6BbKFqMsr0gjX6LkV/rq0SOOtjDRVshQ8lHui
DzkuPELeG6K9EfE/2GNnOoeDYV238bytRIzSPCBdcaAKv4WOwNnZr7DP7wzM4d3tNKi8Wi8dF6Tv
p5I9mq4Fy6TGdTgH5sj3Ls1MZwmqe5LxBMNivwniGJOCR/2Gsy+88BoWDVkWTQV/4NAYm+DcEHQI
aFE1//SJ4T3WnmuyeYzx/NtG0Y4bQaFBwo9xSv+bkZZ1vm04NsOV01bGQ8hTw3uRep6o1ulh4Xtx
W3G5mD3h9Saw9R8bpfN3ykCmtlA79GM6evCMGVwrKF+ufkxIyRygF0X9LkpG96XE53QzT334EmcR
kzR+1/g+rdK30rCCbaFdNznGXCLbYCmBCau2DzbdGOQfCDrGd6HL6SmmCsiAm4oVfEVqpp1uUq7C
ejV6aXbhDTl6B0wE7LJB3HwxzNWfIvay51mMNfw8wkwY54zoZJiITWtAC/yN2qCzVpbj4FSLUvvH
NKphx9bC2o0sFG5Y6djr2FLdfSMmuZg3C8tcze4wHyw+uI9tNZSPdE3wExAnpt5EMpS/qArnzG5x
Hz0lBOLGm6jqyt3MfiXczYPbR+vMaNhEmWXjzLvAJvFy8Pj4Ekkqeou9JS0A8YVlQzLt5tns59uS
QJ9zaEZlIc9ErUepdyLNYztFv4AkgwIczekD+OvWMmAo03eCmbma0+ELQQbjuF/JN2ayUXG3xZHz
i9IZlhZE6MlM1E74VEvTe2IWJTch/AhmnkCKMhjbqurVcUXxx5dMzigv7AHWXiOyH0mVcbLGcZJu
cmdk2Y9rATibHK2VnXHQM1HWTvb/zVf/OX3WMcGMQ0r4jwxYTz/pRx5+5P/iwfrHr/xbojX/sqgh
tXzb4feTYiFn/e3Dcv+SFiVzHqtdYSrnnzRa0/8LTykWKfypC+3cg3P+t0Zrqr/gcfhLKx8uLqH+
az4sfsd/lWiVslBoOYlsHxCd/JeYqk6gLFvxELKeaB+5r/QhwyFN9AE3gW9kw0/sES/iqPYxnGY8
/JFDeT461gGMgbXz2RqJbU9omjvUHNQDG1dA6nOQH1sSPUCwkvHiXgtQUGaOeHvgtXqB4nkRFDu8
vjEKAufKZ4MrsjnHwjYhhi/4T9xj0Utb5s25KmooRBxRmqoXyNA37jizNRgGgoGgmIgxxDF2UkBE
mPE7m0esyocvsiM1+XvvBt5J/4aO2a9VUUp+qLBv0+09sT+oHU/vKray5D9ruz5CbIqf88yFWM07
m5o2mY5+vTJsz8jXuR9md8lo2wWuW25wnlC+OneBp/P9KFz1nNeif/cRdyeyF7o9ln4cPLHfZl0s
RZIwNlROdJmSms1GZ4zMFBRG6rsWPMFLTfEX13mtMXWj7qx6RBBzMvsDidzhqxBZ9tsgQ0L5bNo0
d20yGtFmgDFJctBUL4EYrNvWYnyPEle8GUWO0oqjtj9OVT+QBQzpg7NCfLjT0vEZOuPyB0+tXZnw
Z+8ieFmFVx+KTha3XINUpPFtzj+djvdXEwmCT6A8JH9Iz3exELFgSURs3snMJxIKeXEi6BqDjvUM
q8WI7ui9BA7C2sWsj3YUeBuIs6cCx/VWdpJNDGGwx27UBiassDdXlGPDgTHIEq51Nw8fYVTFpwGX
z5kPVEfxCKk6Y+8w623DlGo3llWbfmzIuAmzB3hZOwfXyPQLjtV2M49GdWMawFEMg7q6jAnrzvW9
kK1PQa9JO1h3kZ9QQuLhKiffJ274jlLWazQVPfKJ+F3N83yK7DC4LyAqn6eYD2pdDO5nm+TjDlWn
OSYFNTMMc08VouTg18U6iLvongQiTmQYtc/UG9F92Hn2hyaYcKNFba/x1Bc7qt0xE+DNFoJWETIt
i1SAnlj1L43fdzRadW0OVchX+lc2Dgd2Vvcl8NUuUien3IXuPCzQKFSN0ctW3HLdgUmuLNeAR6jj
LptQP/Fz4J555TqPfqKc/CDaMT6lhFTfGtyfrK7iItlwq1LswX+k9aocLWpodb2kS3ltHHi1qIvg
yweGr23JPXu+PlLsww2VFY79khMpuagMudesK67VKWMdGbiD/iP6tNzVvIdbzOpB8ynSjAxSRyoB
h7+JhbjVHBShI/BN8jmZ7iNbRw9Qb5yNGweCit/ZC+9Lxj7QToDVHkfPI+k1TBACwSv276WOy4vW
9nCaUGsvvA80uXaLpWlEEn3DYsZ8pAvWPaBoE98hFNA/eYuM2WUuG1sWpZ9+qrOnqZUFfY9ObH/y
+dZ/IqenOMdTZuWRVpfRhxmkNlg3kjk0RkSuexfbVb6dRCYxeceZVe2SIq72A1NTvoLIHu0p5c3v
Igi3T30mQ1IJSv4i5GPd0m3H8oIvinMfaXY0G+lUBKXA/dr7TnTh3TzE5kNfhw4dL7q9baMy+4r5
CPNdDSz5gg+7vU2TxoLmMVM3ZIGIMgGEoeVmMyNqPdHrBylQ3DhBaR6gKIU3imreW0LC6NmeUrhL
asM0n1hVM5G5Tmps+fl1L27SZg9eHYpHmxcLIrNJd8UJ4dp9xrcg6DjD1PE1QIReY4lEfBElGjMG
Wt5x3ileEmlMqQXmSH/sa/oGi2RPwKVqton2opPFdE5XRn4RiGkG6VoFIpbi3VXkt+Zh9MyM2EU7
rBU/uFuGHL3HgQMGfZjzXw1ZM1oyNWq39u/6WIdnUl/eV2L5+jyEQbIzSULDhWz7m9DJ5MFtlfhM
ZsoL+l6BeM0DDDqZcm+YLfkeyhC/kF8l4ApjCFdIPTfw0MnFFqobtm6WfZpNWmxT06Cnwc6dVyOq
WPB2r9hEyz0/+sSBiN1ElYw2Rpz035htfuKmdLdOY0xMsqZe9wVYx9SqTtrANaE6RXOtqe+kYfM2
DxzjgZSteyAzlB9DIziJsFbEnpxR4Dw0prepXJh9Aam9B3y4lgVmwSi3tS03QG+eSBiNO9qJPWpi
y7eU4fiYli27qlp/Lpy1FFFRuqDn/S7ZYKBh3Qojbty1ZMkfzd6Oz2NvlNC/yvZSS3njeup3N5YH
EurlKm9QRGBadetsGk2QPvLWtJmnVwX21plctg8hcvALti5uFwMaIPKzAoiDj2ZUS1olQqnAwG1n
+8qKT4T5ungdKFos2ExhUtuYXou2r4uhhCGZfmRTmp3o3OverbSkDplMqT7HU9vv88is8FRZRvVY
tWCx52rwULpsIMK4QTqUipA+Ownsa8Oiy1rNnWH9ZG3Y6y1XvEq2dtlGi9YS4mMeOt2vUQG4B7Rs
CpbyEhmcvoHY+coLCOeu0w4YLiO8ATmCtwuaApslNoKUrV9RYByfsIJzVE3xk9WIyloHfjuQUwyG
8SUIom+fj/v7rOBZDO2Z/Uy3S5oqJk0fVI/aYWddtCqzQEbCBs6txWsZ0wMHf29+N8IKhAH9GieK
SyAJs3yu1mJop7Xl1wME/kR9NtSw/EZKWcoj23G71N6vssygitcq6+fC7Un5YWNOYRQQjsKuVsZB
+MJmodxn86D+0FGXvrEELXd0bYDF9FJ4BAQ3wvow5JhLeXPXLJboKhF4n+z8njtg2Hdp0l88RUZa
MpC9aBasJ3Kr46mSXrixqkocy0yBiSipvIOWWMg1pHHvyOaI1y3Muy9ZKXGAndxsLDUj42W4+DaZ
SfNlRA9smzzDdYdvrOggVAPrLavesALYuIKwpYfXquOtzjZpqH8sGwcymEMeUrQwSgg8Kw7iTdZS
umrTfO3I6cGwKnLlBZJAUk7qoLOg+FCcZ+zYGClUk9V6i313V7Y0VMqZt25ce96DQwb0Ngx4fmZA
Rc85ID2WZYHclXS+QQmv15Bn5SXsuxsppz8m3cVEhbimsI4w7X93abMlR0CoVzJqXfyksHd5OIDW
B6WxN2b0q2bgViFb1D+1Qd0+T3aXrkc9YjQ3aXpZDNk4PBr2AvQPIi6xFRpQcJMAQvhkl/6OYoIx
WlvW+M4v6m9J48yfNe5tHD4i3tlRmCPLJNYrX2+elrbTIaeUpXZ3ZZTYWxUK40DdWXRyA9d9KHvu
8gD6Ls/jILmTeImo2J2DB2GaHrD1PLntQdLKVQRO/J6fUNw3sOHqW94h2UMeSvXDux6DfRvkd9Yo
zYvq2Kp1dap+/Cjwz07ns3saInTWuqpulHCI4IGR0O+GmbVnjk0ar4HsbZrK/Qq73j+4BD2oV4y7
S2ub3rttt+02x30GGZGLnrnIistzOVUZkz9RVDIgYdMg3ZYTp0fL2mUe813K0+mAacA5GsqdHtnT
UKSYELlgwxFscsPPT9aIM5tda343ZtEb2kxwL4IyeR+ER32xW2rCoNaeTF4CWi2udq52zC0WHIiI
kVlcajfmpivRGUvmpm0uOJw739F4BhL1KnjK8GX2sruq48BjfizeIpimLNjThD0+ncuqbuxbz2xL
dzWHXYccpsPoIZTQSbPO6baynMevgFaYtYMLlipMyf8ZsQyjCvf46NK8WLgIYm0fvnrLnkvi/idH
ixuvDo9zmOxhAJcIrukHyNb+nhsVag5Oq2IjVNewBTM2QkBk55mFYFEOX1oP3VPil9mJDMvEx7rH
w6lM8+SOXYrIkZBRy5LgMEQerfMsEssqjY9u+j30wv8OvdI6xiT5PEZYvChDWn9NRsR2CLoDvUI6
TXZyKAyMeLgICQ4Wu3zGmAYOw74DLgEcNkrqexzw+Rrdu/wUfGAuXWL2x1i2A/ne2F3x9GGcwGBz
aJFiKA4V0XoM9fQrCIigYP9PP+gumvmrwJ3O8jn64jEmj72qzU0cGPaq99vq2TDm4THpZ3ogqtwy
3wF/GL/phUayI+RwII+MrKb9lLD2PGY8elrPvK+9rEXthU7i4epa976f7LxyIrxBxZ2DrgEicF02
fL+U6ydvUz4OfLIGFoNQQYGqdme2Xoj7XCmFkmBEnGLda7xXDPx969/i4OX3L9v12Oe0WmgojO4g
ThAkxDZzs59qGA/AWJ68pSfYMXt9r7kSV6ARp0PjueEOGEV17K2iPbJ4Q1gUBeJvb9Zbn8jsi6Gk
TzynCL4MZiZ66LscOmKt/D3fHhsMZ++erTktb53Wzt5dL+iYjZQ6FoKRtrMMg1uQGAkwb6nFAXfE
WONuMjBj5jlHfKUzf48TU62ioaiomBgLbxfUsfcl/InizKBROJZpKf0Nt8FxVzRXJy8lI9KWWIF/
aYc5fatG9PApCjRarjV+OHQ7cHckuXmfdhPcfjufH0LD6E+JmscHoyHQuFJDgnxMOG0bJBQHz2wq
Hv3Mrz9CmsL3Tj2UbyX3G0d8Yx3dyc62TjIA32yloM+8hczS0XO2IRlSPOB6AO2BulX/iDnsn4zc
GdxV09vN2VGFs0UMxOyWoJ28wwSv9m4j/2gQPyc7igKYJZO27j0kiPWQWhrTJhzxWjRdtKGRsTuP
7ixPdSDljurE7K1TCZMrHvd7dF+H7HJaXIK6VxdiIThF52aeNkVEPQO7PNncJ25b3jFcx3RXhsWE
xUly1FRcoo8Yh2qf0lKVHksn8/aJOde/4pIZFncgbUOZ9O2NzyvmVoYmJMs0b54dYcDwXPK1SNHh
ix3D8Kati2iIP/fxccgduVLNMJ8AIyz+wnl4I5reP/lMoQ+dHLhN5th6yeSoTz5ppk9cEdxFwTBf
8ACU9I2WIryt7dg85w229chcnNSL5xWXMG7eGSYuHtDYUR89e1BanOns/sgcM6lYHlAbTOGOy64F
YCKLh5aS2y2OjO7GmBtza6GWDfjKaUqdYO2eucfLd+Js5UvvVqSHS5uHgddS5OvJ4o5+Qg8lMnFp
1VBgWLseDqohswt4X0asuG2SCjFE92+mSxOvEnF0F9ij3NeNOQNvHRLnfYZew9CAnwnNLb0xEpKC
mY5dpLLOrrZuFcT3ceOEfGu9j3JgAxLFxn5mabUTE29w/h7gWEkP9RRSOIHH6QoLMWkICrB7MKlj
PphEysG9I41YqahOBRVCWALm1vk0sP9vRlgDeMETh6pN16iylp1VGZDCg0TI35rxFrvrLx3E6Vnb
1GMqSeWoGm2U4v/e8O1CQfwqeCNym7U0Pf5NRdzA9ft3/7C9JmIfup96evxpurT939y95b/8z/7L
//GfWu0yRki2qf/3XO35g57Mj4b2m3+32P371/291BV/UbHgC0FE1hPin3M38i8Wk1AHTeUB/iMW
+g/yoJR/CRgDJO0tafng9dgE/5+lLmFctrrOdVdsev+lmkxTqAXx989kTMf2bNs1LcvyHAHMkD/F
P8MHJX6VsZXGuJ3aUvYHB/v7ZuwbhxqGyP4TLmYEyAyub21Gf/EJe1ecg3klOxjwhreeGzNx58hy
b9lk+/6FDBvABzNv5JdVkfsB5cEZO9pwJeorYyK98iZo8UnLB1Vr/WrYSoe/xGQPxQOg57RB2tQt
dCY7Z6SvcyeQGzsd6noTRyWDY4vRDsBRD92EUkAJJ+PfUC34IkDWFSoP7/M2NP9QKmRv45Ec0xok
vE8bLiQOmUSGZICYe4zm0WDztNFmldwNdTnciiveQy2kDxPL+QnfvvI2taJ78hJc4SDosiJ5hInz
hgg3mXusgGiHlcu5ux4CDIGjjlg0zSOn3K3dW7hB8iuuREKdqjcYU+14XYVx9MSqGMRyfaWdTJJ6
9PXA8iK+awhrYR5nE+VU7IQMYU1oU43Xpwf6rYfkVI8lliCmJ144S5qqXE30+7CBW/gtsoWivS6F
TagDlNWmXZAvwwJ/wW9Y3Jq1Fz2MCzamgR+j6nap2huTotvgrFBbdNamxR7kcOLbqX7ld4PM2If1
fYALuDiqtIRmw5IBsg2MEPsxmdDnz0vuJoD71tn+CvevhcF0mo1xxwSE6Bw4AiOJ3ZK6OIUukCTe
rnQCHZgy4lfeKEO3h8ca9GdgXpPPU2oh+XiDVPf5OJrDWntBk996Aucgg1rKFq3o2V5B84MR1IBk
9I+CwFB5w9oHuI/nWJyRLPbzgxy9tt2YViGLbchrrt1gewdM1NC7GuymJOlTWpyLZqIq0Zcm5raS
G84Oy5HUdWQgF4wAkMoFhZRFBRCqsK6/iyYwxxOfOtiY4gpV6mvSyxtqGfxVVIvuGKZL5qeiPZHe
LAPaEd4l3MpoD9Zn6ZvdeIjMDkN3hPcRHpkv+Y5NdVicrKHlKaPLOrltSXc81Nq9x5PvPDcNUa51
G1TGkRBwdPKGwcU9aGYlbq/YfATj0vyeGaloi0sOfSFRT5nkPflrGR4impCwaz3pOiRRZApqI9ad
KKdfjIrzdxZl87lXLFppyS0i867uQhd6V5HIYSvzuewPswizs49xoz2MWAirjYj77B2XW3Xnx66o
NrVf8mQIBC/btaEs+6maopL4K48PhGnDs1qaBXN1i+sqUpsynBCtgeyF5k1ncSasmjCzz3WJH3iD
KXNi8x1n+nfrF3LcMp7xaTdDsnRmyZS1KcjVrWxPBC/GnAaUR/SIMmORf1Mz37HkjPQu5Kp+JSWU
rSvUUHdvVnX2TmqJn5uSxrM7KI10t9pZcZOLtH9qQoeu7XTCGqdTf6Qa0bbuYfcxzNq+FR+6vqDi
QpsggWPRy+zA7tt+5oJu4IkP4W+VyMjfzm2bBg80VbmAe2gkCPY+pSM7DJzR51ga2LQxZ4IKnIXJ
+h5HwZMmmH2EvGHrlZ3mhbGCTolKG7B3/S5VVJ+sevbZJI3e/AJlNP+qeLJRN5JaY7iPuHFAeyVU
a7vpgBGmD4dLVBXGMbAlkK8+LNLhVzlo1hPkD6GPRGA5mnWN3QtAjgzKU++UabcfJ8vEtTOzsgXl
jc1iPfMyFmslqua1jyf3Dsx6AZwbSJYZBm7+7GESImw88oPCiAYGhn2uWpYy3GlfmTFZq5RDf6/q
gY9n9DprQ3yCmTa3TF4xnLCkpkElwovQwA/jCM8sYEZYydd2qKuDYy+vAgpAfY79JGxPRKR9nOxj
Bz6Ajth529tV8JhNBuzICb/LCpOny1ikTD1sU0rCHgQEcpsMmwTa5rnKNm7sWcYfDoVu/SHUokvO
tkWfghdy5KxjAPZbzIXCYUlYd/eBTsInED95uunD0aSi1NJ+sTEV3vOVr3J0KZ5cw7MPP2HmvDKR
Gxu+8noZMp2HdKwMiVkkz8iVU1BaUiixgOulispHXSFrrTkboOwBlHGWeBoTxFF7kFj5UmiHpYGd
UFPr6vEmQQU58GGejWOXQ+Qdx6Jke8x80Bykoetg11bKP+RprL+d0a9eicEXD0bfUgIxVnr+wk6Q
1ivSAYgRIza8YsP/ouWd2sXz0cztJDk0CufGSmtWsITCZmmvPG/5IoAG57meZPF9k8wTA0JtWR9Y
FxbIHzU/TxMYrnMhyoHsZjIiH9gJR6vfkRZe4WjMLiP9No8WHq2XYQIIRMOAb+0Qi+bHOBMeso7X
Nf058efpCZOqV28GGj3QfBJ4aIcR3eDHHezpgMvWvAQDDSYkMwdQmAWLoWqVQ/YvNl7vemyAxii4
s4HYTAe7i0v/fvIc+DvG4EZn0Hr+u7PkIWNp3LBzJiLpEpak1m8RR5YAZbBkKS0OuU1wzVdqnNm4
eT/jJXupS85MeQ1kkislnBmiPL22S2ITAmNAjIsUJwhNAp2AgZOjGGkQ5YxZuELEPydWVut06GLW
NHUWr/sRO45R5e7JrFwh9/0SJs2WWCk94BCyzJCsKeUk7MivCVSyKHLN+wUeoBvMJ6OaA9gMS2zV
viZYoyXM6iyxVqeI5sOYiQ4eL7kudnMDrOR0CcPGYYHXi/B3u2+jcLgxrrlZwSZ6m7tLmhY13730
FRFbwGLhtz040XvUTE/GNYkrr6lcdwno6pGobnZN7TruYkiqOYvgTVmz7I92zruEWBCpMzNPpXHq
SQGbSxwYDIn3QElSxsNdm09LhdZvZQJwuVhx1f8hA0+uOHQTMsZOSykBkMMle6zknKyJSJTZltQ0
6eTCTsbPUBJZHuxc9y8FtFHe84VZfFfKEvUD5Y1knSWSFe/vawZa+yZB3jBkV4/3l5i0hSGYnqFr
ejq4JqkNxjkggNeEdZ5b/a/qmruG5Q8e7prGLq7JbHaVj31TJsVJYTUmdeMP0wPkBCCb1hyd2bvr
A8kxkt7RWLd7HJyERK5JcNeOSIUvpjRSCp7T3mM5iI4ZfJFTHhv6EPg8+IRtR7BoUQ227Th2ABnZ
VpH1DrnLmUG+a5uAusrdaAvgQ7IvwmvJweu9GEZOrh0mq0cePk+d/IMmF7LvHLT+E7W59nfXVxbN
L3ad33W0or90I4DI+Jqit5IpvW1k4abrtArNV5rYzReHWe3StCrc+2kfouVcLUPqah8Si5NonMqy
WltU2nxxQaYbrixMR8Ccrdc2aD4kVkJWcH2KNSmUSfmHUGr1al6tS/h7sTGpAGDH2tBT/kLHU/g0
XC1PnuNFmPeF+gV/f/FE0Xwg3wgJVGv/appiC5VjkcNJZWKpGpnJP8xxdtYddqt48V0ZbNhx8V3t
WNXVmiWuNq3katnK0ryLL/pq5fKvti7javGSV7sXZq8M18LVBiauljCNbs5mtbLGm27xjDVX+5he
nGT6aiqTNld5RKj+sZ6a8JHP/nyY6eYwVwlB/26Tz113rz3aAvzGKm8EG6KdXHxsGkObfbW2lQvQ
Lqq9GAdFDNXzNavKiO2VpHt1laG6MDFYwjyXVtXd28OI0Y11D6ltjWU7Gk8i84utRb/5um/630k3
6GrXseIJkBpdVkBs3xQ18n77OBjBvA/JR7yVfG2P2IzrZE39elIctOEbzoY0hNZb4USk/wHKGO/A
kDrjhBkbyHdnZe4zAjrrZMJzJhWadQ8ZOfVcLLxctJcQHQId0G2SgtvbZ++Asp/uCjymfAvV/G7p
aPgt+VM4m5j4s7n2+HqXG9siXGRb9fi7orSb6JaZ2Hc6ggzNgMsJG889w3pXR6fAKsafLKimnTO5
6bE2YeUdesTGM48GLzgRypGfcVFam9TkObNhyJjddTT7+InnhJAtZltgxDK3bYnOF2yztAJXxnJr
bqGQW0m85YfZrLDwJv0nP77ObZOk8JQjU3C7g1QKDwGBGDSfKN0NokJFhYuZ3UnBMLQNKqHNU4PC
4dBL1gh0WW3EvKp43jhrHrnz3gcb8Fu1XGDrue14v+KwtVkSdnBweCj5zvRME4Zpg2SxcJtryk6/
+6pWxz7qzPdszKHgRKo+JCXH/CzRIVZqcjhrkpbsbU5hQKa8kLQiQY98PYFeLVaE/ZvftlFR4OKS
AHaoM2MN6aFihnR4Uegcp87DXLdFc6oKCXKu8QMH/SfMnS1GWDzP3RBCFuxJVss18dLxzis9H4BB
q/1v7VveL5y9z9ECimCb58BCzTF0ZeXs7sAmEkFOhHeayPUQaaQNusRufO/2GIlLQiv1lrs5TbeT
7ppHmnVMvIyduwTRdPMVt1iYd7702xrZPl+y4VH7XbZzfzeSyoAWKwWZDlWEWO4lAf0Pux3EJuX7
8AesIzCNiAueadS5hbHuPBBGoRIrCoYz6dKbEPNMu0oxe00EO/tDYjtfDbbw+8QJERVkPtwMEa8k
rC77JqYNcugd6xXgxzcfN8C+Gb7lztHfNJZkxyagBSnVHl/vmAmZBoKLnRnlKWNBiNukKO+xEXGB
tnX4m5kiY0moJ+eXnXwIqdQWOXHJEuTWRk/ErKivVceEDeYvdv9iX3vwTTk4N0XRWHtT5y6aomHS
aFnbR6tMDnOOEIR6kMQbum/yXZzV1q/aNCfSq574JNSf38DjGz7g8cEHDBLwoH47ifGQJoUTbjkk
h68ZgQlNIjErWN7KO7UJDZOrCkNpuu4Ho/pQiePRKeVU6nbqLGxgIzN9gn1sH8flcICWwXO/L5P7
wbOmi6MABrCKT6fbYeyZCr2hnX+muCHpljBBoo1m3tOEcfF2kmW8dhr8TNGYAmAsEZUkk/xPaoz1
vgZ5tFwmb5VP2QK9t+zNG4dDtHXiIkYTVirYZ4UfHkDV76vUS/Z5G7HUtUqWH4lTts+Mu1hRUvqn
1uP1zQEPd1M1KvnjWZF/VDXJb6iu87sJ4uMxL6i0WOHBbtYVOBP80KIz11pxXLK52asiPQ4yLPcI
Fc5dl9jIwXBIDVqFipxhx8hIYnVAH0O3VXAbeJ92rl29DbWAUzIBkBDKVY+pb7cHOoTHh1QARB1F
lNF4T3i7Si3xRiClxIJS1xcQkeYWQzdyswLRmjYDjcXATZho1H1ULaFSV+sTVnvYTlN3sEb3AhR1
WEOmsG8mJU0GKX8G42lVUNJbxRuZgqO6CY1tz2W8c3yh1/QBZLccVPGWHxnvFWf+wuhCbMONgDuB
ROET3QPEZ7XoxyfHGZsdJkhiIZXfqTssmx7w7tiZzkNqDFtO3AklIU93mLOq0zyHpbwZzbik6UcV
IJOj5t0gkfuknArDD76+5nnufaa9EJG6GmOxJ94o+K7OdE87fP/rPGy3LvG78EQcLN2KIRpow1SK
OWdO3M8xTz8cyHfrsTDZF7Rz9oNzM9hzPhSPKBUECHRgXDDdUHEQgORYVGM8VjmpvKgs9mpU/TpO
R7LTqXspVZCZK8wiNKLjaBk5nAelb2ibyI+uqL0f0Vr3RsDY3RDrZiALpnvHnhwoENgyMAgZq2Vx
EgO33kdj3B6dcWY3NRWz8+LITL2rBCt3E3GThBShumhO+4n3BgxXBlvw5mr6nGl2e8YpKP4MdYcC
NfvqHgLAHnlkbi+lAX30HPVgAfm9MBnO6VelTNlsyVmMB0bv6U/kxdl90ih5gGdebfFMtdODSGip
6ybqZbzWDNCnMCtsRyKa8hgIRAQY1hpOKmJK9yCsDJFZQSiM0v9mxeCfBYP/uf8pLh/ZT3PVDf6h
I/ybcvCPf/x/Q1aQ/DT9h27x+y6PPz7/ucvo71/yN67T+YvNh22BWqO9539Rd97KlSNr1n2VifHR
ASSABGCMc7TioSqqchBkkQWZUAn99P8Cu2Nu/21MxDXGmLbaKBaLh0DmJ/ZeG7k0E/u/ZOI2uE5s
BkA8HZYG5Br990bBFn+wa/BAeCFM/FNA/tdCQQR/uI6wyKJGYS6lNMW/Q/LCRf6PfYLpEUArbBEI
BOmO6xB8/fd9wsKJkFi3i33X9frQWFn3vgTx0ezb4R3QJX0eanPa5JTwGNWp9l1VRMdm9NMzEE3k
q67rP/vF5H4GjQlvwfGMnWehCxNDOrJiK+Its2O5ajjz6fBgTkTj/C47B1dpsrE7Gjk5qjOLaUaJ
AWhPr8Qs2QTJ1Z50s+7n5FmUzifODsJ1XHXKdFXvhcqtJS4DOk9ddWw/wQxtWeRZT7mbGD50vzg/
2bNT3FTZNN8Wlqd+ddkyEPal/JgSNL58v+GWpbWxEw56rVWFxflZmORmNAbpEQ6URaakYfbTVR1C
lpnvGjLZwK+VLA5Q06Z9rsvoxVF6OBpFaW88tvmbulD3VZIxYZji9pRakzoOjT/edobv78vYpRXT
urRGkDJjd0dA8ngwMlmcy2joiEfS6BtlQUBz3KbiaQLhwMCLwjy1o6uO0dyIsC/3hvLuhFP0T21g
Rl91njSviRyce2VijipNP6CDQdA2NmW1VTJMHvtUiWMgpueUMu4uZgL2CEvZPXLndedWhQnyIL94
HshO4rowaRdRGyNSzNbcJ+n7wNVyjWOfbrdOLIt6kZbrkbA/dfUqknIcDPSclt1ad7J+lZRGa8OZ
ql9EoP6e0smfN14wvsTEkyASO3WdyLZJZVn3PYXmNiFW4C71huDVkWN1gR3vnG2qoWPXzfmnk5k9
hrrFcIDv071OiCWuzLh9DUIgcH+xH6/3VA3UcyO50OR9DCdlOuF1gD9y8JZUgtbyLUZnhripJ+8r
bM6WeLVTvrMJE/dRY0M65S5SLZwNnsuOtyNmNZqiCGdRVcwo3ZW6wxOWXYN41vvAmKcnQp4tPKR0
KZFT0iez5b/mUxBuIrM3KY7qfhNRKKwRjw2bzuIXBPRGBDcKjH6JM6nSBzMOURoVULVzQ/7usIRf
lzD1bS3qYIdrbFzHDNOPLctBopBR7TpJzeLYbXdJ4vk7PTXejyAziMPMkQbJ2KhXUiOkWrsEagAt
iaxt2kjNVmPC+VQYxnqcOob9E9N/2ZUm+jaCndHc1DdKokQQZELs89RUmNwZIFPFKbvAw+nP1U1I
MPnGTf01yorVAr/Yo6tYVapeNajwyODFMSnKDzee9qS/JufIxflbdWZ2XxF6Sww3BtVMs6ihUdzR
zsi9CJPi7AvTf8uSceoxThb9vZXUwwMx4G+OVB8F/H131hd4sb9SQgTu5jDzD5XROLuGaAwOn+Vv
VI1vrwdrQBFKPaidB99Ch6Pypt3UDOUeowCyLsRulN4J090xgavhovpKENrJVhRrq5PA/mXVvcTl
gIkRKi+9mTRvPRxt63IqrDO6zvZEGe+gMam8r9bPwh3JE/ZN09m8TKZnbUOgWo+2J/hURzpVZwrG
teYGZ7dZzjue42LrW9NAmM9cjS+RCv2j7aXxFum33tERlaeR1exitdP7vkynY1a6+OAsrSWZx9G8
D7twRpQyu/gEbLJ+bPqdiSw0kgX4bU8ZrDYXwBVC7LjdZ0FNXRIia6imztmLjk03CkJ2Wam18Iyz
cmJdRTuv8A9AASnDF7yZMyLnDNxHMPQnsx6LE14E/8CerfjAUtnSWQlzTfyF+cBLThGTxFAwQJxK
KjhioZ5kUnpg+NjJbHFTdP0qhAZ7pWaFTx8nvr1L+5SYBAy3n2OAPGKo6201JXsDJiomXX3IndLb
cGG4r31h3HcL5ZwGPAzTdQzebN30E+Evsy/TV/CNM6MAPwUw0ba7skzhmzd5wMJmac1s4qQZaHS8
/+3krom0SvZt4Zp32su3mdnlqzgK1szg+lUaeJcuJfiJSCeAYrZzTmfY6BiqHou5H8+YZ1A9uYXT
PoI/SDaqGz4z384OQxlZG4Kvb5AD3qe2BBWfskCdl74v0aazI4V33ttEKe1tlxPcZXK9HnFhY6Se
+y8s2Pdx7z2l9DpM3/kLYGkQTIkIH2phFKrUPfSSYBwNRoCUY3r8PGxgE2iSfomj+cnay30wJWAY
/vZ17vcHQrjf2oxTP09+2LZ3Jf5hWxqY/2Fbq61uDXTARHgx6tQxxgUzPbExdI5eykoj5Cd/Icre
flscY5uk9rMjt8ShaMPqMcqNZj/VHf2u1ffDEk5dVK9swaJzLaf21lNTdS4Nr/1SgYPTEcgc1+CE
Xj5TxU67Mth4sw4etISmhHF3K83utRNkAqXq3A3pfLVUdFM2seCazQvGqMhpVkGdlOypUg5VSMTM
0eGdDLa+gDFiecgOScQtNvDUBlWZ7umcEfXUKUNTbL0Em83tsUFnMI5+RWQeXSV/6gtyRODumJ/x
KeZgJx5tNL2Xir3FaBMx4k0hczfYJkPoirOL87vY99g2JF380L7PXENfKYsPOnYzh1YR05BMJH5x
vaEt+IFrCJOqGdjGBpe1EujHkvp+6s12M1Vuc2NQuG/cduEhgHAynzl60g2R2+Ne14QgDwJ9tikK
azMvo54OtsSaDAP5aMD4ZvQ8zQoWNo3Yxo71j4qV6qhr/9ZHlFatAAU8s6Mlq6ukRInM6iuvxvFH
pZgSG1ifd52Tc3vbtgrufad8Hr3+riwIByiK+NomzY7tDZQru3slOuGpmRVj7yKz7y130XcGxbTj
2gtuCqKVEqwyufeaEkqyKikrIjf7lcbOHmTSYdYA+BLvMLRDtxkY+Ueb2VGR4s1iIRsxG8zJnilT
F3KoWR+YC9yxFHzIzPgXF9rz0PSf2nX29IvuFRxKvYvwNq5lWvHsglDk3qUKC2PEAtLbpHKebirt
mOsQHPfGnpz6GrrxLnfDCAvd6OlNEDvdlYEdcdxVzaTK0Gm1SV3T/sHx61+mWWPwbnsD4aQdQKu0
qDqd+EqeYHLG9m1skn6wD/S65j1V3PRIBvC8c0hevrPwaLkq/XQiClg1Oh2RSAQM1Xl3I+FonYyY
7bB20RbDIUcGXuE2DkWyiBus8WAbvbkG6vZOPGEFtynPL4M/cUWHtYTlWoJb1XLclHPsXvQQopzE
dnLyvV4cKkhxJ4RqZ2WM9VsHUmBh4/ob0TOBRdVosMtuWxzqtV/dBqGF4iUt3xd3wMrFv7YduH1Y
TcljzThrrev2tZbNO3tqd5MI/PSTqveyhTqEZ8t4cYlheS3UYGwTlvhPhdNslKyijl9HwpqMj+4L
c77aUlHKe7JmovWIa9RlL9pgW6iz/NDW9YHWQh7QSkg+VBVdAGoyT/S5pNh4b+y26F6quK0vQC6a
tzIprU3m1uA3oVUYHDwLfnDIgDeFdcOzkzAnn1S4ZqNr7BAEIu5lbrWv+i58Kqa4vmfZ5m9qhPAP
dlPZVyCpBOBY+fBQirx4aaIG3gtikEVuMz0w+zGxQLb5Z6ksb18nsvgdEI+5H4eKdLmaCrryUudC
ruwi5zQK9Y4/H2BrP6dwTQZfnAn/Sh6jiCoPM22dPMMm5srA/LIRXRhdrdw095GtzKsFpmQDScIG
y6D1MZyVdQDiH/0snBnOnPAEisZBfTp1F1yh57jPk2UxR2gH0gftTr+xCYoeMlLyHksyp06D7y8a
BSvp+eiFXKPjTogwQq+k9XK5FvG9Tp3d3LgxBZsG1BGHDKr1OFw9AMRrOdTF1dGQZhTzre0chl9D
MRCXMlex3BX5ROk22uEum6X/Zo2kekeFsh+GWert2Fr1OdKppP6U7mFqXfcnLWu9nUkF+qpaFGAB
DeAxnvzyVkZJcu2tODm4Drvs1ilQRtqBya3hBDtMIT6yyuQuM4ZiC68HWTlLQKxWFilZQPmuYm5u
yRoUy5pIs6tu1cmfWbWvKhEcW4/YMHdost/8oPU2DCrvDEHOAZTVYl5kmvnbDedfLWGqKx9ONd4h
rC5Ww2SO78JAn3w5KsYiPIdxdO2zjMrRCm5ENWUb6TNjAueRvLAXmDaom99KnwQzFsXeTdVhEnDn
dFeYuKdLoYfz0uQDfypQeVd7GKPBuWyDaRs2BHLjdUif41gYZPMi6NrEvHPMmRHuMS0jLLdrLPRn
ZcYEUxRPEQV8SC/XP0emK1dGbT4SVBbunHDnD+EegW12ClV/nw74K6OBw2WiJDfNHRqdafF+1Ls2
glUGph5/o/7g8RyhLCmyBJmkb9ypAbHRAnobAunsm9myCwRIy4zX5kHNQ2J6m5RZaR6/YfO6Rpyf
29wUiANrjNVlTehYXxliS58XHphaESrvJM19X+UJnhddH3odzFuMv+rATZGerB4wSt0r/7abJ2dP
dCBzSje66T0bmD7VaHRKxo6NAwgobMBZCumbGB4NDC8QL4Q2rUfHZ0CaM6+GGhKty8rI1hS+h7i8
ZD7qhC7qh4viKERRZoz9o3bT4o3cNl4eO7bCX01YzMZi+MS0bcb1aK7NPr1XjWU8jI6rWnVsnJ6l
O2FmaCn5xYMNzYpr2qbWT27AhgEek+6ZWPl1kWaYSYFDYpkBf/ja2XP4LBBDbWtE//w4CViclSrG
6Qjx1MLfHLR7lu/yoSnG7DSxpDu6xJ6Re+xgFO1F80s2KbIccC3JW1kG7a9RKWiaVcXL2HN48tEE
57C2ymPLP/IQiMXYIckTSnCQbvgLnFd66eG57xL1CEjDuWaeYJJpFSUeP7O5tfmd3gsl+MewF32O
xPBV5anY0gklp9jsrdvJ4v9ghARrDIo9cwMXrowuDOuW2xbLjNMzDg1jQqwm42KkJlRcpAc7j8Ji
hSzdWOXs8FhkIUilTAcxdTWrwHvEBWdgSxDsjlky3WA23YpmhlEduZxYfYRLYOozyKDg3IK2/EGq
wjvKzpt5wkSOafYzyxzcKXVzo/rGXpvTWKOdH180zQ9LG4Rb1nQDg/VnCeTuBKsmvv9fUUr/X5po
esL5HyeaD+/pu27j9+L/G2r++VV/DTUJDfIkaUI8C6D4PNgTf840ZfCH49PpShdx8rdW+V8zTfMP
yyKCALwKYmnyif6Vzy7sPxBLoIICpGH6qJ7df2eo6ct/iqQtQZAR2jU4G57NImMZev4toR2R02gU
Rqt3ppIq3xvhgvARuUu1p4NSHqHHoMXVI7rpffAN/6mlmPEeLkwg3QQGTY6I/LPoM3s32KN9kSD6
Eiy0C1DIQ3pM6u43aCjtlOguAfih7htElNXe0O6RXjGJ63ukbwSqg24jMSW86ZoBSXSCW/wYB7oi
3LNT2Dkl4YRvczIS3GaBM4u2gMmpAHEnIf4zizC6YFWXH5gzO0ylwbAf+8C/m/GH3NQIOLbsbTN2
S1m5reoue+gFjLZemAaikgXRZOah/FBZW7yKLsKyD3oHlNPia493kQPhqTe99CXHFkUYAwI84LUD
gMe916vxEa9Et2fBCSTKXHhR08Q2EnPw+IYfY4TExMYT+KtuTHBm38Cpb/hUJgSRkPk3lEp+A6p6
4FmkojVwelZRYVe3HLw1B4rVBW/VN+QK4DrLyOQbfjVk9aK4dFimAblz33zA1KC4htgiCDjgPdfa
zolM+sZqGSy57LPfQ0Pe6wJi1rFEC46Xkbqy61qGDgiJNT8A5xU4ybFRuzot0g+77bLLnDrVHfM5
5zO2rPGJ1RjybLBggDqGsS5OFQq3cmVXA8bMfKielS4gzX0Dw5RLghJIgRqJm0ko5XP8TRcDisum
cg6ShYTplA+WxHa45V8wPvdDi0+oquP7zNJpswuBzh3AyOu9veDM0j/RZhAMPZ91egfzzF/wZ4yd
+uYkrcEy1gR6Q0jrMOSJg+EATnO/GWrBN0/N8tCm4Eg0C35nwKVWDIQRZdQ9cEPy36ZqRXEIAa7i
0ghXZMgwwAy+CW5ygbl1+TC+pbjkLlD8vq1zC/gNaykQuDiYREgpJAeGTA065P3wJyluoOfett8E
OZNoQBIFgu5CPyaWCY7/lKWaboDoZNzahVZqHfRqvoPjbecPQCHBpQRk9oBPse8s9pjnsYceuM+B
PpFqafnFG6rG7Ox5C/nOKhv5i+26t7G+yXjM39pTEuJLW5vjkmaKhnwLWlG+BVEKsk9ZGAXWZWeA
eaY9CCAkVgJQZS2ao2+Pbbpj6NDtzBJ0GWlLBug++vzoAekpAss6ToNXE3HOS4pm5kP2vnP2hh41
u7nwANOFDOiU/kuH+y9fEyJJ79RazrvnohK+jUA1S2ZUC2YwWIiDNS7JiTzBzjk1vbOgyHL6th0t
SvfqlrH+iNOInjL/Rhk231hDkc2dfcCoBu4wkibfOTR7WHahpL4911UEHhEjLBKAmMC4fj2SpcTe
/U+c4jdaEbEMIUnz6FgbUQngi4FvIVIiz4HXnDpnwgmCBhwZIw/se+kYCcrIBeQoFqYjMx9rly6c
x4I3nB6a/ecvFCDlFSWhCxnHnJ/jAEEFWwmokc3Cj/S/UZIovMBKRpSaP425sIkDcJZsgzLAKZtG
TzxRqAew923Db1All8n0lnVTfiUyBpBlg1rbY4kTib1rtUXAvrz/lTbOuPciXa+nhYhZfMMxu9Tq
aF/aBZoZ5XJ+5LBx1Y8sIPzaTw3/ivQQ1qakfjjpqMpeAeOyXiIl3EM4livjpV5gnTgtTWbwzPeB
XlTQPCmNoZ/wfl9MU5SfrV0HNNffHFD4/Jn/7HzzQbtvViiLs8nbO98MUfwp0DTIjbHFTbNgRr0F
OOp/s0etAUmjosHZON9sUv2NKYVXGrWAS+0FYdqKqnvPF6xpNwA4FQvqlEW38Yh/Gv7pgEKgX+iE
aGiIOxFboqL6dzcYbXlIFoQqGwGAJBhdejYeLYjVBbbaErhVbS0kpVsLfE1xaMLWSR5NR40ufzZM
npk2zOaqi/18F3DdH7NRwHZFj0P9SQ6X9ckc07sFlW7/xLip7sRklTu7HrvnHMJscqdilkj846np
VrY7FD/TBS6LsnEENLIgZ7HJIp9OmtLfYkJgOt73+eD9iAxQtRCVhNq4imQa90+WrSZICO5ORFIb
25mWpJHQZUdQeor0goWH6/aTX7MeCO+6b16ulyAE3vgtjl3EhiB1tQSuO9i4nMH+mztwRvnaWSC8
WQCOlzQycYi6Pv5BMgAOA8vvt9UC8A2ztnvTEyOXVaQWmD6WA9r+5T00ICx4BX1/Y98COnzoIKJv
bFm/lNHCkYkWM0DaIqdL3PCcIIkC36edzzFOzWMEdRCtCQLMtq+mjTMl4IppX8Pa+wKy/wEuxkAk
lBMUG5JMtO4YWRP1FY3OS5vRcG3LipMYc7wm6oJt6GAfoRQw62XklVbHwSFXh3jXkuAH25Auy6d8
smvULHk378bGhy85xv5nWdYlqnartZ5jaLbzqjLbxD0MwAXH68zj8xlKSQbA0FPqODEM0aWVKzGB
kC47B2Z6gO9sbEWPMbiLGT13Y4sNmhdCb7DKpseS9IJtnKbeQ+ZCBHb7EKEpIpFfyk/Ebx+D+lvu
2xoX5KQ/jNou14wWnGQzmGnZrRxAKlePzcqqCIYCnRKuJRw7DX6ay5SWhvHkkA1QI+zok3LtZx2w
CFEn/Xyt/SIRW8UDA4qiAg+7jcIWNz/gnfFYJYZ9rSH/JaD9MN1uCY23X4VHj3kMZlt/+XXIIknm
yMAdv8qPSmFlwBhu9sjhRtO/nWeorpiomuBmmKvgYhIRNbFW7OIP8BI24uLGQG/Sx+1HJVpJoRKU
009TeG26mRx0gWu2vwgWO+JXvT3NFEbm1gT7f4TwMe/V5JISn/Ep3+D2EgClM9tb1HHylCmg1pUo
aW/JSdHPFFEkSmQkef7S9dS8dmUbn3IUhETNC0AdaIqBskVNwLo0Zx9vrD3LDS38EFZ623moQla2
dFuw+UY8b6ysbeSFFkyhp7J8ZIMcdlCDm+X2o0GHVg2xjNM9x3Dk5rym6xExA4pF9IdDMJfPNlIy
b+36SXn0iZp4TYe6Sw+oT+r7Hukecv9INNO2S/grL+yHJlK/rDC6GVMNhN5GqPbOeqC+FxVIq1A3
OPlDIVs2INiUmcp0gucE9wQ/s5135q7X6aZh/rHpSd8ZVgaF6b0bucO5C/l4YM1YUJM4xt3nbKAq
5siIQeom8C/qrR87vnqJ3LT8Eo1C1J+1Cx8gwsTXbPEpznDFuzZ/p1AIH8j8nKKLX1Wa0Oea9Fte
GyBxZOYlHvCzOmW0wgE9kTmSxu1zFjoWCy/u6NuunMJz0fU42ggR+VKdaz1gbo/1xqqC/D4GYvaE
PjF4Fv2I9Az+wFdHtvvTZPjD2Xdd420ihJCVTJ3O90OZdpAsLMoFp26Fs1bErkO8dTBuDHgyjiYJ
Ci9lMiHb7rhjXpCfkIOCkhLlZZSbabYvmcejHwps0oUiQhFzKmWTvY/J3g3QT1KEzYF9A8wer0dI
W/axfcTPJ/NdbTL4YiTB7Qb3OK6nfciSLDnNrczObudM9bFzFmJokua1ATUjD3737BR+aRAs9eKh
KMRW00vhS59iYAfxMDbW3oyJlVnz9MbOKQG5Ctsb5ni6c5F89TY2zjIw3stGg1MCdbwYYObcJZys
wPoxrnGBVvMGkU3pAxoYLP/BhQ/NWp4nDQMbqZUuTrWweycNe6UnfGK7oQXcTFqpt40IZzH2Y+HI
o837xIM5G766IFklnLqznd6+zlBwwYARYbNCgvMDs1k9n7JwwicGciIHYWDNBRpFomvEhVQ3Eqli
tvpQKvwI2IeJrtte26rv6VTywm1YgxVxXdc38VxSHhGpg2VOWJVyri2x0OHJtXQf3/qD18lbmYTh
cEg1a4KRrKB70h9r4+K71CRo+YgA3QewA+ydHuc4ObJSTCCKR1WjDm4TsuYnjmPSP9WMrDZA7i6X
/a8b/kQdWwAKHiPLo0hqbSAHOhkEUuReQ6cWDc6jtSUmQrtRGAvzpy17DfSgbQjSrMNqoai6U3Dh
+q6HQ+Zb3cmZFEQK4WosHqbI9m3EaJYyEPN6XIChP06JTM1dzAAe6hqa+/SmdLzBWzPzLsmayYSG
zhj3xqaNYGsQLBSEmOfQxOyq1OfuCgqiy0/ggqZaAEcWJjKhUhKgYBgy129jRrld1eOkbuA5CQ/g
b+ziVpFD61enwiSn6xAieQY05iovfuaSknrJdi0oc8xhuLDX8U3Qr4nu1RMQYCf9sHiHy/uoa6dN
IavFkFOHMJ1NLfu7tA6Ct5TiDjD4hApgo/lxsFk0yTQfrIjNzDk22BBsAWB6DnsCr915mCowqPmN
cU5U9hakLEpWtQVeP85IylVOWEF+HBkY5+YMdyB6SNFYd6DRM1K/82DIxQpYA9TtUVbxJgkhfItW
cU0VEP9+I7gxxNECrmdsGDHgV2vzePo1RY1tH/VgsWZAO4NEvCbSoLNgM3cyshdXG5qk3q6hqAxO
/tBFmrOpIGPiHI28sVQtIUqT0Efnu46MqP/Qng/bCEUadrsSFNWiPKCvOSQarh0yhyl61pEd8fvw
l51InkQME6WdixsEYtAO+GqTMTsgKmNTp2WAHVjFI1l/jTnuxwhpdM3Rj6QR4fITUno6piytmndl
yOII3NdY51B9Ll6VAzFr1WxJYv1cPEezcu1bN4/sB3bFzp44ZwVjZjJnsvf4OOQgmzPPZfuDTz44
OEFE9G9bela5HWZ9rMxifI+0GT1D/Ghfpjpq0z1AdHHqbcvDvhdMqNt8K3+LgFhU6wwzmbn2SstU
6MrdClcFeSv5Neg6xDqzzbR/Z/CDYY/JgrPPchJLH6lICLT9cKiZ/7cB2VmhrDctkXVYzjFQ9puB
gEFO7DqQ2/+VueVN8qspdfm7/T8gxbSXieL/RHh4atv35j/umvfPLx3/fXj511f+xXhw/sDLI0zg
u1IG+MT/FaDu/cF+nqRA3GS2v6Sr/n16yaRJCp+JJwcKss3/ZjwwvfQdx+QrYfcuYIh/S5L5z2RV
CwC05TC9lFSIwrKX2ebfZpctTjDZdG6/JxkgeEQwNt0WEFYq2HFJ80HYUnYezKCu1n/7oO7+JEj8
R9ER1pEUrf6v/0SJ+k9gsMU4VzJUcTkNBautf3znTkvg7G7f76XThbuksd3qncE9LWjSW45adRWa
B3DqQ/eaVymzTbzl8HV9j/wVJCSDKfdmXllirRs7fws5PWGFWtzDjjVF7dpvONdNjUtqnalQd4dB
LHM6hgxotq2hZYJTlf70gTJoZbekbAEisr03RZv6PpUieFYmsPMtI8r+nigMjEhZCy8zAUScAL4K
cST0luheC4coAFS1NIRKnZ2E6FQgyBNrS9Q0xUdKhnPc2v1mxoW40WGJhZLVm26GlIDXzHsJZlnv
bXAXl0ZVhAHErgPjyYhk+GT0eZKiDjRQxPsC7l84fYGByvbMAXZhn4pjK8YU5UN858edt+tHtjhg
qXDaWcVzkkAqHirsl9YgHnsqZjaQAtUnzh+gOsU6J4QUg7bt3BbVwHaDfk7YuFzRhvKFTe3uikoi
6CCcciUr9CHNKN5ZSxUMA5yz6QK1inO8k3azJ1N2x5i6h69DBQ8wdY9zR6+1O+f8oRLMWKgHGBpd
fSENuj3iUm0IdtAdwqVOcbGht7VqBL3cDxzVQ+Jt0T3ZGz0C38Rn2B2x2Fo7J7Hdo2PSrhi9qLdW
03UIBzTuXORi65noHgTCBFJmUHR3YRWpEzAoZu4okTYNK579PDRsEqnLqEmsKMfjZjifldVHh87h
vvAMaVxh5qDNAEf1MM25zjaFg1Y4QrqRkhcSkii2gBpS2pBYRRvH95xgk/nUrdvBdvQ7AykgB9XM
jbdOsJe9RZ3j39CKWB/Y5NVn602Ak/2scm00RahwozK7mPgA8g3+j+SaiqCGDs+223SMk7Kr6kTU
b/miUIbxWacN7FwT09KMUWJI5jV2MuTOpllKyZ5YlneKxEWUhaG7DK/LjKYV0ix792w216Nl55dc
K2s/Wgg59xgD/Ee1xFfiGnTMTS2LWWwJw8FmN2PZvDEbm16f5q+/FzgXdk4UT9EpiirGFDX+tjfd
+hPNKLPDK243TOs1s9OHiTCXI90+UApZ4xuZeaGOmTVgrotNP+JyzJ0fZdMwFsbSiTDE9ZctAZqa
gZJcVvmtrcr+mZxT4BSgohmkyFEgCDCcZtj6LrDc0zS01ldZI5SWtrKeMxtU/75VlvMbAFcY7Bxb
TM3KJgkO48s8ucaDD6NzR/83nzONCpjSRLDiIxaFtCybZKwfnWAMDpLNODeVae0q/iNbK0q8hw7m
JXomFNO7fDYgPU2fMso+tIov8HH3lWk4u26imVa9yA99HNi30kFwXjs0oi00Gh9O5SVok2w1W7Bd
hYleQ81Ge0ir+lqQknNHNOxnnFFtNGWj1mGbRwcz9aqbgnCFnYj4ibxJAW4m3/guDo12Pxrax3Y6
ii0ZpOXHLJt+N1HFXM0pRU6tpnC4hDobfysVUi5RgifnAMJEzAPsM12fi6kvqS9d68Nj83kifCo/
B553O3oYCRESWS3Rk4B65FddElEJQqqcEKkUhuK9NF5bFH+c/QBspOU+ZfFEGmbRd/eBjdhqBUHF
XyqP/kTK/FdFHgw6kdJxliI93CAO9256eA3kJM+ALQnp2A4qgsvYxurOMBHfIA3oWMCWQ/iArjqz
f/QGJsQVZCxQdVHd/2oN1V310OlsGzNqgqzTTrd+Q0bD1JY4bFOMTjxZIXm0Rh99+H2qN0bh+gfb
XzI1Xc9c5zAmkSkI8eTnZDhRZbHEGEmpm0YeYGA61z5klAwl+NDlQq1LRepWHiPGEDI+ddL9ze2U
XOkhq33egO1ZSZ4UfUztbFxXISPlbTPPNBOJjqxiY0x185kYTJcWioF58WSB4kCwniCctTHSEcRy
z7gi7h+SKcqgCDTZNvds7EQQYfaQ4kZaFV6YvVv3aDCrCuz0tu97/1q3mXr2+D1BELCaA8w8oshZ
2d/psQ4/JpblziPBOxyz7VzE7aZs2QEtERINjkCqA+yG4IK3WdXMNxFwjnXamR8VUIWdq/S8z4VF
JmASbMameDUYGKtF2CmYI2mmR9/GR2ufqA6uPKnnPmPcOml/DJmAiBFaqXP1tMdOa5KNWOX9UENg
KO5Dm7UXEoRmoytl3OUtOvrRoHbNNPx239mZ1OksX5Z1Qh0xZYuOiKZIWfWdhvAhbia36Vd2lkT8
CPFN0JuftTf+mjjfj4P2KBVMMR2TGSsq4jUWWDiLV0lEAyNEjg4zH7fwPNy934NDCyNBSE2MeJAc
LHS5bvQc2QF5gO3AAxAOHM/MM8gocnS/VsYcP6ixmhaB2M4Ywm0ChW7XTp24xGNS4F9BLWoaXvI5
RuTqhV3f3uTatwl5hKVSjiNiEk2rGWlktpUHHIff0LClFrTX2irI0BnnpzDv+SDVt6uCDzYnuf0G
PRChhLp6GtzY+EFwaXNoAwTFlBoMImTT7ktsQXtOIB9dfMV2N2vk1sQDQVCPIw8ytR0mx8GdNiZe
XyWcW7hTuOVgEq1F04/OHoNIsiX1JcJWiojJthucqxo+3JlyQb8tJBKaVSiPOwbH+k4mVbBNrVYz
Ny7C4Y1Nef7gtbN5NoM8+03yiaStIqHI6oPhBQ+b3HRiLCHXumbJ3pQucBN5ZvjbjOfuIP8fdWey
WzmSZulXKfSidwzQjIORaHQt7jxJurqSy+XaEBrcORrn+en7o1dkZWQCXY3aFLqARGQo3DVf2vCf
c77jUBWYtJnEOJmYwd7oPQf2cSyia2gAE1qnYW+e3BBxZpSJ9e6Lurr0MAceML2kzOiIotMQv+Bk
Q1+DYOoJo5xC2eGZ84VzNr1ePDNQC35mTTCTKqA5dw+4PE5ZmERwTFrTOVHAB7NhHhN/G1pGDH58
bCgNDKce+D8Iyr02pXixbM9nimyTqYB17a8jmdFDTyi35wbpq4JfQk68zvOMZ8wNySGGmHFOxmTe
5+bUv9p4c89dhRWeS/tS55DnmPObDshsa5opKlRkzc9pMk0/u8TVPKZA2G816vPNJ9JBDi+GCsLR
tlsPHO13CfCIF28qzPsgyvNTFAhzPzE8x0ZIAQKXXOpiXmO7gs+hzQwftzE+94O2Dz2kjEfK5lpO
ky4hrKbw7hjWiXObe+rVYFANkKwqXi07OJIlcghPhvfwCNwLEGfCjZXh9CTBU3gauPSRo1jxBMyd
Ob7QFkdNpaprcKbES3E6x+NaVdwsVh1c2QyohsuLKSVNeR/4KgInkVcrSWslXNqpvbkwpI6q5CvI
vVx8Y1CEK6ioW+uZyRWx5NkA5XFli2B/g0rVTyxgwqXJ2mP6Tr8Fw7yceIuVzzt8ZwsXFreiyvz3
hEAQZVEUzsaEyfayx1lYETP44tBCmAGbfLzGHU5muhunfK8x/B3Lqm9+8NDON8NvOG06Y75Paz6J
Z5hym4DZ3jq6CFEarfBajLW8HxqysO+FJUeM2WNcZU+GO4Rq04LBDLiJcMFbQ2lPBjx89Risbdkz
ulBdS6bM9Xpj75RFctP2ED6PpYh/zUYqgUa5qAowL8J9V5vNI8wr8aMrfPu5Gwe6fKdaYhEDDjPT
7RTnT6E2oq9xcJOT4drWe2VL2DN0asX8Okp3vJkcUH/WFgj8cCgYn9HEWt2mWrBWzND2OLA1glXN
aasQpzRNZau6sTpGv9p8T8EofXNc062fPW277X1QVLa1nZNBklFvPJ4fzbgbqFoCzcEJ6W31dUh/
ZNyJKT6WghfhpgsNQhed09TbVk8uCeaUpxdcjyc2BfvhmW5z32UkX5VoDSrCbG0gd1ZGqbBYlwpH
dNGX4bEqOutHNg/RPhd++VL6sntn6g3jyy6rW+3QCmugVVE7sykbzzu3UwiBgdchwy/XfE8U9Ikw
95PjAjl8gSphvIqycLyt60/2D2Jm46lvh2mHHaZ4kLPlPoZU6xCbCcfgYCfZlj699MiJOrqM0h4O
FR1zh44f4Tu4o55iW8O92lFZ78Cu7wWToYeYnvpT60qx6QAu3XLAJXc+rvjf7HMCM+TgyH17FR4R
lTHnL2oIi7ajgruQGtcujL5QR8fHrjQD5D8YZqzWtEquGCH6v3DYw7agXXpnSzfc9IME6+D53fch
4cnJjLz9nmQhTKORbFGOn+cUE1+jWBusox2Za0lU5FZxnL1mGiDOCBz5p23hbY/DQR5yvBnPJLLb
0xzCIyQAMdCSDlasIT9wDx4guRZzbUGFAomy1aJsL2NgD7BKsUcTJY8eewYAG6ukE51Y11BeO+6k
H9Uk7ceI1o/dBJVj1XhF/dBD6z0Crf7emWNcbEZPEviLtdVtxwKhs8aMvEu7dn6PCPCvxNiZlI1C
H5jINNL8WUh6HJhiQNDwX2Ogq28BhO09Ok5zdDGr3CbIuG8xZ7F7qJDzdm6C9q5TafrUcsqjrID0
/W7GpnDCYkY4reEl3zes96osurc4pnstoBH6faIG3iHhw5Va5GCRgSsDbOonnq6YXWVDqggTJ5Q8
DFdLlHzijgWQcof7ObmDKhS8ZJ7TnJwySF6g9nBBjVzNTbDPN95iDqYmVlwVLLBTsMT8jL7LnsHs
SLpvdf4L8AtZK6QnifqftPemZs9bTXlgfXlhyg2rq3V9NsMGzyT4tvBg8EIDipv1Bjn2NsW7RDVv
uMEiXX5vx7ICx+CP4iml6f5Z1bJ5T4yI2Yr6rYOCEstfGzJC70NropH6TNWTM9WX5OZY/V7m3ypq
8ltRxRJn17skxSIRtgP3K2xx1kfv5u5LIfUMuFcV70grJThlU30vXIY0+GOLS8hJDYmRtYMviFbd
NMcvEPfKvvkGq7dwa8Rkp2/Q+OCEQWRp3zvd9WexCMaN9IJtU8TZARIFcvIiLMO7FqsijMvXWplA
AFNt3JwsddbwxoKVUOuWJb5Y4+nKvwpqm8Z71KTIOVBiit7NgHZaSCfiJf8tbJeQ/H71pu3tUD6n
LcHT0V0FsMkxvFAI8j3lDrkJkTIOjYrR9vnmQ84Ev8VzGTW23nEKqC+T2Uc/pA/1SiU5L6BYzHwN
RlPcJgBqI4OgMH+xdfWr+S3NV2rK32fkl18FZ1BSUwbLEEzjTaSrYuP0hrF3kfjTkMGWAIgJKgWD
hzNtWrbm9dC25BcXjwCHsRcKFooTzuwnMxjkHs6AcQ4XT4G/uAvQ15yN4eJ27kooZp13a+PGfgis
QF8ge0pjZf02K4xBenTaPD8Tv3GPpCt5OWBYck6zrjsc55G1bFOakpuWQKnKIGVTfEyx7nwegcve
xeEUbRh60Cm6VCVHvHw+yt/9ySkGXt6fUmU3Mp27nhvUzs2s9gZy8DrNkdizN0NkDwwo/63A0NsZ
zrDPDB9hjqHUg0OL8zIT+mESbUPeLQdhbVIjTx442dFTZLJe3UX4OZl2NU6Ec4qypjX5PExPNIPZ
zN/mdkOddPZCBClzV/5Qu48cDTK6gKM0oJ44JgY2qObQ2hHALFwJGwsP48oLJp7LLPARSUiP7lqa
KuhP7Yr6bNfMEtd2J4PvVUhDdlOXzY9k6c/GlAD+i2gtC7jdO49W3FV3FZ8NcFwVXGEMWXfm70pu
us/UucOMSoM90RmJI/KMUa08x3bs3VxBdVI+wF/dyJzndGr69oHhWtNuHavhSOMtzeBVb0zDarbL
ZBva06cPqnCDo8Zaz6E0vwyaAI49lQ5PLivTylUdanBVzhDoZy/dhUkX7mrHnB/8hulbJFVRrUSi
vbsxbctH2K74takC5Y8MKz+4hBOpE8jUqXTK5BtWb1bBscBbJS0XNxjDK7HioW4euBPIFzeaAHiZ
Zs+Zi241i472ri1w5JAF5rqHjlxL45vX9hQgL+XupN7peTfLaITmm42PKpAULk2ecWyXanhjKYmn
ib16M5fieGOpkG90ErMYNweu6/tU6OqhN4t2V6f4fAT0/mnFmw7ud/RairGHnZWxnW7yaKmsn5b2
etuKeMYLwI2k/Kdg36VVLdh4CBqKzG9esLaIF28gkgaGHnookyuaans3ibcqwyCwsoe4fE7xKJq7
2GlG+m1Un+Q7g/xOcaZWXTKSLQvJ65bhB26cNDS+A9ZqTh7gGWbPHKLTdRQl/W2eojqm1sGNnyI1
4wTOfINh7wyJYdgkVdz9SpSe93M3uG+pnN2bN/qF2Kk8M6ptktAktnOI0zEJqSKfHAt1sZiCKPm7
NR4Z6vVArUAPsMwvv3e2lXz0hjnNePsG0z6Oi8R0mhn1P8f2nL9WVjDsjSSvHsBxLvQFp2oe0exw
R0iwCddyYBBn9TYVF2n7wxExWFiPJmZi/v6bUVjRrpxG0r6Wsk6NJ/VL0tBYjKY1Qi1zI0kRn8gY
pLRHfgrztsF6TeQKzXDl0A3x1LY95ajBND8zvnROXiXV1ZpwB0IUI5oZosA3BDct74upgeusw1xi
yjBrpANjHA17Y+C2PjBDBtxZh8X4GnsuGwQj1Omu1bbadtFjXKqu20C/8p9TCkwuIU5jO3XrFCSR
Gu8CyU5wAGhQUlNE4+eHByeoIEQ2djCYcVn3K6bOziPFF9a4Kocp8zdkQfFgtBaT2k1feHm6sayC
pM80yWtm++2jNUmMuWU7PBpUs4DRFFQl4XLct01pfbOgwDxYZWtDNzAGE6SanEjwOsCiu2ziXj7Q
gdyWaUT5i5udW0P019qQgHqRNyP7XHmgsfgVZPwz8qhsm2JOWetWGf3rhP+C8T+H613kjAl+inh8
oMuQwJOCQ0prHz+IxyKpZ2MdlnJp8I1Ut45tIZ4gk8JWjLWpnwBIyi3ZPS7Qvjs7bKeNs3b9iIvU
qC3nvi5Ec6vCwrzJwcofJsPJE4TfuPox4/i7d+ek4i5fee6dCVuWMU7eJPkhbivxzY18eabdwwWh
QBNHtGqgaSLRJFqdgAgHn3Gq5/fS5+HZUinD3bM3q8XUM5ODcieLa9xc99l3Xm19v86zmJ2Aqef4
0JhW8DkY7bLA8RA5gr+klCWPlmjnO7Kz6kSFA2m7Sjdn1nY2oMY3vxobFt3GL9j5hhIbmWvE5ePo
1uo0Ys2+2EPbH2cr6n41nb3AKX3WzsHzKyyocB1/ukmgN3XWbbhDZMm6ddv8QGJPnRzW7U2viuzJ
xq5xMiRO1zmduq88gd64nnEV7MvMzA+JrcZ8M4a6ehclJtpt2KnixhWJ6Tc1mN/S3vIePU5nn3Op
1NMsa/5Rsw41YV+94g6l5I2uM+SOWDUGmC9z2Hb8DJ9y6N+f7EAaPzIEjWeDHFewznUt423RRNdO
q+ZWFKmDesDaAomxs23QCW171ZbKzqXgnURQLHU7rrq6Y840wZx09zYzVls25F7eeR2QgkBxK8G5
P2Q3zNwpmXw/kcDOgmJ+ROXmN8LhBrNs7D4ibuXHzBTRrcHzSBf46GD3rLhq2EW9rWtoT3M0BA+6
n9wT7xYSMKqMjxG71Jo3X6OgT7ciLlDn/dm779Q8X6dRf1XCgZ7cUX0RFdgpE3+6c6kee4oHa9jX
haK8M/KfJsxLIM6ypZuF0eWxbUwnAQExxttEmu6zNfB9+a7i4ZkWq1TGc72qycnveq6vKDQdEw6D
oqljy7H9TUWFew1MExKLDTj1ZnOg5yaQOXSReuQpVv04lqe4dyyCUX7YYBYY6wvq6mdRpzJdlW3j
PEShVHeDW9iPI+OMt1x5trNKMcK1XHeRb6KOV9NghgdWVbop49xbhyYzBZqO5K8STgFRYrPqoFUU
DZgIxu71kpEdJg2RQ4bnzlD5dytkywLXwJElYsKZCjngukBtwWMvyhf01Pao+fluo6otDiMAy42p
TGvrgSEt9qbl2Oym4Yho1bb6zbUC6lmDudtm7uT96ilXO1N1QREj2/0PU0UmENkug6GGycQ/AQfg
IKsSdCtr7rjBSFD95wb/MqyeihwDag7j3tJ5Lx2bGuiIbMgxMBpekcxIYCIyx7jDQsQi56sKSnXb
RE8OaMcdzvbhOaaO4KsYpvEDtE77jPG4q1dAjJf1P8i7i0sreoFZBmJklaJfrlgVcKWw5nHD09zx
QCywGPedp9Bh0tZio0nb6I4yAPMjs0hqbocywGBfT2xcU+67xwBbGQwACy4GezA0lhLiz+TQr7ZJ
8rA41o0DWbcMJZCUJMim7zATJLpN5O+kLNnz82qp33ZNsHJFII1g06p4vuviYDGIDjI9Kd9tTuHY
aAsg2KQ+MdjCJ3RNFD98bAW7lYzLgHJFfyINrxfLCIM22miSiF2MeKG7FLy7nVVd/HHk05CUA3fZ
kB+EC22Lb1lfo6PIPCVVocaCem7DODJk13QW1s3yHwYeOnrDYvkNzdbKsDRKrdY6d5wvapDy+xIF
9ZHNi7NLxna5Chy29mNrapFulJzHV+bNZAhBXzyHy+1Key24k9Af27WNPrgd6F7YjOCZ7zy/l1+p
TZ9cy7hvB4kNi7dNi0uwc3ARrH2Gw+dZm+JEHHi8n0wUb0ssQ3JA/hgua7kFoyV4snpCp8nwaBtM
RqNm4HbdvHZGXp+mIM+woeYG9jLRbIap6n+K0knuOo4T94RqWb9mEthKmfkFxpOkBop/w7MEcZIY
gflqGlUMsSRK79J6kNuiNanIos6oideW075GXTk/1n2fX0DqL1xPYWxtGehjJpT5mZU9DsPSqy8a
Kv8DCdykXpfxEG/I1cyfWKSiQ0hs7VjPBSa/Dnf7UHShs/uvtf38d8W0CRw9Ui2unP+gAOZnGL1n
79M/1L/8/R3/zR3kyz8Ulxp80ELgrrDdf3cHef4fnLXwDAk4ZH/+Sc5wO/rf/0O6f5gun50rnofn
2V3KuP8GbHMohzGdxdbjOr4A6fafyTZK65/8QbjsGGFYjomsaPPB/hnY1mF48PA0uoeaM18Itwkl
fuVZFJiwUsRMltMsY4bJtnR0LLd7wnzjhVuXCsR5F/qB9a1K8MlB/nZTfOA4fhgwI5itnaEdqz2z
aeub3yjrLhgG80EbhtNeLRLArO6Yv3Hp2yS8DiwyqC4mKYzyQgfVeJwajYnFCSMErqANnxuGooAV
jKylI1ggjAnci16nutfSJoBNz7C/ZaiAkpF7N3NGVuwJnk8Tt0o/LTmppE1ff9K5UA5wrxvYTXyz
pHGSxm9XtS3mixM1JRogzmTOl5kHVDLTB8VU7aGSsTzAQ4WO5MzWYYqn+CBx2K1zYyKxrbMJ+zqR
qWfa67z9IMAyoj36TAA16qVvmRCEaE7NUH7WkjGC7G1ZvnANwBwSFCNNfxXTIMH9eCGfxoSRCulZ
5kVCtQpPIBT6x6pn2+QyU9jhBeE1GfZErnA3A8IMoc2zxIWbRgRjuQm5j7PlFEnb70KBrwk51jfE
44xJbXqoQ8/NH/GckUidzQqvNmttHRzJb4j52JkAVU9BP9D2UySB6EmUwprcWdCOXzGdVFxqdN1K
WtupnF9lkSQxTk/3IiLO5AZ3gdv0e8Uy92UWZcjKX2p/n9edeHECyq/BmYXhrkiaX9ChOWUgE0u4
tZeiZrC+sqigNIimviqXgElkBtdhhI0P5xU9ox21f2fVA66HKobslZo7l7wVGJ4AVb1yzGHf2Hnz
hVVaHQppRPGeJEcsNlkBoAwErPfsLNbW1aQKd9rQgeA9ZcKATEv7OxplDK6kabOnNp2qDboNVQxF
Hu0ZMxUnmBp6YzRoxWbsnTDQ+dtpFvNzQCPIrq8K+rZRXRFdDa5sgqye163TommecAHHHEHd5gGK
QrAbUmApK8b/Nm0fNa6aoogUFl7Nf0c/G7KLo0CN8LHqzaQzfakrbueMXez4mVdrBxmE3MWaABmD
nQlH9hEPwVASv+sASS02VkgqR7AF6QN5tR56E0ZVMgsBHUSwG6ZwNQ0jZY+zMXB4ruly11q9MPfX
j9VU7IthkTh8Qnia1tkvR4JxrT1VPhExa/Yq6hJ+7sm0XwK4P5Tf2sfMmLu7sp1+Fh2GAdzhUm85
cbaH1EiSHRciI30tjcF9GrCXpGtB5fwbtlXRbMlRI+Ezm96N49hBiimtrWvIbuv0FQnKqq72M64g
DGlOttbCSncZSNg1OcfswPDjBMjUZYXR4x1Zvw5WboOvqAmzKxUT1akpk/xEA43/EFpV8G4PfdD+
m73xz9qxP/2NAEP/un3905v/SpqL//2zz/Wv7/Gv/1c37D/8rf9GWX/hsGD9R3vi6V3r7l/+57su
/9e/nClHI0L0V+Psn+//Z+rf/UN5pmUTqhfE9Tl//S32r6w/4LVAD8WZwv/RhPZ346zzh7B8R7Bl
wjOV/rKf/rk1QjlFaJeCoZVNMIIz6X9mayTihjX2791oqMN47l3oqMuW+RfLLBHhUHQg9Pc6qM0V
rhJQT9FCfcLL0t+XzIKKrR8EqBDCIB2E1G2nWw571Xka++AIjLzaTZFy7t18jDbmNCrG3LQ+cTfU
W2PJ5K1LVoRiR5in3wQNs9QhAMNXFe101JxKwFoxfBz9jOcOfsi2qczoQAdD9SBYbb8zkCJiRIPM
XouBqDEtzGcOvP6RTLC1suJcU3JKe5COe3sJGsXvnl+72Hsk15WAfpSevIHlbDzC6nvwZnrXTz30
rXIA8IgLJnkCftHClfFo+52Rb7meF2P7M1SLYMFVVT63uVHccDHG05lAQHyeSJpdSjkau8ArAuo6
7S87mWdGpy7nfLTIZEWfFLjkgFgN4FI3+MycFNPsbMtzlfTlZmxymq7TPoFF3FoHEaTOiVzy9NyR
sTTPDU4aa+1n6Dy4XZg4YSPUzl2OsZT7adYt3TDB2cFQ94HjrOfCVxrExQyB2YQLo9+Y9c8iydPv
inv69zD2u4Npl/KV3N6o1iZU+xOSI22zlOG0azSA+rMDt3eyWFjlHhEhNZEPGuc4GEySwXrGxrMB
OHW8m23gzwxfiSvBPJkP2ThzpY+h3J0Z0ZfvBvxWsix2DyNQ01ocm5Dkgznho8RlVCJIWHW7beqR
BmZivuC3XZht7PebaPmbFsEiYmVxJ2+MbfWvauC3sMHYWL6ksQ2YmslSGX5rrMHDt4RrFqKf2yia
X0wN+89OvfBBc9Y8+rqKrg6TTmq06iW1DfoLq5JR4ymrumi6BuHSxFWzC9h8SHmt+RLfIYJ1Asco
AidoAnjuyqBePKeIZ0f6ECNqzmc5RrYx7ZgGwGctXb6mRmPJ3YJo8o01qNQi2hJZkDflNsG7T/sS
09wAD4QzCgnhKXaSDUAA391Zlcgv+LwhnEEteyzwcRFs8PFGQL3EkA24J77FRDp+OZg54JvhnZqQ
R+AMAWnIAZvXbcfMlVrXle9lXXdIMG98UV43vc8RxDd82J6DCCqsX6Y/eDzSoVNUjArB7q4w4uEP
tGI85auyh0YGIyb3KJNI8byR15UF6nTv2AffoZeCHg8GL9conimFtsmG5miEoxuR9O8iWJxe7TxZ
scKzZJWGZuN3GgJsCY2rECQQsX9yoyyOTB8X1KCeGQRUhFdyOnAD5yQmoukrhAb/BtP3E5CwfSQk
7XzSdpsdTDNrwR045WVc4t+zqOwrPxSfeiyvHF/IkofvtuXFR83U+lhOeKxr2TFSytzWf1CpL5/g
iWm+1znCkKYHjoj8MLN2KUQakBnp6VxYhD4576HGtYUHOXzyCZNvZF/6P2tZcGMfW6N9oRUs+ogx
hHyEQdIDQwimJfQ2UEO8jBYnR18TrGQt4GGD7Aq3B/vNqBnKrlpl0eWiZ7O4MPehXAFvzRsfBMJT
ZJrXJhE2AXWfaHNabulZdymQx9Tu4ejbxr2XXdrJAhJmhypZ5R0DYdXQIE5JHsUoJUM+3NklLcAi
BeG67gF5Aj3kNKctSqA3nlp+a62SwYV88XhAQgAryoy03I6lF1wwx2YKdDOFkKuqVk0JrqM135nR
+N9gp9FH1ICgLObsEVvXsA65Hq1628t3juFNeDWcrnx2nd4/6zIbofra8WchSSh2zjxtTSoy9xb3
lmOfWPHWaWKPAqEiPcjYcDaZEw1bp2LAyaMOoW5Z03PqYjdVi2HcJcX9IwsbnBAxULK9M5AHpsIn
vjdY9+606Qo0O6PeRE7QbzDgNTfyfvYVLZKGcwLzZOWRsvbuENlXt7PTZ9EY0U+hcoJjdCly5vek
z+hkTA4mvQCHLkdzze3QOJU+WrnNNLYg+YztdFMOOrkLHSJkW2EN8wcGvuaQkGm9ce2jLnhsH0n1
+tmG1XIpN0t8+YN9G4pZnUJ7dBwuTjNGaXKDIYUonD0BsbXNlD/YQTu+JGMR/UqSNLx1iRU8y5Kr
KE/H4H+EQ5Mgodf2vQhl/T5o7X7Hvl9vyBdTQs4V6gDgYFbcjISxA+5oA2frB/WoR0tdsnp2CZjP
pPZqw74Hl6ZgCSciwPeOc5cesAG4dYyBIKK5tMVbHK7gRpDAo7L05qhGb2Oyjb+5dnRCO1Yc3UvV
z+/0HArUJ4z4+PNB7nLTHMdLFCfhGtAmdw/Tsy+zp/sfsgmTnWkTIJvZxfa9r5Hyw9ij8pjMJkdl
YXOCTa3yHusgKebZr+RPqy/y+8hj+U0bCtXWlFRBlui85jMAILMiSCp3WG+N0+zN3U8QntMO0aV/
qrl2YTCyyZVYKvROIYmydxn7KDy5L8OHMI1MvZ6yOt5VjmOtw9q1oGXbNrsBUhiUEiHOvTaHjW+Y
3b6kQm2PgMtKR7dcfIxFmF6KKhiviRe5e4yhyalxvYqfZlt9o6CrRrZhOhbmoN0YRDa3wannHZWY
6rlJ/P4a9UAxZ+r8Nh4Ug7OHwz2ifunYLCDN8TdTE6qsuvjsqx//tdOt5b7w+f9XbbFwhe1J2/x/
B9veU5BcX/9wOv/7+/4ZbROAtKTn8RGZU5lMq/79hK7+cDi2S5NaAc7iHJ3/HF1Z4g/bVVL6JNs4
qP9O2P1tdOX9wR947p/jruW9/lbf/A83rvBn8efbf02YuYoa5L+cz3looXuJxcfPA+z5trmc3/9y
To8C8FnMpLC2JA5YLhwcw8xRjky2HyjnvZkC+SgmzlkwlEwm9HM+rk0aa+WOIE+LP1kNF3BB8Trt
GbATKaKMsfzWAe7KcZStyWU4m8itsqOCmPQRxR2idBJbLu3gIboJ3tOlZtNzEHgmTf0ZaoB5CzJh
7fK2mh+kxdKWVZS8JHnHVwETFwne7catmQ4HIy/rnyEUaibYaRcs1Y/+JvOFd2+2XXwJPfpoJxZO
FOuu2mlpRVu71fG2odH3nFjCX8OPJ+4mGDtEieV/JTjUgbJWk7kTTcAhe+rMJzXH8UNakkDjN6M2
2hrpHbdbKtwNEcuNib1jJ2eVy7WV4ZvgKF2/Zxz7wR6EcJC1VxHUC3uqRtaR3cuVcDrvEdky3LhV
WVyBGJUfJi1a94D1L/aMCu2bd3NBlApmwGGmWq7v1Xl2psfI6MhU2d2VQlvYxSWLtU2q2aoJbblh
fRy8ZIS9TRybikVDl8zQxqEF3Ri4z62jGEoWEI7MjbDjR1pEzzWNO0SEIfUGOd7VlVd4KNh68jlp
YdhChO9k8W5YxnQ31XXw5iejc0xmr7xSFg+5fpaG+0zFUHWqk6k5jK5hEszAjQQe26Ks0UMWXUlf
pEdXj+rQN5U6UCDbf+stBzdLCaeYQO6MR8UyBDQz3CiFrIzPxmqDdZc6kikcEIlVlw/q+4Dl4sy9
knq/MMKCg0IOxpP6ii+KFnDn86rkjFVw+iu4iexNOqzfeke6YONhrWfCTD7qsvhBFkv98P1Z7ZXO
05tO7f6K2wijXUwtMxlz85LHlbokGeSSSmAfR5e5MGMMsdCP+a6uLOPgm0O6x1AtHxVelBjjJwkE
7gm8oh3sKisRdPe0tqZ32WgjqGHWHSkj1QK8MVcFdsJEvXBwishl+kN0JEc3PY1xOB710IirFLRA
bzma9u/oYAMIHHBaTAeTfZ/O7dugl9AS8fADlzrruTE9nHPeUAwPUBvqt4yq5ZoCmhnrUD8aTnUP
lx/SaDBojjS2UA0GxdTYptx2YLNi+aAoLR33oDj5NLnjDtfedfWLzbWGWBt3bZq/RxoTGyRTe5X3
VnGe0c3XFjn9k0qogDNikCwsFwJTGSjee1ohsEbOdnYdcHVdeupcrqPoPfq+uDo+caARJzttqcm2
4Wd+mssOCvmKfhwpEjZg/LDbeFTomcS+jbMOYM8tlQKF4JNiTcNYnN8FGFavDdmibUvn1xYTWbZh
rDEeFFCDat8aQ4l/BFGb9GF5oRcqWvdlO1IzqyDfe3RM1ojOWXyRSSB3xLbcC22a49lEXUB7le0F
kB7tQEwR35wSvQixjtLDtZy+lYHN2cEpOVGJWssPIWcCJwPjbEafNSJpOW5iG1NqnMG5V7Hg2ZoG
nd4HYTY8ep0YHyeH4T4PHACwkjzZhiV1K1R7gCpLTRvIjwuGf/Pgp05/wmNSXYXr62vsKOelwiD/
QvS/+DlYZchVdSyYrc+e8aSmTj70SPwvZMMM2PDlkJzbIWlWcauSMwIGL+ncsn7lKcGzQgzli1OY
YmMQgH2Jmczwokg76i9UNm+BeLq7xPbFXiZpRM4oGqh+CanzsmtUTgOX3JOtMO7RQkL9lOUN05Eo
pXUJNR0Bk3YJDfktfCtsL5uQFP8xqTv/NTdqtasa2d0qvw6uvBkc8eyo13gQeq/DOtpRAlHdS7fp
7ns3yz8mxRzeFlK/kVDx33wixNfO7eM9o5IYcFEqebW77XaBkbprIrzyWKdUNYlKa8JzWRrRm5t1
p7K3qyXbXx/tWehrWVEnmqTxp6xHj4aX5lQCkt0rdjUdFG+lNcMQmDp1C0FxhBpwrBep8BnUc/+T
YsJh44KE27f1kGcrrH+V2Lrw4BeEWUQVQ20Pw44WZww3LXOGS8mdfz3bJsaGjvwDN1ueSOwxByfB
8ry04NnWaz3VJ5y/xp2gYlmHXr5ScXg3GnV9YKne4uHL1zrR1cEvNUGAWlBoN3Ktw8EB33YlOEdn
p9TCX4FFqdWM0zt8C5K52S4Funhk/rx8L7Rgb+sRFH9U12/mYpHsO7zja2+wuILNpjM81c08bTra
ZreyGsg4+7q/WUbtaGDQhX8gGTuBV/Fc5uGjvxqSmyKnucoIt13Nhv2s7ChkCLjtflTepE94pcWW
QiLnmakTjhwacO/QiqzNVATlRjT5dMaism8tZj8usa59TkrjVYzBV8qmlengPYIdfxg0fHKylQd6
FlctPlS69YKjT9EfKGIDK56TwkFJCvPJnvoGCyRxwYdI5VO7kp7TIeozgtwwURQ7jcIOeMM0fo1B
7Z6ELOoXno/qoryS+je8qGwzXfEFhLg/eLJUp1aW83sd0SJsRvk1SMXiApygifY6eOIXoPmZSnCB
/4e589iSHDmz9KvwzB48UAYDFrNxARcRHlplbnAiMyOglUEYgKfvD9ndnGSypmq4mdMLclNkeTgA
N/zi3u+2ufLf0d8jf+zahO4K9zn/Q2wU3WThgl3qu8KpzOuOpcGbHs1xPyZxA/rYGMcm1HbWHW2v
Z8eA4SL4LA2H8HLDCFh95C7pLo5a/Xm+TvegGOFEe1WanCq3Mh4kgOqU8D93PFZsBEy6u8qDtApt
74H6Iq0uRWwYyc4oCxZ0HAPb5IRvZQFUT6KQvkWxoM6smIp7SF3pR8mJMxPN7JFpP7X+pnO89Nkp
y2yfUe7izrasp06ORTgRcA9KIJfOsYwIjncyxAlGnbKzW0PxWt9Oj2YJDWyQunnotL41YGFVDau3
SXUnCDP1bpgwLfkmY6+e0mLb4Qrdqk5PP3Q6TZ+6sX90qVBfZTG+ew2wpI0A5niL9NxDnTr0x4X0
PkTpjr6WDgmabWOOV4xF1a6OUBJLZuxEP/B66szBOTut/2QvukQMQ9ttD8YaVVJ1u4SRHwugLt6J
QlRhgp39KmM0cUvGm3GIam2w2yr7gxYWUaR25ZErMEc/YOM4Ib/R+FDR7HIbhvIpFbV3SR0/vjPh
j8DWHvvQyEoL4lLhPcYyVtdOxatzm9lLthNuD0EP8FR8ng05hp3s45OaZPsNfuu0940mumNJMOxN
XTNR4Yja1F0m4IanYAyKyNnHrYFLBehDutU+oTNI+CaxB5LW7hkRG+Qmp1ruEeIlYdbLiIFpro0T
qbcANLEDQwmY3GM5edZj1AfJHuGIuAyGHR3F7OaHfNbWS4/Wc9PYoEFzb9SntIjqO6mL2doMHvI4
Ei6M9E2kqj+2Om8eTMcBmWSn8a1L1CZ66sVl0IVLmXPTpztIPXvvaj8/p1bpg2TsB46WpvpE2Olf
PALVn8e8Il4DPNC+NaV9XHJXnIAtuSFLSPNUjY0FVSsKeNUwPwKamJP7CUDmujP7e2F2IXWqeZ3L
Jdv7hXo1opphEEkS42x8qUY8zYDnxLMDEXHj+SsEuKZpaTzZQXczJ1TYaIUAlDP/ndwUcV8H9dAb
SoOwqG7wCkKmyS+Ax+U9sdYQO3AaEd9gkhvCZ6PzL/ufP+jTbPc3icG/9Gk0kb/2aST2MB800+Q4
sarYGI7IcbcEyCUD2O82BDUkUNp4bgN7evIRCr/N/tjc2skSX/mEX32JUp3tYdkjFzCEHR+SAc/K
5ARLaAqD7a7MUWFBWb6rUChBKIAOCHuPO2BuA5dSwiAp4w1hhkEAR1GN7CD66oC8xiVVM7/y/dT4
Dlgh3jnGVN8y4+mOxF2/DG1HnHTfCHJ9A+vNHgZ51VsCvVQb1DvJ376tcgF5ochZTwpHISds/eWk
Eim/UqnHB4HtkPWtfq9HcTf0aCeoUDYzA80dGJl5J5Zkxia1Trzz5Todc9h3uQ//3LRUQHwQInGP
xadCW23GSvyw+xbFteHGgMvmkqJwj7mnfl3ssrB3TeojOleJN15HUs6npKXaJcHS9u4JjR1vO+iH
rFs5Di5zktsfYjDTHw0W2V3jGnKv+8RmnpnPwcbAaLREHrqFeh69K7cfjKOw82jXEWaEpN8f0mWP
D3X6GDskWwnZANUgsKGpEqH51BbhGNM7eQ2GUAfAINIP4ZPhg3QABqpgaAXItdsjukhvF/KZwiqp
MD3Rv96lpmIH4Uxj+sAPPThNwaRPECoR1JpU2Exyu0+yPSgFS62np6REbb6FM9qTV9lWJPf5llFf
22udPf4suYuf5be9VuK8hSnKs0Z3ey6kHZr08uC4dJLcsnaovyOF42zy1/re+lnpm1kwcT5Q/2vD
7xk/0RMQOBeApKJPGAps6BsVG/5tl2lgEthensq1wVA/ew1EDNwgtbYgzs9uZFgbk3JtUeBC0K1E
a+OiVcLL2tP21k/moN07Q2vs4wQRe/Cz5fF/tj+WVFVzJF5hgnrjoWlTAg0C1g5ueM6Di8Ql28bC
ku9NxewxQPtLyPXY37mkJB9mKG4Lhxj9FiaQx0a5jD+N5sFgxnlEwFxfO0ZTPyAhcOH/UikbM/gH
qFrpckZo3GJWWNGlUF69zZANzTbxKcM2Pvdhm8Sm9YowRGwHcC53eAbkS8s9wF+xtoz52jyiq6SP
zDOVX5K8Z1JAk+lWWBz0z87T+9mFBmtD2rDpP7Rrk4oVsApZvSF3oYPF8wuwbG1qy7W95Y9cG11a
XvSV3gvrmfHOWxtif22NhRH7Xyq3/TJ1Wf7NWxvoYW2liQ2uvlZre+3/7LSXtelO1vY7WBvx+WdP
XqztOQh2aOtry96vzfu0tvH9z45erc19tbb5y9rwZxzSZdTzT7FhAzT6ORnI1yEBoAR5FOvgwO6H
YPfnJ6rFxv0PBl/UhhCdbCkF5PtfD9SA6N7ZnWb/gDL1cXlz3tp346190DfdPc646haM2J9/ostS
/fdPJGQzkOzpA3758rdPXA3Ypden0WH0/OhbUcMUREGVzTeY5BZ7S2HYXKm5RZXBNDj5Zoml3zfE
TH+iO5oISQcGGFYZCct00RSIhMM4vJLsGjTFYWEX+Nr1jfdEQgAnt1fVGqeNuxqu0eOo49TW7bVT
qvwMvmY68WLm58Z0YONJ/2GYFp8BuhHTO5dZWLgWy/dOow6rxfLV0xmmdh2xammFfyBOznguU62u
h77KMaLiPmZ5bC1XI/XdY4J1AbkIrMMd7HK8NVOqXlwQAfwcS7t4/YuLugKw/o++gPmlaxPSanke
U1TX8/z1ov8yv+yCwKHXW0OJet89V3l66u3I34vZCPa2TbtlB464M138HKsWj+z1dGBZYEvrS+cn
CRl2tYx/zOOgz2XhzleGb3V3PkPZN+q7+sXBEDOwhtsPZrA01MD6QZV9OmwIosz5aWYOOz4550ez
Z3awiUgmkTsvNiTGHKRme3De7tkJ7JECGYD9O4tAvH8ob/BPsK4UP5Cm82rKfr6mlp+vLLbNvL6S
9U0WrO+0nxfs/5vo5n/itP6nzBShyp/ITHfv5Xv1N0b1f9ulwz+N6//xf/4vPY39d1C9CFDZ5fyU
zfxDairNv6OX8cDU/dS0/BoNbJt/558gLOMBtC3bD/hb/nteb/7d8RxUqMJkpCmI2Ph35vXB74+7
8H0HKzosONCXvjDXcf4vj3ujDGrYynKZqqSfgwTOrMjZwmWVRcj/zMzaF7OcNqMRPaUxL4PF+yJp
TIbgKxgtXv5GTKTS8pIP3qFJRWiRGZQht1bnHnD9RBZjvOYnavOltZ0DXuewwfuXLepoNjBfor1b
NFdMHRjDhx4JZCyLr4tMHV0G/Lnn3GM3vhEenp7WvXcj68ZF5eHF36Y4CWcIKH7RPtLMPC5ThAzf
AWgNbhoiRtF/W4rHOcZphwdPTF4oXX2RjX8aAGNZjXtTudNLAwqp6as7T5ikVM6HomSLQKooKQhP
TMn9HZGoT50XH8HG3ZaRy/QkYZLdCXVcAFRvsri472P8oA2bz1SMX3sVPJm+elu9QLQv5OVFawZb
vvfL/rsB2KltyusVWvDLk/cHxbz1+87l502UpgzQQlg8Nb+9CGa8QF0CDWtftO3qkduUsrxme3sr
5vlWYnzZJEkOh1vujQGfDnfmz/+Af2kmRIAkTIKcEGx9TN6o//wU4QNDZmunDG4rgsWa9BpBQAhq
xNoQ6Cn2eWKzPYYJtyacZu3yAv2EPC9L0DF6IAHl5mN2ehUunvK2xLGkobQInMN3dD0VOAPbPN96
6IZO5jpFWTpEhwL4MUMdKuMcJzrT6mLP0h1wA91XXUeCWZFz1VJpbYgwNWm27O+zjiAqT8s9RfaB
FEPgGLb16rT2Fcani58NV9g5CC1DuXP175+R/2+qw//r/+p/4DHpeOz5fnlQdu/9+98+2Ab38w25
7//7f71+dP3fNh9V/F78ekL+1//vP4/HwERU7/qs1SV1DOtJVqT/mTLki78jauB8RFDvmPw3T/V/
K/Hl31HtS6QOUgTUWpyB/zgeLaLTOYKpnCXB69L9tzid63P7azHAVpR3qccbnW5Echj/83Mt19Tw
AljeQSVDDiw7I8c1JiJWpKil+mo+/XJ5/uiH/HsNyee5OBJciQSTZGv3t0wjiOMRI64AUgl44ENs
59kH9I/2frSYyZKhrHdlxBqGojYwOxBDIzAkdiPDC3CCYouzx8FniAp99xd/1+8HzPp32T5KCFOw
REbx/M/XYfWbU1eWCOnt4mvPsGNn0X5t5CIopd0z2y+kyuA/QmDK0y6ZL0IN5l+MLNZD7Ld7wfIa
fIDJu8oBE/jPfwMmcS+assHnPYOHAe5SdPZxED79+Vf9gzvu8lWxdToB52nw20kmuchYrzL/4NTi
KHL96kMaPeqUcVqrO/0XF/YPvpNgXe5wxwUJtb8/X8pWljlhkzgEFfmtk49rgl7O/otPWVfuv105
ShAf4wonNAXFb0+VzWiZmXtEF5ZgeWgZvm3INX8grun7v33x6H88/C98H2qX3z5IGAtXdH18oxQe
Q2lknzpdYGYRWkIY+1+0P39wpwKLSoisEvJWhPnbh02DW9eyc+WhdoiHZT8OYm3ETFYu4FOnzDv+
+Xez19/671cRGbODNNqG2bSqn3+tlFJWgYuSMfmhiLo2aiToRvNqeSisxDvVZYLTBnxJmOD7Oy51
tqbfltE32BmkTFXQnYCxqINTlePOyT3yGkzUklvP8YudYPxyxzagbHZ+UkEiHbIKNxrDJGwwzZKM
m1q3mlJlgVkkMo8MyMy7V2g87//8O/5LIcHvnOwXzw5s/Ef/+jxqIjY0qa/yEFeJfcrQzZ3mUUDE
HsWzMVdw26OOuMP4UzpJgy8ut5907Pp/can/6HnF9GSzCpRsmH53P7H6dysRFcGhYG19Ylh6UyFQ
YxuFT+fPv/C/flJg8uJxsO74lJG/31P2ap1GAUcQGtHx22nAQKPq8ivFlL3/80/iyfzXBxZOkGlh
O3Nd7GM///kvpXaLZYJVYkeKED7JPUP09Kg48e9wLE8PnsGDYLf9E97icp8NPfCh3jfJiPDgBBMU
N+kjeXLFYZZyZTQNwntE+C7exdj6R0BAfbF1IOk/Bl3vXkNkqK9yfAAYfQhS2jQWkuGw4OajKiYv
yyzlcDKJBTs27GNg6YBjM9quxYHS2ntHqAAO1rDWb4KZdnTQvU3UTMmYckgycVsJawIsmnQey6rJ
xh/vp7eRWWbvQP7KE6pqvTeLYDkSxc3MamzlKW97NrLO4t5qmy++dBA+jQgYHYHFHnQNO7pYpK8G
+Hb3RdSUQHZStYVgWANuRLfJ6qVh3Fs1735s+puYSaq9SeaWyU/N8FBW47xmWEOsN/vs0TCb9tY3
UcoAwgOznKsJiNeknfatwQ1wgVcavSTBkh5GxsPfPb06ZSPT+YJJ5rUq7AByn1F7V1lPqiaxlTey
THaQVY6Oa5THarQILlFjbD9A2mZz6CSef2W6Tne7jNAckNh5h65V+YGv02z9EW9yVLQAUBbilc5j
nbKM45SarwN4MrBvcxBK8BkjZqUD9tRD0erxg5KJawKX4ZqpAoYiJiIAR6OIS+bYA+A1t3tl0Tm+
4NjIgEqIpgOFpMzghbKNBSXspB7CaukiG4SOqJlpbBXOiut29HCztWbEFj+Gqb1tF1790HuA5myy
wq2HXT762OniQIWVz/22u5HLNxqdeCeXTJM6EqDmN0cr3buNEF+Sxp6vGBO5X+ABo/JhQJrcjnFL
SLQ/5nyOP5gdhMmoYx+n3JmNY17q4AUAUF+8OA5w65HJ7/dWZHwHGQme+GDMukcGRznI3kQ3KPBV
dC47tWXrJj+XGELVxmSSEu+QBkXZgZVqtmyyfJiv7bxsz4vXezXzST3zE4rZX4NcO9jsom0k5Xb5
zXNQAq9GLJLcXdWeVMCq3Ynz4Yigabp4i4F6OXPj4FADfVJo1MoSLWR0kw9TfATdQvoAKAX+3kQr
/PfMuz3CI0HUMqw30uXa1iociFs5Q+1cMwqq8tGpcIbABQvxFyZPzKEmRKtNH3b8bUdt1HEYtKQF
0qaX3N+JeBdv4vkowGyxgSsG2tgaFNbo+PLKmdsPuJDtPh1QaynyR74GUYAIiuzp9mRYCvO8kaFk
sEcSMa0FwbABzXrXFmSG5PA0YT5UzIqnGaBVpYBLuCKG3JyW7wQoZzdZZemj7yg25g7DQEbFWhP4
YwJN5RY/Rphnj/gtaLvmMTmwpAFxmiXq+whG7N4OOrRT2igPqhv8fWvHVojpCM6vTRb0SIE4LZZ7
FdnskKY13E4NmbsZm3NMPjhIM7/tt+WiaRS62CclLHoGAwoyRVnxrZHP9hXr8eAdTIxDXLzo9yD1
HMGeTA0r1JFoOwSHx4S52n4SUGaEbxA9nOPr8RqKY4AvyVXcjG++T4K5X5vQduiUN3rAm6CYql36
Ajb2tnH1squr1CWZDwcGLgvQIO7AamwqKbwdsdx0TsvCJ5PLo93K7kIeUfptQuoMhtYm/i5CrdMi
drrrxlqfMggBbw3CX9KfFiTrrQteXyGxrWa5XOIge2Ox4R3qrpzWbBQMgmApivIBJRqJVUnpnTQq
iE2UZ7t4AeFfDL4R1o6nPypd9QAFGngh/NYM6w1WnHNxi+6iI5I//Aa186TNeWu7s3VNPIwbs6NM
ilAVEvt9UeuwdgPGkVZPQwELfAN+YiStqanSULkovIoeYkFWoW7AjlRqKZ4okpbDQMe8QoBetAf5
1LI8sdeoqi5u1d83KTvpDG6OtAxIKZzghyiq3q0aAC0k9clROQcQO2DUmKiaCRjDtoG42NZgAQbt
3LR6iB4qk0kAeycorr57cWtEUMGaa0Yc3hRqPbRfoyDytxIjxha9DMOc1g8zDY584wHgfKskhCqr
iOcQCiFxar4JHm6LvIEBTj1XzTN12XRvM5A4FgAxDooVxtbisLkBoUOYZmsEjwnf94sK9Kh2OQMJ
roZXehPHeYvPFW1dLXdQoBkz4NFArO/VXBFCaBd5x9qfzS6adfU6Jqr7ZrMCN7etDBSmUJBFTL0q
NDh9t3zOcNCRm6/wQzm8E0lXn/jXIRLzpw7ZlMJHIoJ2183FA2f/jl2MRcS7iSkzg9xsO0H+xTYx
WkItB6UzsNGz5hXrzPYkTFPswBZbgk2u1ZVaoumWxfnLaKfQ8gLj2SH2dOvwkr/zoCCGHbBC5kUk
S0sCrzRPLtaA7SLd9tH20K+mZH/XTWZsAoTlx74DhzbNHfv+dhhOA2lZnPJDhZ9B8FCMrY0YuC68
A0eKQU46YiL0F8X13Jf23bCGiVcIYL7UvtvtW5fNLqzuq0pxWkwE+X7yQgLrApTmuHjm+Bwzaq1I
CxT6QxULWT21iRM4Q1+0Wcivo2YUc2gYfk3iVV2edNp94liqz5OOrEcUum2ozPkuVeRRzwsrsjpw
MMNZljG+kAuPh2nJ1T7h3twiNDJPUrRRaFSBelhIoQm7Mvqhgna4wUAVh0UKN9jzs5Sc7GzIjxOC
zgPBvoAfifYCrGreEw/rbzsnsVEPjFO4RMIFxOPG1TlDjrf1JxtlsINEDrDyEtZTml8RHYjVuUdQ
pLeQ3fSWfKf6uz3ZxVVU2XmPkJkrEnhZcYiqwDox9ER0m3hXuTu8zWqqL1M93Uzsg36Ishmu28bB
gm5heaE3vBmcusMo2XXvToeirjTb8VSK+ZDXxgtRF1DzMXXFe7DX1bkmw3OfNPjY48Ern6du6m9w
AEOS4SV4nJr4XDF7fHabhACoxLd3bTCqH22lF97cFAXATep0CwBD7xqbszmvvfiG/Nr43hqragtH
zNv4pU2wnmMSjMggY7wDWvPazBWCFGO4TuwRq/Gs93XCuY2GCtPRMO1Q+PgEW9ULO6Ye8DOgtA6q
0sVGhsdnpuk9hT22uDiLdvNCJAXiJJ/8v6l66TIjDRtZ7cfc/F55WGm01Z+gxWGig4sF209CNwDU
yLsPBQvZiXDYmWoOAaD9Wshw9tibbZrG8M9BjRLLxk5GrucTythy1w452HQtiA2KmwOlPKPfGI+6
l2RkiEGPOzh8/kaV4nvfiuhNsr/bNEjITI1cc8mWY9+0z3OP1IzMpXNvDC9+Zq9ujGXHpf0S9DAC
nMT47qf1i+3kF1Qvj/HIGyotrVuYeR9x/qEwHR5ADQ8bM42feo/0S7we6E/kdSqsi2Evw5a00A7P
jXGteIIgRgeoj7UD0GiSWRgD3ectta38Zjw4Xlu+Ls4PRnFF6KNK3Fo6K7dAG6BKshXjBnbpE8Ih
ElG76lkt/ovXZvynfc+b6OtUi+uEfCXXFv1VB5SUBGIFZK1MnhM7YBtbPiEyJwG4RbTpFlv8eDeO
hyLDtMlJQJqFUAaS3abPMKrZyNV3rmB+kbQ2MSK6DbVXPGT8qk7Ah74xdjh5JPAafis2WImBzo1o
HLIkOrIBGW+rIBa3cyO7j74oAoZm4gTIsjwHqfDCMdKYi3X0LXckjTnt/lPfwslem3x+sobwvmNW
bMKyc7dxVIpQBWZxnvMCam+kk7WU8tq96yAPSwp/IK2hyna+BdsvqKqL7cIX6qqJWqWJApp77R6M
mBah02lOV29Qw/CFM6SxHAVYD3zXrYiv4X7Tt9YbbchH1JG3rqPTrWerr2O5hF1PnQ+2o96UOeBZ
EXHmNzEFvRM8oBy7OFn02s/VTQmKc1NN3PfYaEwwYgXu0GRpeOlXz2bvTluFLIVUm+YtIx9tB+8f
z1P9TRruq1eY6EwV7+y56bhpKn9pbGe4m4uxfJkYhm6Y8BesSGLr6C42AeURiWxNS+xjOg79IXET
lvAMRM6yWnlSkhjBttTUtlJ9rYADHdjC8k1NgNwwDm6F1SISLB1o28RBfso5cW7TmuA5DFBFOMNp
DA3YQ7s5Ny8VPUuY0f8A5IgojojwEba6I9TO24jGb9+SxhCI6KLhwIjlkbxxDLINIRdjfEOQTH/b
tQZAY84O3LWRd2GHQcxQNtE3p5ZqbxabEB6VTnloejTHfqVeHXTwe2QV5M2mylwzSGESa296sg32
LrIiK0kraIAxrLLvE1/qLJUsdhiuyZywhuZo47k48L41b8gIJ+4ChfMZAW41IytjyW5fzLllawZO
75KTv/7SWbX34k/iI8KXS4ZCNR6SwjFfCZzpj8SxG49NM6pvmmf7rle+dyGwosHk5hiHpk/Gw1RO
CVJF8K9iwCSHJ7jagfNGVtymKga0TAAQdV8nn801wmiIeyc0YUrgF2bGty2cjn3akDTDqSsLc8NS
58vcUirGTLy+R3FS7dPWmreJohTqV/hoAMqVWTXGvzwzyRZoK4GUzPPOjernLwMyYBomD/NopUPU
osMpcjNnrzOwmaqMJ+RGIqNazJuzlMm4IwnlPmEQtR1L7vgyB8HRHoUVTsxS2HPr4VDbXXpBVKNO
hHjvyZWdwoAfOr0U8GWiIkaQ7Iq6UjjlJdADBW5VJIi6LI3FOEpOzTIqqLa2dyiLXmCqywmNTPME
DYQ9Hsm88s/EDCLzHzAlOynVPA3Yo+5sBxssiHVv6n9MgaPfrDyG+7YUl3ZKotciXX7QjquHQLfs
37HaAmg0hi60cjVeGWb3bNvilY/tzqTOnhJ8n/suoRzuSP7cqoiRm00CQseNUngZTYPZUKU6Z18O
JrOg0rCYOqbk9/kVj09dN6FI6ihGFWq7r0MMPY5HsHldM1oxfNSoqEgsxQdN1Ol2ziDOMKuonhtD
B1sVJM07mnznIR1T8w71rrNPZlpDwLOpusvt4BtSGlzPtKDbxnAAk7kNGcIY5rc9IAkGTIO8zrtK
XYNpzvdeMAGynZDUNW3k7VvkuQeEwtW26ZCgO9JKz3MC43IjEEtsfFKrt1m1fNWdax7jJZ7fkho1
e5FligmH9w2uGV50UDlbFgTxHphac1s4EavecU6vgYVlWz9wshOP333geuRZqypuj1PsJNcENxPm
VdfpFZFiSMuMnInqFenbRH+7gzPez5np/hgJtbXPBkq7A45UB+evt8g3q4Koi6ZUonxVQ5J+ki+g
5NZp5gz/R9zPT0uJAhVTP54DRLVT7yIgVcWb9sSwh/RLp7f0y5Npx0Ai8Uk/qzl3d2xNHnGccWYG
iojIqEVC61vTzp8maDaV123zrhHPUV5d5f1445PCeS5QFwBr4N3Bb7VYQCyU5H/gO+FbSNyYm4Td
Je7ton7hg9RzWVT1W76enVZd3tRVn4dZ1UiASoEVEnqScMz5ffWlqRvn3IsSx7+LY2Xn4hk9Eic8
Put2Xh7zaGyf0txxL2YZmHttuObGhLC0mY2MKXtXNMXRagKwVIDvhl27RIu36Wd8cLI0ef8SsIWA
fUHsT1A16/1UElWwcRPgFUVP/lwrY2bpc4uOMc95GeB7GAhy9dquAB+nm3fw8TbqGi3zJ8n5czOU
/vChKmGUm4hm8jBwqf1r3t9JHqa2eohEx+mVP6DrKQ/BmEDGYH65aQIzvmgx3LkxgEkmOeO2i0aC
O0fjhoE7GW2R3nZEWeMGsNwQojUcPhBVB0m2ZZNmzXZAHIhWlTCjKRfYyoM2vwjIopu87V5km2YJ
rjjHoEFovHePVuoYjL69xeTW73UATFcu/fBASxnx+y8x8SWGRxpmw1/VJ29osKhuBC5Ew8rNA6OP
H0tHoE41jcsGs/nLMCeooHsYmBX6aEhCePFtVEROgJKuGoycVCWozVVfFVuUpO0Z0MADUudhDyz5
HLlknW15Wqydx1R4z1RnuODMt79NNbHqOywgpUUNPkvsJ+YoGIU2/ZUr1XCQksxxDi/T/wGKMDgM
s928Mv5o7iu/6x9i7fdvPtrGW648fTGju9AalbylltNbYsj8sOTXtzNH+6NPYnUMFmu6FUu8RBuS
aqJvzGCp8JmXN1eVg+J543LmARXrpJQhuS6IJ3TcoqTM66DvP3PXtLBqWtFi7jx2+TUpIRXwwM5p
gmfepYPYJOQNQ7GYB9rgvI7UcuqDuSFzqzRZqfo90Sy1LC+9yLNnhOfR3kr89rqLPb2LzHXjEqXG
17lpthNQ2n2R1PzbB41jXwNJKRvLvGUsIvlXdwHji46JnpAShQn8iTKAJNjaxW2Tc0wntrlh00OC
oKp2QArG26godn2He0o72Z4OiNxv1XwOi3qu+il4riZd8dqNyaqDwtqVO2ktb2U1vSJWQOtJoG5I
ngHUqxx7XtPH23pO03NcMxNioXOKi9R46TQWpiBldsnYnaCVZEnPDdHjZZm4xP7RdbXEYx99nFth
N7oGg5dEOScqWBLuU1V66Ld73or4AXycsqLWANKUDyrG7fSAwNQAZLphq2Lc1J0z16FpoAHcMNFI
Hh3piCuKvvpkZ9B4gN83j944l/VG9h4ijabs2FIz8PCizTLY/V3nEDPFAeYgeY+bFk9STBOp6Fbq
nRO56kzkiEm+JLSeMPex17UxY01TS++N77WEkGHxdrSDQFeHIYJYObLdIbnGeCetpXV+IFSn6CVG
ItiBIia1ksli8wwMgsMSIC8j5NyJnE/Xy6HDaEKDDhk7BF5vzEte4ZXKN0yE8pqNVH0hjUs+sPiU
J892nGdTEMi38wRQBapqV6M3Lbrgyzj79Rq4UVYneN29ybNtpozTPIZ2A4QSwiogBrQ7AznWB5RU
5xnmt/kSmVnzmUs4Ips+6Mpb8vGAkCvi6aAJBG7+A/edeYomINcmm5HHtBRRvMvRJPPeqb2vs3Tl
LZj34lshl4iJaRzfDlPtQs10YF93yJ7eMxEs56Z0Vxa2DhhDFAYNEyRo4rmDphaPQS18VFmla713
QE+PWvUjcicAAne5id4fOXcX3xmLu/pijdBOovTFhNX3WVd2/cISKXot47L+YvDb3xsdVz7jcuLV
pZI8zlW6vEZznbxVhH5h80qj/outDO+dKbD7tejmDjvlgoRgJZi7HSX84kDbrHhEzo3hurxS6mxf
gqP/tBcfQTRzm21lunhwIKbDSsCI+GKIMjk5kzlflNbBlwy66NaUXb0xZz89e4yZPfYYfYMyXEXv
C0MWfgB10X6BchCdF2ptiuqlUIecAhBeUdklYTyKJ15e1cdYDfUdSRnmgWWDgflLKDJd4KzAMzG+
pox7AD4go2B2Y0K6JurygOg+u0HHAXaWYx8ped2Ud6zL0DFNMfMukRYUJZVdNo/oYxVqJnRnXBzB
ENK1u+xi97o4uXr2T2sK5jl16+YHJDgWgzVJge0WeSi58LafFk84f01zh6GovnBg+M3OTblzdjOr
+kCbPNkAV1q6aPL0snJfpQWE5wUR4ncMlfqegbW+M82ofRTgrj9EOxQXMrZzkgQj7zNwhX+J+gaa
uysNY2tbo/MpCAj4WAFSLll/9YAJJvLfMqU6uSkcqbydn65A41m7bgRw1/GOPKrBDroNsjqBSR67
qiC51IW29WCo3n2JZVn+qGL1YgVMRauOimScyW0iiSe28CCINr9bBj2/lyRwYlxidjpQTxGkJxm9
L8euZ6wngrErQ9oALvKARzPfGF6zmOcswTe/S3rLZN8wRenNPPUCrg5bV86IuPJDJ076qyTj/bXL
mVeEegECCYR3LAscFrxsbAJ4Agzu2NLH1iWvkUfCvjEHycBO9j3Bh56M3wfCFvNdrLo3yDpNtitl
m5zGUtUPCTfKD12/c587FoRQZ8pW/qA0ckFipuX8PYO+zXClaGR2bCSJ6Vs2xqS+8zRn3YF0sXUy
iH/c28qg8r4S6wHxo6Hkv4ojRz97/fpmCzx9iIkn72B8WcE5lvM3pfL/oO5MeuRG0iT6X+bOAjfn
cpg5BGPLjIjcV12ITGWK++akc/v185hVPSOluiQ0MBig0UD1QaWKhUGnu31mz+YVk+MBEqhVcZ+w
R+ITMEwwTIeqCx656Ngjcxy6U/M5f5PRECJZdiKInQmriGEcRYeEybPAlg6gHCrE1i4KNs3tQjLw
sPiDO6Pre1BPk22UmzqyqPtQhlsRXIwJGm9bI/0atjboBjsRZpBHHVFhF574psjD5qvE98xT1wa9
1DO6mQ6EyvNAHzrnaW6YOjDE4PBWyLDI9jLPrLcU+g+QM7vkgDtPxm7qi3KHe9sJ8pTaVCdnCMRP
sjwbIsWgzGWYduX4yJnMIBVPkzZsv85pbbDFMzX5SBfV0vrNbqKK629Wb/gHodn+eYrb6mqYLY3C
UpvTGuUt8jRNSlszq+WMP2Vb24FRpTHt23G2qWJANm39rfF6qtj9PE2uYk9c5sx9dyacFxIy8I4C
s9XGPQm+uN8yt4+3ZWu/EJ6ebjT6Jb9qDtKOQapzMo3qTQkrvbfcONf3oKB8xF+7eQKGCeM4qoyL
vK60m0gzf2fE+Nny4us2Lige3KYtbHuxT3znWIgz3a3ruPGWMz3DU07MV64D9zjv6oTnNltVEj1a
eq/3PY/SXxsm7H9ml8CCwhR0CVQY3id/z4KC8BJ/9HaTE3WXvlPLfS9bpgg6Y3trGHUKB2MerZWe
9m/DzCNFKlVs6z4jQMiVzWrKDjyvQOysSY3mJQOmcnSs7cA2nnmzaVyV0WAhyywkNgRUMe+lY1fn
A5C8U9dCiTZ7RhUCbdDCqZUHasiotKP5quZZT2U91THmrhgzbZXgDlo7SwuzkpBE9UHcjUSjV2KY
jKsmcb6mUGIDze3JMmos+GlFYTTh4cUqNXrWb74682cbISXl+MktqitRB91PJraCnxJfn81uHQ8l
5wb9Cm7QVNGyM50BQ71hKI43A6AqT6VJTYekVdPWzzfsAhaPwWCugdz6oGLjHm6tKpxN6kNG16kb
CKpRO4y64rybZ2yArTTdlynRgl9f/cVI+slthcOdgZbt8U/8OYtz7rufXsKzpO596e90Wacccfx+
zgNvHuPDrHU3xtg7656HczBNbXxu6Lp6Z+KlzqS+uPUQ3IRRgsFtB2qBSnwbv353P9v2eHO24y1B
Hx9n6qfvN0LDcyAd+pTYIFQxioz8I21w8jcvs3TU//Ql+ORRlluApd349Do1A2O7DWt/x/hzynh8
u9p+GKRaj9icX00O8KyRWR2URliuqTt1bhI2oeMaYZwC+c70LykiybDNcLPUoiwuO0vRi5uFM1Dz
RL+ru6x9+PVXY3z+blivdUMI/YMyhPbzyaYJzXlGkOC3BzaCRWE2SxG4OuIgVZlUynAMefCzy0pP
KmoDl4LCwtSDuM/j88meaCmVyfQmCPn9P8dUvmdK/de/ExsWoAs/m7/npe9f5PRSvnxv0Db+/Dt/
5VdgSoF9wSUnsHbiCuSC47vo/vM/XBuolOUslxt8lGHrvM4/eFNEW3BJ4lbgmG5xeuf2biv1QVF3
/3AWE+hHKMZf/uRfwE0J9/MtgluaamssyZg8vZ9/bpkB8ybLyA+mPaFPTOGDi+JQFttyTtOnyOnU
M4caOucdKlVXfhOaAC5py9Szpt/L3vTJC8ruliMWvTS9m/oPFer+kzmU7sU86/Z9IijJGJisn02F
lb5WiWZdKAlZp+Sfe6eAhIWnALwd1KfOJn41M4lpG9VdMDkx72w3TagI5Dz4bVp6A1Ho8zsTBW7t
4RY8L2PLuKK/gxHQ0jnYxU5xRr8AQ5+lkbDwRHsugbI90LOVnmC6b5OJBkNP8+nMKRof5iKwjzQF
BOq4JMBIKgONAkR1hvAG7j0SDfccMeoLP7HKXdJS5QieNF9bTCo3ljfSrNJJd9WPtBcqw/PXeCkw
oaJwTYkDPGopX7TiWDsfl0JGDlf9BX2p9rZ3qWrsO707VUt9Y+pS5NiYdosI0Robd2l4zGm8PutB
TwHW1pn9KnERKpmD9hsZT47KfzakDXZJK3u2qKZNM2yTXeZLiaSA1gflpIaTvlRMUinM1gsVblvl
mNPMWE5QHcgWhbIT59LWTcTS+ltZkgtfl50ESTLC737WuzF66PpoeJrisL3zQxW+s2CDILS9ue7p
nDc4ZUw6BN4zR1fUzCdWrD+DSeVwbFNWVpM8dscv6dQM9jYL7eSq9PrwmHjFePA1fCWyHjxE03n2
knWFl289yZy2dn4jDCw4BlOQXoMuO3o9kFhjGoml9ODbVjrOrb1sq5IEpY0nYhTNbc4ocW035OPb
xP02jSkKfUxXoMae5YSLg5ztUh+KsxkJfKkUpbkseah0OA2MsW5MJ60PaT+Y3zTA6atCx1qKmbxR
DBWjCYeLmb4B1vkiliZTCsfx841uSNAS5rAaSrxfjFgNgwT0UoXqurU4sZdPbzAXGOtkbqfzkZX9
suBpVGnZ/RiXdPwMS8cqBg9yiEvv6mTSwLoQE48LPP6MbtGNufS0VhqgdrimtLcOJIUuETInBunO
eN5Q9fgcW9LxNgCCtSd3aYGN6jw7K7Nh+FLgaH8ZQvoLYkaCazQp74CJs10nPqZOR1wno9HQbEbf
rE/2+yW1muaBbGtMV5CynuuloXZWCD2ryQqXHsokwRbF7pv2Q2tptm15uK+IWEQHK656LC6yvhQj
Bducn+vH0BecO+KCMZbZmIjWelEjpGPBpFVkSoMQqYR9d2HABWB1AC4nxn03xtWCyi/ohO1NY3hw
isQ9VxVnWXfWqlPoAm9yqEm9TGYPy1gJyreLO3ne9q40iISngglvXTunLI4YXsE4Nd6pUjHePc4E
7wqD0wkpapTroWhmg4lnD9W3LOuGWRnE4oASwuE+ASXf7LD86DkILgWp1EeWh9SfOs0qtFJxYEjc
xGtV9uJEqRZCMVPFLb4V1sHK7XQBgqD0vKBMcXp3ltsn29nVvIvOM6AZS5biZyzc7HjxLjJSzITE
ezbN1Aqv+xxRm7kp0Z5zSTXwsUvGpcl66XmfOMRdj1pfvrUY9ccgRA36YkvBgLdkvvw8Vh5GQhZE
hgxumbpQXHJTuc9TCSBvRbGhd4/DWlxkjTE8IZLNIKJ9vGAMyKvpTBt0Ue46mLIGXXqJ9hpVo0kH
jqjdJxWLwtv4gJKu9Fp5Jwv1lEWbUBgL40gDWaB15bhVJu2xCDw6Hl166rRnJx4hKmPARiudjHbE
G+ow3dgniVnLwNK15gL2HjbAceyscROZBj19rTakcjeVtIevBlNUt4nT42kBblyBHMUD9arLpbJI
ASCI0UyF2d3WRPgOrpyLrSrqTm5cFUcT9YDFdKtHC0wAv716ZmhLhR5xaaraBjXYILbaKQ4ypWEl
0VsRcqbPkVYikhP9yswz43xKc+fMMDr0XMCK4zdEt/JRyardUXY6IW3YYkArBxJxk2Ru+KgGvz3l
vv2tmTT5IhL/xh5HtK1ZIP6QsKucrWIeBDdXjV/AgiCp22w+v9gfLt+I+emZ7kRuuEqgP+4io3dv
wsybvatoqQ1dTXZhMDdx5bDFe88HoF6622U57QWEx6cFD8Tie6+l1nigES160AG+kHnKbTqk2eoP
q8GRwzsnRrWyFpkncBJ47HE8iBOsctSnzjY43iPuiTNNy7nvJTfCUy1y527qHLbGhWviRTVKfoBV
bFeQwsOwR16JjHvVqviUFQJVINOgUWxKp0yfhIuTFxXKK84dm1ILGOlJSKw/9tvzKs+bR89JcVov
3dJ1ELogMAKY/XkbSL21jsBF1LNm5cYCkm55gxgQciRddr00SKfzRan13DFdaOSPDKfVgTXUeNGN
bnocdM87y0tGwqsQ8gxrb0lqdeA/Tc0jzvhnn79/3fZWiEM484edK4T2zLR2PJiTp9/T6sxDrx8F
mZzSf4jmUbvXaz+/tq0xokBpFD2SGJNxTNihpLaCb5ZFt7tMQ9tAlErj7qHv7albz4lVfdGyqobD
a9gp92ht3YoEY9aKVVF7LZtuwn3q6BKXgF9qNrYYj60C6Pb8hVHAXO8AUlFMjjbjM7lPKuBoqVno
Tx2ltbcVYuO7G9P9+WgMoQ7FYxrcm9RK42jrDojDsk9n7L1ZlV35sTGjzoYwIAI7EsMh7AqL7sE0
vgaZkgAZ9KgalNQygc7OX7lWxBWoNKxxnHc8BfqO5zuokxsKqhg3ZhYY/1XUGNwgWV1W15q7zAMg
SugPdUoPaDAr2z32MVzg1QjIJcIXJn11dAEdTxuyz5S8hbHoLvUm49UHNDv0nSwOn0JnxLrrY3kG
Ps+3GtHE/aDQ7667YUGLkpnuyByX7ZWRF/NphpWcrMjhtTeKQtmbwQvxf3dE4mjuMDzu+CgpzpIY
tGDqY/YMbJ5w/DLE5O61VBlbo8JjElh9hmVy1jt2tMbSnZPK9JIwOakj3ALmy4wo96BBzFmA/a1+
ARaFb8TPs4Z2P2g0q9quk70xRt5LluTWV47BvC0Myt2Db4wD3y/ugDUjh+gryLZ871Cj85BwpNvB
ndFY/DrzIput9JRPgtmTJvJ5l+Lw2POkrbNd4RhFgtlnmTdSPOMfQ2Sew2h3yJ2z6XbpOkni9ssA
aK9a5WVrfctrv3gPIU6fg6WIXufOxCIRtbN/NEcL/LKln02wqaY/hZT/N7bBv+2hkVo6tMC/PzQe
X7I2fnkb3t/rHw6Of/69vw6O9h8GKV3HJ+pEbO4jv/vXwdH8g0Oj7uiIO+RrP46Ufx0cDeMPIl8k
FS2XiN0PoGLvD3Kfy2mPIAnHAVh1/8rJ0fox0kqkFwwhmV59IX2QmvcXDe07gYnBZsjgs4QeNmAA
LNodzQM5qEn5BelvYCips8EcSm5ORa8TRW4c9B5iuv6OgJuerCF9VrXkzpmn3Rj3ChBQd4V67wZ8
iuUwwBi2qbEKSpE/dR5kdTyWTwPzBh9jJ+IJJQ3KqQPKSgNSEJffXY2rP1OJP2CYfxCOPj4cQUUD
FQYHCE7FTx8OH1TczRMu8bFI1+CBObx8K2V9pTu/E+oWCerP1z97+8//cJAZOf472BhBgC0cmk+1
LJEmDbcHi0nTFdUZUYmRR8PZjYewjta//lBLz9t3r+WiPkAXWEQIsjn8n/lJjqYOAPzSgH+wdPqv
btjA4SvKxeCIWQMfdNgvHEynz9Z649Rrt1dtQPa8X7lRE/NwH6D6qXpnJ+4z/9ZdWRYnyGUz8Uv5
FGnDoXLcFzNe26J21sKpXiFaTkFt0SUDb+k42RFodpEMDCh1CgtUe2aRgAuYOI0bZrzDGvT1i9PP
z02TfLEaSqTyTP8daeEnyhAfnpSeLhBXBPZ5c/lZf/ezDQWeuMlinl15HohpBNxibALwW0w0w51f
PdWFA/O+B9KZQxFmj2L3xVtOm8CvL8bHC/3vhV8uhmsQXLaQhshLQ4D78Y3gDqPrNhI4JCBjE5No
6HPQ3CcvaoFIG/nXXOFkTylEyPODVPNdBW66D1N3Z9UMUgrfvLaUvAXms+bwu7Mj92VOoy/FZGzn
XNz85s0us4Lv36zrOGz5ybBDqXAJDH/6ldJE52kZB7ONrjOtFZyqXX24s3v9FvYtbVnJHea+s9R3
9jMpsaTRHzjdy5WyaRCjLUiCVOwNBmidgWCBeTB2nLsBZtdvhPufri7v06f/lBwWt5JgpfvxSxVR
Q5944mprrGq3NbG+7VCAVW2GkZJ2xW64NXhuImrbDpvlTM5feuBhePA3iv3gr7+0z4DAT+/l8/xF
x0eXw+0NQXmzS8U2nPnGSg8txBNzRy7rNy/3sSZ9ukZsLPk1YeJDWdc//aBcazkj5K6/troZx3CE
Zcfr5FoVyACTfcs03dx6mEno6tbgCRZuckVn/Zmtx1/cybJQwcJ2E0F0ZVhQPoWATqLW3xZpe4fF
KDuYMYY1xU5jG4rk2udMv+7AOWjWfPQ6sispTp1VbZSUEIJUn8zKwHikDqTqabUo4dTadnPMoWJu
Q1oZcJS17Z6A7rSpBOdhgTdhZcrI4qg8X/36Qvy4xLKLWnRUQsAOzyooQjz3frjlJ7IRbdVxIWbS
UbMdbdP6AmgANrbTr1/oAwTw4yUA22/xUPRsXsgSnx4bYnaQckLuaSt1OZRm7wR9gTZiBApI9isK
m+LHdBxu7QZTlZpuKEh/DvH/Y9cKv0hSWKVomWbPq1JfRrTmXddJwij57tfv0/75p/nj+1xmEN8t
gnros/OuMZpiNzxOxrBtMxdxJi2eQh7QK5d55Dqu+wS9IMaUNpYnOdZT4NUUbc9IftUwaxec4zTO
7I21pzujPzHUJUYEv3UvSi/cRY1jkyHF7c4Zuwrqprsgwtev7Foxie5QpDSzxlTv88LEkjA1Qwxa
hY1trrSB0S2j4aUyslPUtFSPY5e+hEsgZqR6/ssk1AMWFmfNOKv/VmDYpOcnwvmimuiAWjtvszh/
+PV39vOPiN2OsJf2UoN/ik/T1Kzz2W5Ypb+ORHjR4fQWBGcSi/ljbW5//VIfY6lPP6Nlz4HbCyeH
wfzux8tDKWCjWqvy1z1c9XOl5sc5qa1DLTnLxwOcBjBFAOWmUxt9i1x8RRXjcrhqPGCHrpJrZvkO
F0XIK2qRf/Pmltf+9N4QPj5YGIRhmW3/+N7ytDcK4eE3TQvCGxwthXaYm/vffAOfdyquA8DFZxFz
eQ0DBv2PryLNhTfo5BHNUlj1xqXLCGTMmgLt3ZzE1Xpq1c0Q1fVL3oj7dJiuBb5umr0wOdl4Npt5
4XTIpERJH688KeJjDlIfa6JrB79+q//snTowTIDs2Ba1c58Wl44Sn5yMbLj2nIpVJaF2LqWwAjIC
ACvi+U7sbnEFHTyz+82C/9lcAOOGXQyUEBcuGqrEpyvRe0U3V+Sv10XtPoSDyxJDKQ0UV6s0b9Dg
gqRofvOSxj97TZI+RFN9nrCW+HRd/GLC75AJxhxNuCN4Rod5Uo/nNRbENVnIY1Wor3HW3zex/ZIm
zos5g64NtddOJlEQa1V14Y3lt5TiNgNucpLe/fpi2D/tUzwKhGlNWRZhxssf7/+7hW3UYJ7qZqet
WwJEdCftQhFuw5TbBRnVwZI85webH9Ewmt9SEZ8ryj1avPLbzgmfZTNTU+7YNwRov6VxvC1Gcih9
1WB6T64GJ9vVMaUDgkYRBv1fHZ63aIwRYFjNP6v445nA8zl6BzzBsV3TBd5sM9G+T4V+pyb72YBj
TQ/UtpcYXqJw2PRLgvfX38BP9TGuZ4Jbs1w2udw7KEk/3jllknScNmJ3jRp+ZxbimhalPXQHjcjd
mAeIhHLTiviEi4eYLnbSHIIoWlHebrqovenkcEObAA8D3DBBktnBaEoe8C5DM5Qmt3EYo/jUyhmW
PEZt1638icW7GSIsVoTn3SJD1bGHNY1PL56oypUTebe9xbDKTE5GZJGnpQ2AaVmfonoPukMVnprf
MI3Va2U2F1LRcswbBf7CLGs8jml6zPJMoPOJl77r1uDXIxIow67rCBxpoFU5g2xGP3Ox++C+tUvq
Bkcw25WmGzhJgLp2xbimq3XcxkAzrNHBaqQb56aovw4yuqzyJ3dmEti9/+ZS8E3/sFJ6mEc4pLsc
7XTL/rwyKIcEqMuQYG2ZECL2Aqh/tW+slVH9tfX7v5ZZ/o2m7ijmy5Pl7wWUy7cEAeV77eSvv/Kn
duK5jNaXrTBy6T8Ukj+1E48mJ53/kZy2MQZ/NJf/g4pm0v4kEE8cV8ckx7H8f4buhkuruWmguPjG
YgsS/5J2wo346bfB5Ia+IWb/6AvM/ZeO2O83YEnvNJ5ddfO2zisEPxylWInkiC0ydiWAZZedt6qN
cOMXMKc2JoULR8Mp8y0Pm+aQpWAlwxE80rq3ErJkJHTVyjQ7V608ngRyh2mEjaOREFPzK8i0UcfY
KYAuLM9Lf2qe5kTk3G5VfpZYebwv4BjvVdF3mx71ft/Q2XiZ0CPbYRjven8NY0jxbAGFga99suFN
mLaU5Znp5fYh4ZTsYxTFjRsqSzsxuMkaquJY8jmmjtp72CpZQBg0/NfEl17ABMI7VdRsnDPy1QnX
ZnN19Oi8eqQ5xwQ2oMcLWrl2GZlIguYUg1pQkvu0TB/A9DwPs56cEpnckU2YmdEXPZNSR744zhwf
bLOJb5hrO7cOaOuTnqTmboS8ssHYhIY8lThJJ03jVK/TgidzgoblvPH56jZGlMaB1kiSFWU83MjS
BDbieyevGvODGXUUdbTZmxnVAoB2ldyEnkixg9X5hunG9IUwhXOMxYzjfNY1ciSgCCigTRGazjPK
oxhq6RYycKvqeOl9Et5B6yJm5Hxpi5k8N5iQ1CPh4FVBNeu9Ec36lQO1+sbvSdueecClCLOlUXOZ
WSN5a5w/7UvlxkNzNmAfPjgRcvpKR5i7rLyi4qSLg5LhgkwJhwycRi2mrPCKVpprgx4lpe5ftUB4
rADbq+1tS7BR5y2A6SCs84K2v9CDuUN5Aq2BbPZ5wg+LGdtvzYuk19IvWq/MbdgO5a5MNUa2VFmB
Voh8777uWrERgBfItBX9ZYfHmkuJrXha2aOHYm8Osr8ltxanRAUs81GJwXmoakNC6Rqkcb1Ati4d
E+llLWRY7ZVw833h21AWBuLMjx2RsNdGJOk1yQ5rY2nxgipNpik6Dnykfqtyo9oIDprwjRwnuYld
5e3pJNP3ThaN24KsSR6E2bIi1+6STcg7HvW3pkwQKoeeVsT4AWgY461s6i9Ux3dMxDN9Ht1GXYkK
x7+wIXd4srzsRuPCmiZjTaZ/vs6a3DqlmBS3DiW0gTSK5uQD0i92OYWh3NXTGANIh5KBo1sjFlJj
jSQR61PKQ9BiFGubNsh3GhWeO4I4x7SxyhNFRiO2liFNV+nsNnvVFvaxmsbqvJxbDzyQaYSXadtq
KGx9WB5orJFUuQ5GgsdbT9xrzOrtA7nJuAvGOHdPrW/Ip9G0IT8YEhfbyvWgNYk6VCOdZWarzgjg
O8lGJ6k5fbEpC7FuW4/2zlaU1VvuD4AIAqNxnPro8dsno200KjEetQhZ6yxO8ULhmuipswJrAyjA
csLQ/8g20q0xWQmXosL9OCiXgSDmnsQKdKOf7mOU5jW2eGZY5mgX53GVNLtEB+sczJ1Q6TZRLNMr
lmiCha5Q+SO1GsNO+ZJGBBZ7+g384WhYXXvBKLu8z6Ugg0tdgEuZST7qb66LgtbSCnui7jXb9rEW
bvsuDR3aSGfrsjLG6bVsQ+M5l2xCXPwxgLqZ0IV1HW29tKvvhsSkej7XKTsbGbQ21VvUd9X1bDvh
e6qB7clc9jNyGPtNaer8h42QMskN1Zz2uCNSKdq7hPCKF9guROqgwx8y3kyQ1XsOKwy2tuwZZhu4
CWGzhcUzbBJGms4+NEdOXYVCoDmVhVubZ4WyVLERFInA38ii+S5VtomRPGYQxHhuMZgT7MBsbooy
6gOv9bPTKCqNx0tkbWuM08BmFcdJsw6r3eRX9Az6FZcyjy5zwoJH6ckIF844cli36bUiu839OrT1
uXLSmRa4xSg/jWNxijI53IukiY7dh6N+ts36i/rw2cuMW2LVDiPeIlc11iECLjKTXFzM+cWHUT/7
MO1DkJu+6naD5tlnk/8aNxo0ijplUr8C9zQDXCdq7e8cdymU1ouJERY+eBs/ZlzlNwTeWhMjPC70
Q+hYcbJ2lIp8nmAQiKic0yVj63hApWSbfjbUWG1OoFGGvSUc7oJWKw4VjbP7IYTxt6KnaAzSimWS
LoXuxh0VlKlc6i9NN9/YBFAsMEKhuqUgB6xxpLV0/XapdGmrLnuCA+acOS8ymvR8ndWj8yiZ9fsB
2do02mfd3Mcb1ThkPSHlET/Rq7QL9GmY3iPD1++F0Q239EF02brqp+4Wdr1/aLiHV6Nm2jdG29iP
OIKKAwu2fd4uAUORymg9DNNp9nNwBMqJh5UnsuNMZMnsuGE/Yq9vRV4xeVbWMg43Z/glF0lctFpQ
cCmjVUPge9rS4KaVOzu3aSWr5KS2oDqK6dqK9PhexHiF+K/r3iEzCifaMdO27tMRKMcWyamrzxti
hnJDBK271FyVhyRbTP+xzv1ib5Qp+GkSiEhGQjN6YlZayHjTidmvraAx0kzZZi0XGlhqWly2TH27
jde3+TPkIf1Splo3Eb9QDikKstfsIfyxXuturp6bAneuMmdtXUXhTN1rJNrbdra1F4/RGpB51brJ
RkURCw0FQDaICVLagYlT4pJP3ZyHMc6CvVPrA90OsWrf2zzWrXURDZG3Ir5uu/tq6nBzS0WOgFKz
BmBHrMcs2M5saG2QdsVwcke9ngPiwtCTqK6o3wwOrFnA+as6b2Mm/oE9NF89hIF9jRvsq7L7OQFi
E3pa0JmaaAOeTPOmrig1Q5DVo2diavIosOg/4nufS3JYhJp6o7r3Bg4+q7xNIvyCiPaHQrY0QRV9
qtZxUb4xdcDAOITyaSbcfibBlnJjKUddjFntI+3pRbcKq4xoI0SuFCSTl4EAzFRzlSbzzC0fdpzv
cwwEFIw0Dc4ZlUmFqsF5ZxsJc3EF0h+wyjIjjTYandUHzfaiezU68buCkVUEYT/k1aZSFTarZC75
6THzaODQyBocoqlweDWtTRbHsMg1hSZclF6p8KFvZIk/IpY76cDlqpu8pmaeaq95indsSPeZnmEs
45xabjE9gwjUwdXhwGEwYVG8uBqK0t7orcsSmBRZ+4hXgCB6RMUMz33Wk4xf5XnkWeG+i/L6WOFx
vGtCQnF5FxZry7BHfCFLaWcr9eY1kgW9OHMcW1/HYontYyrLqvmZaeZ7n+D60Bw92reh2WM/o3KD
+N3kiZWvKocWwhDRhBbGmAq+KTanjdZJ/cmweRo9xk1FEHseLXFl9Y53Nic4DUgXY4jZR10NPnLw
ORSz0JbZK+WcTKpmFog1iqoqVo4Xa33gVH69BzhnBR3PgLMR0u5N5SfDQ9iNS4AiN4ddm7LLhB9w
wAEfa6umS+Npr7UF/Y+yLMEPYNQa7rwsZxIoGt605WbFK/Mr+WSiAdAB1Gfau4TdyK7TdPhvj568
ZgXSzUDpVo0biTgvtrDBh4VjRNraBA98laWlvEWUp6MZ7CEE4IHg6BcnceE9tTU0qzUbtOnZ88b6
q4pc7g63Kxv/wI3HxjAhl/ziO6q9E4TljsySzKtiNNp7z/LgGFm1wn5hRc7EczaawLInmr+zzWrc
8+sZUG9iXb3ZeGWSfTUn/gHNiDyVXsFPYig9eHRNT1bZr9OWskRTN+N9DuyRKqLWjZ6YoDvBxE+l
wUKbcwG7yurgPpSa8eJ7rTo3nIFEvFlU+Wryli1Y30XsB4rZhLCoE4pdsScEMe1P7XEKGXOvGpJ4
Gn7+UPd3cWkX7ywS6Us6DO4p9/SU6r2xKTd8Z3oVgI+k0rwzgOKOSRmGayOsHloC5AduVvyxyaAR
9rQo9cGPtvKsDHavUIRG4UKtYxd0zzpxfaA1hpNacRDNU3QPbd9/i/yaW1vGTvY6gsI9yhpAOKWG
OJkZQkjjlcKyej3qcYQJl7x0PXFupOCgRosfDxK+1aqZs3TjW3F+aaVzeVW5DpTEnuK3wG9zFpa6
oiWdaUAgWCRf/Fx3V5RciS8EQufXMW8YMNUUSZ0mv0xfa7PCCzbm0a0qDJIWYaHfJkPE+c/lGXLR
13U47EyjbDGpuWaXBdxYmHmwVwJ9S6Q8mNwWm7EYOg9k4B438RSU5e1kzXgOYz73NS4GL6js2urX
xAzdwxSVeRGoEXBmG1vUdwG+YkLp5HNMHrKN3xyL4gavorOkEW4BANaaI5zbJcjDzldXjgHyJOcC
3Pmiz29ZL5pjZPEx2Bkx7Okz6D3dwAN3Ai9+Zw6023NBQ45fz27Kajv6dnTbVPNvJPPPIx1GXFgy
0PyIjuMYcT7p0J7FF2tBON5hdE2v62HuLuzYMdZzabjnCXPBHTSO+DeOgs9yMN4UnYwUYiOF7aZh
fZKgzcSo5tDNYLbFUX5kl9FdoWuiQOtpfEcWWWG3n5wzGgab34hrn8cxyysjmyCsMd9bwlo/Cii1
EISUinbeNV5tsdVxsSmMlaMd5GSR1Mz9cCkJR1/6vxbZ/raA4N/Vy0QAbvEm/L0Ud6XeEPXfpZx+
kOP+/Gt/yXHmHyYJ50V4E6z8OJP+JwMjqBuwlvHFn10sy5/8w8rk/IEBmoGbaQi42qaNSPZXBsYg
HmN6pNvI5zEcsqh3+RdCMJ9HOA4rv4dcyCOJ7g227j/+lkTtT7qqVcMeRjyHhOJxP7Knj6AJ5wvV
IWuoayXOd6xL6+t339TVn2rw3/uMMIF8eulPg1iT9HmW6W2zIT/D1ipuMypi532dha9DY3i/GQ6Y
yyf5QZJmoGZA6bYEvh3b/EC0fzceScM+xfdQTsyoMvs8asIu8BGH1qNnZvRL1U96lKY7rnSzAVWE
2dvt3SCr8bL3jnpauAsre44e0iK7mjr3JNIR0GguMFiGj80SDYJSnQA+Sw+GBVzl198V5ref3j7D
V8+jlMJYahQ++ry+e/umLFrXIXVNg2bHUMOy0nZVIeLxaLWXfdUssINN3priyfHKV2lya4fAl8dG
Z5LKM1pXzVM2o1ykng5kATC0Ze+QAV4jF65EXFBVxdYIzDX/rlkM6ar0oICCaNkR2sXY4E3NWdSY
+p0GNkFiE5ckM/L11EfQaa4pDwzSONn0Ir6xQYRE0/DaMrjIBgi3qliPIZ1TUZJdu3F2U+cTLoA3
wtfUP46rL2NCx647OdOafbN7qqTPltwgA+J7Sp3hvSixjDjEMj0+zAiowZaGtTNzM7pzMv261HIU
RJ9Xtpo+PxIamV7SosMeSkM8/rqOB2VK5bjdlDyOmRstveMquZyki1UvH5q97mY85VyOY0IL/XNb
G8Kj57GU2n7aXg19aO/n4r/ZO7Pluo2sS79KvwAqACQSw2WfGYc8JEVSJKUbhERJmOfE+PT9ga5q
cyoy3H372xGuiFLYOJgSO/de61ttcVRt6X4XuumswyIuLzFYLWzHpf9Mn+07LQpvK4fI/FnJuf9d
dUo/9sbZYEbDxaDPISmQbguNVaTlTtrmfCwg+a50e0aIWxhwQp3qVxwnv+KwBNbLRnxtmvWws2zj
i9ZWyKunCBZX9g2LzLG2INb06AAdbo1sp+ZgYOtZg9hnE58HZPzmbX1iA7Ydu/IWXGvxlyWShTr8
Xb7z8ppLl/7560SpQRvFFsgwKQed13o6D+t4XUFr2nZZBkcb1GUJoqtWZAUVbljRqZDiFpvDeD5H
nfY9CmDzUfvUtJPimpa3I76OJqaZpWU3dJ37eyzc6UakerbHh9CubQ+uQyTK9B4/HMChMdD//M9H
7SlA53aqCND58SuPyXRvGS8/qudfpyUPhwrqv3/UbuI0jfN3/pV/f9Dcf3kEgjBzsvUnI7P8zwfN
df+1SHORXyFccBfhwn+mSy5yXv4PMqZYvpbP4P/9nJnOv5gSmkyqUCch+eAj+A8+Z69czwjgLAZL
Ei0CMjiUSPLVCDjAgwfP2jQPFu3N49wM6TosIfwFJkjAcXCAf87ATaK23A5VOH6NhxQQrUFIca2r
aGN4rVjlZu8+JlFrbICWONcFnBe/1Cp1yp0x+uSz9LKKfPt7l2X/2bIutYkQRncyDh60+QPsC7p+
+EVRuAQbvdJRttSefmKzGXyig2II++INfnvoV9/fyrbyqqnEdABEFbMRV8kF7Up3NxNFT4iEVm7o
p2lAOBhgQTS5HHu4enbt5RvPIcw2qWRzmOYCtJw25KtyIaExv7skH4RFu+Lq2WJcUHsh7JduWoNv
owHWFPqhnePrqk+2TRZ/BfMo85WqNRa4KnP7hzTWpnmDabK+KqMcUwBOHGboesg4xSFoIBtjKKhm
foQpV55oLManppiHb1E3qA2s8PI8NjJzO+WE2NLdh4n3CGNexwYT7hk5aKiuAEOGg6F/tYZy9J2e
cXomMhpdYxjvEqd7TBpyMJgdmt0DFgudDauW7FjeHNr6NY6jSBJYZCZfpR1cdtPwpcYFTJ2/GTLt
gWBU70xlSY5xyrtvISnspbckaVr6Zops8zyZw1OeY2Go2PRvXFCXK9ktTAqQuL3r/FA5uN5+QJdg
eslR9AH78366ZFcqdwSRq22HjHKtRUIdq35EkNgFEBey+KKk9bcbG51+SHlLH/QYzFMASKba9Ogv
TQ3iV1If2cFJ7F16vaMKGjdVuBhXZ7PHS+FaW3OgnVGMxIfQtym3nBj+j7hSvmxs/fsQgiyyQ1wy
K7q0RK3m8Zeh88SRtwaXcncWEHi7KDz7HVO+WyaP/ZcxB7c6wrFaVXa3QxxRHfRIu2U/Rm+/oUXd
eNwTOGnRpdehgOwJdDj3oqXMYc7bunbA7M/W9/DAAt+yKqLezTLa1iWNL0Q2EutmtYgmxHyrjfWR
pPatBrVu3Ue5P4tGbLIoztA38DSPEsQekvly1blsUUluns6GMAJiFat4r/f5T8spblVKDurCDaxJ
mfci95Yt56a1oZeZGddSDrAUmW0ewPQN67QWzrpwmCJmprtAcKrNAOyz6z3yn7iboC6DvS3viqJN
142YXDoVFQbqDBSxFmDzDbKEiqaminPcZF+T4Q22RT/TQotXbQksHTMGHGWl2LuXVXrDYETbkOKy
HwfrJi3luAFATwt7imizdcmFDRN8BXXM3Cgc9WuV6Kg/NHOvDc1emuQrWnZ43ZkjjLvcOwtl6te5
ex0TAL2qp/FWjTGDsHitVHTRY2k6gFjaDExnxvZuzupLp2b84+jddRRV7lcs1/EOmdy20Du8PrRc
7bA5Nam5mfLiloHc1hy9XR3lj1DXt2pGxIafrl/XJuyNVlgX3mRHe4M0kDipv8SDd8QQcDk64TGB
VX7K7VozV8E0ObuQIBvIOtDHf7Ivllz3Qr8ZW/r1VIHXWqsjrI1RNkP6GB97KkCm2A1+Kww+3o8o
o02kc1r+OLeSW+VZE5PUjikGHOodvliU/1GHjpJx46GpYmb7KRY/xJohPLlUfnEDM1hlfTqfFnXi
IWPSdxSsixv6+YTPkuPK6jecTfrQ3TbwDHezsjTac5pOc8Bo6a05MQkRhaOf473VfRjwzXUd5N3V
0InqEJcmqHwYTYcsKaN1P9O1Usxbzu06uCRb8tiYYtpKO72dikQdU1zWPILWXTfNyCUqB37jFOJT
NNl2ICxtLsza7da6G0QbSIop0mLK+SSlnF+y2PzQWZLCNEhkpJTEW0fvAxa7VkIL1I5OMLPe0WbL
Zxc4C3ht2pk2cJsBZS7Z5H+csCBeNlZ7IpHMtQb2/tB68TehQcm14uCLAytgbUQByeTtOADKi3rQ
n4nh5zQ9L+bmM3k+RcWzOvTpK8auyJSGIwy2r86rZoihWZGhpa1xKL3ySxnn9iEnyqWLI/lXDuN/
rXiNl/q6t0d6VVpgASgiRu/i0EOEOliBBw+g7VeAGkpy4+2ftsmEZJQWI9pl5a1g3W+elWHvFN3i
ZdH910+gV4D4cHFHec5STTyrFtyyGJKinY0DqxWcccYcGptQMv3czHE2WoP4Hy5BeqPmSh3gX9YX
xDzjJ+89/UxPgvqMLhUbibZ8sBEIfmF35sEBbBa9plEUFxL83yE19HiT9Fl4ALJXHMxxbLcYlVgE
C/3Y1Lp7cKrwT2E7KMnYEK3zJv/C7yDkHKvmx+f73r19frqv+nqJlWXsUKVxYDgUXGNPFyB7XDJ9
yPBYf3yolz21f19ZZ5E+8Q+UU8ufP7uyJBIGuUpH4xB3zh9QuDUYPes785Ri08jq4eODvfGPcQdp
Gv59tKWh+exoWhzkPVxi8yDjHiadFPcijzo/GcJfRtzU69pO1VUXwbVxlQnXXxsRoKRob6C4q5OX
dIeEO7khs3uf2fW4S9pOHbuAxS0c2W3H2Ckx1Q867txEbsypLK7oSjJKJstqnY0G/zXY1hi6tfNx
KUrqpTwhw+WTV+ZlX/bpolLxM+MgVtbldJfH+dlpEtME2ozvyMGuJZQDm8yKXJgppZutXSGjYYDW
ESn0ya1870V9cdhXNbWpSha3chAHzZKLTEX+clKDL3ODvR3uukbwxHgRaG1zxXCj3DoDs+aPb/C7
P4FFCSck3BMXsd3LM890Y2yrPDYOIs5IIuOTGMv2hGeRua8i1iyr7Evp6tSbwv7Oql/vPv4B7zzO
3vPjv3pzFhN+aRQhGRRZ91208XihikAc89rmwdbCT5oBy07h717AX/cZGAS5l7ph4i97dbbRgORG
la5+kKJNzo0hHVZxC7v443N6ZzXgev59lFfn1Apd9FD5SIpBdbQaOMFVy6RT5fj1/vmRllPRTVey
W32zGFReV8yzDS8vwK88uMZ9ZgNZJ4Dm4+O8+5g8P9CrdYD9R6fopFl8TSrndzzgnDcda+91hO3E
Uydu0pBgMLz6lMf1Uiiblao+Me68s2W2IDTREHV10/PYu798VoNoHGpAzuLQkdwAIrDpbxGIGD7q
InGoxPi1rDyIlH0I6bqfKN/Iz1s7NTx/J9d+aAw0mdlrrJhUFzDFwvzebkR2ZcTmXdJA1/z4mom3
DxtTVDRw+LKXX4wa9cWiwpQvDfK54afhsComCTY1IjmgnMnSsLX5NHr2uK06HaEYUsNwQGTIJlTb
kcRA+S4LeCc5y2nTF0CZimCblAYuAvY0rWZM9CPrP1U1hL5e55RwwjoznB4GU+6wPZvchWAfq201
w2lUVVCv+uw32n9jNQ11jmG0t87btr1+OuX/mb580qhChsyA/GMz+f8mC+rHY/Qj+19XzY9fv9vo
edvq7//AX50rD2U03XOPZhMFIx5JHvW/lNGewSiGpjrYwNetK+9f6LHpCtN1h4romLyj/6GR2f/C
C4IhyOGff/nN/0HriirjxTKK6WexlUuGEwx2aNG9fhG7ghm3iMbOj6U0TgSrqR+VFno7NTr7Itdd
vyRsot0i0/DOo7GMS7QXw3i0VViTYVuNytoSL8VM2RKzemjyHkyVPQ/pns8hSbPaJknzdWGZBNeb
VPjBDNgH+EJAjsewtL0Goz83cNYozMdWsJH1WO+g8oPUGkfrUbTat7n32Ig0bXFZj3ZypMlCP8UM
ljm4cY5swlhXqd3dBHXZ74Zer8sdWqy1E+tPn7zamHdRXEOWqWhb7ua4P48UyjBEND2utdQ5AIq8
zmQbPojS6K1tSargLSFzxX1tQc83uwL+MShgkhiGtrtr6lKw35hD7PDEqXjE6p4Y0VibNARhrhwJ
+7cpC7Hvejgna/Z+d/FgnefOsC8YvN3EjDhMVN+EUY/I1YiSozcCBZ/OijsiVma6o65MlLt3jGaK
r8wQoJcbmRN8a2VJ3KDo0T+FEaxPF668cgJsNEVBAmdHhAVUdbP3596I1klbRKw8zhkpCqfWTo1t
4Up0gZY9IL1ExkZba7kqenSRu0lFmm/R3IWwloiWou/HNzu8q53u5zSEAyWcE5+RbTaRasFQCK0A
3QaQIvl5mBb6qhEi2gW9F/2MVav2YmaZs8ws2I+wlvdBTsZHg4pr4xn5NaZYa5O1zUqgOv+i2urR
HKuWZkdZ3cKbsS5wxpC2mmvuRpugrQFcdjcJbZy4xgKZxolrrkpZ1V8VuTaoxW131dMcouSq+mhn
I2ZaE1fR74jtUd+gWcW3OCrNO1Jei0Ogzzo80L521yay7y9zq5bNtiXOpAN8znIctaXHU+GjjZwr
JzKSr4XeIptNI8+MV0SqWMdY6Fa2zbEvnc9hht5YoRIEZaeT0uIl4rzKyxvPG6pdTxQok54pzTeF
5hU9l7t30IckQ0WmLdm18Urg8PkTxXo5b8kd8NTGsjTrmvQfK9t7QR4+1BYoqb3rBhOCXk1dgUsP
iGmCIb3mntGkEY3V/4iSdvSlK7G1kuUQf7M0uyUVEjDNeih1/cs42At6y3xCKpFmUjBjgT1TmDY3
YQhulW1ODwayO6KZUMsgFtfL+EBrvUvWYm5I37SmJJfbqnXEycyN4USOgXYmcjQO9WzF84WI885A
y10KOgLWVIc76nrh3feoi/yppqu9zTy6GOsZeFaNgtUgZ2MFTrmJ/bptpX7pLtclxUcoMGIkmUMP
DGQLdj7VNGTRclMezFak23bql4sV+aAbEaSQNEwMlbLOmDTXBzdFN3lpjGMRrnOwA8Zl6Lhhj/ye
thk4lxpVzzJR7fTxWsX6HzB5aJnS1FwPrRnQbu96FOFMVZvaQGjftRACpmAmQc7BNCGA1E2zpXbk
ck6MqyGAUSXZg7URXufc9CjGafQZaKqWeZ6WIRW2kuCmTdzwQmT9vVkJQiHs4ryxyGrATvbLyHO/
6Bt/GMNir2V6vpetZ66J4Yq3rKbFCasAcX08NtdITTTfHvuUoCTYgvhR3X0OloomyiIOrkl3gV+E
bzJdzYF7YstJ5W9RrYICxwUeMYQwdSv6ZSHu3LvI0O9jJYuLXqTy0C15NKFXUoh4EaFcfRtepm7l
bGkZltdOY5UXTTECLkolgkB0IkxsI52E02y8SRXN2wkhnD91A5Irx2mOlR2hKPUwSjojmYhWCYTS
SAQaHCPdhYsyGjN0sLODjO5NAeTSwAS06gkZiw3VnerMniG+RToGA4zHt1lUXfVVs+9BDQ2rDoP3
ugHydBlE0KrkPCmET7HYyDxhYTD3SBnXZK9eU9ChJXa0G0Bzv7suvkoHg/yewEj5mKEsK5KW0A/F
Wxa6GgrOhTVUj2nxYBle5WuugLbA8z9RkUkyFAlN3xtd4ZEmMOu/mwScdFNWZ5XtoAUf0ELqHk3e
Jh3/OIU669DCQWrTuPMVskwNx40GuZx0HfiQqzCQGCUFcw4RK2cH96Q9TyLNWRGhQbYIirr14DjM
lyc5P2j87h2ogHkbIX7fM4MfTm6UwqB1teEmhdRmqyA5ZjJ31uS79TusHs7WtUZry1S++NKQyLTF
DxLSDM/nCyIJO4teKWTHyEA0R6p3321QlAl9bVkMVSeQAXwWAnO6ixNVLhzC4cLzEADaqZNuvUgu
UYDNn6oWYqN3bn0c7UDsImPwtsqwIAGmfX5F9pFNrHRrwuEU6c+yKoodMVkaJ8+Y4cpSerjJevo6
PAmshAot8DaoaYNQ6vJFCYJ6uJpGJz7WwTz7SFLCi0qp7zU5GGtJCXYWJNp8xybiJPH80eHOT/Cy
l+EBc3GiN7mV9f3Hm4CXewAqJTg/KGo8ps/CAiD7qulHKnTbUl/YvjRK3t/YRNCRCvXJNvC9o1Ap
IsKxaQsZT0iZZ+2LOpotKiZH+kqZBmoCQ22t5eP0z89lMXgt00qBPujVfoY0F6ZWtZR+NfYWptDw
cVq+hR8f5OXe+a8L5oLONdDcSCa3rzsxGcwzLMPSj2I4sIQCqRNvgzoVywf440PZT+brv9sBHEzq
SGzQ2Ti6iUDtaQf37LoR0VtHSaRHvmu2PXAzY8jtjYrL6bItcvF1KClUq7ZkHDAI3OoUb31xW9Ta
xGgtM351IVvd86kcDGObKsDqmknnCAwfrzYZLAaJq4M+0P6MHExaW7OLCZkr8P36koSn4XK0soYm
Z0ryUWuL9Hpy9EIg1fbsXp5VcDNP89ylYPWpVKy6ImEcAapgWGKq9iehMRr5f5F9DxkRLWqRTgKg
qSblih2hOwDSs4eTF6Stj3h12nd8vM8AV467DFX9kjoyUi473hFrMNI8k4pRZKCFQi+Af5ZopL7Q
DV81zC35jaRtrRU7lpWhyWTnjBQlyiWQtbRmUiQH+sgH125IQFv1xtBnBASYtANGVwc/rE8yP3es
GKVSg39B73rtt+s407FtCX/KwrKe1+Bttes0tavtWCp5mU+tuCJPFg3mMG0Zj5F7FdNVNIq5S1Z9
YpSXOabLNSnQ7qVUtrwvtEps8EHVDCTqahepokUEP7ED1qEGCezNkXQJY5Xfi2Q6I1D1R6mMPYl/
AE1a3bqokp9931x7muGel0YEcJQ49A2wvfY60lNiL0suHICHddHpNR+NwdIOTJPiH0YtF0MLzevO
6Y9KKzCmd/FFFOSkIujCvurj6OBQsPvUDMS0KDu7axwwRivK/NqfnY5dAqGTPVESjFC9vCkeCJxo
N7pZ/RyHSK6bxvJWcvaKg8GzeVkz27qJQ/nolNZ4XUYsq4Ih0UWr2I/sNDfCKeKSZT77LrYhNAN9
6BW/APZWD5lll5hPU8ejdWP18gJcYW/yxZVyvPfm0QB+Qhz0j8m0029oZq35BhKdCcyyciAf2V5Y
fzOID7kgl0lgSinsn0MSkBJV9Z3Yhowtf/ZRChUwt/sBXruSe0+jw+tEWG7MPLFvhNDUo8hMymPT
y2/MYuyirROm814yU19npByhoImaU4frtF9Dcwy/AzQNr3VLWSdsQ5R79UAR1w3hxrYYsdu25t7W
6VI3xwKWgcMXh1phJKhz0OvsGIPSwlmi0XtZtZmWXqMWHwj5QZGKc65JyQZKs1zBHaWabLd8yap6
x6VMBlx8JYLVCjPYcSF0XuQq9LicZkJN58zzNrXc4EsBZfiBusH6jZGgO1BX44WYBJALUdUJQgLg
j7wIXXGoJm/m00Y2yrgdOqO4s2WSnuYwtXha7O46TDzvAaSIcRuDS95hcQ2vZw2d0UroTXEzd3V6
a8wzd7eOqTswzurEMg/9GYkvkkxQt3XOozTrSbLyarl1FRVh1BCJaOQYIzVh4RsIekvdZCp2HqZg
+GMFUW3CwcXGUjdZ8QMu5bAdZCL3aTqN35kDNxFqA+LPaWC6+Y9Wj/obrLTWQzA6zLXNnPyCVdiS
9wIFtZ8P4C7E9zlF/UbJAVRWxcl1bATej6qtx1sMG8V5YgtBmEBByMwK2TPzqUQH7WvpqORw3ads
2sRsP3a2RTaM1inShICNj1vovh1VUxmHw9oa1fRddxsNuVoFE7MIEuGtgPqkmFuS+mR1zrDREQv8
0vMG646uWveeeXUDhdIzNXFWQr5Uq9jU8RB0w8TMtBrjnJZZ05Dsx9fim9s0+Y0c3NQfAmQMVliH
ePM6C2iFFRTeWnrU2auhh4zKqtd2G30CiLApA0C2KzkO5nflVBNh2dYQ/ZySkplzHmT9qUoIhKxR
0Df0Lpx2PnPZQeloCMOzia18tRODIisnUsZ5ENvdMUrMJt0TQDDfqSYyq62hmNPKEMBpASHiStmF
+7McDXXTG5Qxo8EsjTtKgDtPQchbCLKJjGSXBHsofWFhn899RcsU2ryNFScHiatUiNoffmF4pQjP
ulV6rF1Oychq7+gRpudxzrQ/qrNg8ba56eETbHV5MXuxzWYwE/2pnovu2xwJ8ROP3dTueObr30yr
Ux/3aZCu8YeGD8VI2gbdEyf0O3aTf8x44RflYVazM46xmdSxMxKL3qc9nqG0vjOYjxKAVYz5NtN0
0oH5ig5bL3UnqKhaO6ZMBGfilpvEu0xAiF5zfYqLQRnsKey2+ZbXg7F1A1EwGaM0JXQnrqtvuSoV
6A9X4ZUPtFhujXAYfVwzw17kLAGbhJ5Wsk6ckucxqcbyEjFHfNnFZnioNUFm9WAxWm0K5iQETGcw
kkSSKnMd4cUvN0WjvLusiJFHydL5atCq/ckulfBiIHAWzOcC+SiPQtzQtBgnHFfKG6+mZngwdf2G
0K76Nu9h6227sSgvu4wk4CvYe9Ghn035wybviD+aMnURh+bo13Kgpz2a7QOezfbPGOpuvtGG0r0p
daj3lIXh3TRkfIrS3ol8JqDRgv92cUkgJUt3bHO0U0ggsARkoBU+ifDa2oAP/7VBs3kkzQpiN3BU
PaHVz4CMiER3IEsyai4dd2SkjEjt2o7zcYUcuPXR/brfHEMfbxrqrXFjjFrgsxG2w50xCuIJ2E00
O1VP+WbueDrRjU6lc1kb2cQLRJN1TfbStNfrQfzAOtj4Xa2XFzpQECxWDvFLVmMNKHGsihIsahvw
bF6tjVdag64rzuTw6JCu+AuyOlztLnHzZhN3+H5pevNVo1nRrzpsf9ArpV1v+kIzJ+bgg0NdlEx3
4ZDg5eISY4/xvCqhUwJKhiEutioiZXmxobGiedhojltjUO3UrSWzxNhYwVhSm2UC5VYIF2tlGFZ9
cvHk7rPaFqh4uvGhKkG/XeZabvMMN8u6WcVYm8CdsR7ValT5FUNPyoCePke8H2trosBwysUmQVkE
EoDUaRFXxO7pmTdjt1Ph49zM4gxcfKpv3XrEM+TlYQr7BU/wWZsQerwSkL+n45Bh/fFdxwNbEUCC
/l551G16lxB3X3v1b0n8r6/TcbqXMo3u6Dx12BBNfdgP+pLAa1hqb9s0fCEzuGvCDLo/qUFEEJRI
TKAwjIpsXNct6fWTEbT0gaW255tUb7x0Ypeus9XOTYcmTjiBCs9DRz6C1SXQlaAqeTt7BonGJi2C
0LOPTgxOeSIhYVu03nzTj5N+kQ00S02wzCsvaEckemNSXre2FzyWM7wxsrlIFtDHqdqEbdvtOvTm
dAOUiK9n+te7Fjv9veVp/QX94vG2rJzCpzHQIt7WSv0ydgZ34xVVcGozXR57XngI2kuTWsumAyqU
eD3BTv9Tuk5xKc1G3vLYUwon1tGIW+GPRqAeQtVbZzB/5zOH8M9DJEXndwRHr3JFJoUJbKN15A1F
efNlcMCDkF1onUedKA+pHdvfdO7cT4j1KHx6Xe4Iu282wWyk51VXxFetM63Z/uEfa3PscYNJFwkn
Y/jHtaKvwahlB0tW27zJxJ7iDtQYXYTtJGRzrir1jVShYl+n7bD3Iq/Zko2cAsLyqE9n995jwToV
UTX4so0fDcehF6oFxGY02BGVkKtBmt1xSUE8MNLPzgI3QbNVRHA2jDH7noihOM0WTWJA4A0/MmsP
ZWqpg0oShB4KjRHn0+6c2CLZwIPdycfz433cO1tGxvYMr1mYQRY8wZae7eIIvU3HmAw4P9dG068M
c0/Pv91Imp+fHOmdfTZfWnBnyIrpfL32oLiVLFujDk3fyrzq5P7V0I8F07V/fkYCKw36YMgH7htt
sB2PEYGAhl+Xzi3JhOla0Cbd0RDU/5Hw4Wm77TARslA9MB16g9ANIgO6VJTPvl22efUFQxrSVYPQ
9Z0aAHvwvKX6vNN6D5nYx+fI5vD1FInIegH+x7YMyzDY8L+aj/LVLAbWf9/sY5PtwlJdQ2/X1nXX
ExwTYozo0I3kwRgfuyHKr7JO5j+yETf5qGRnbsLQjZHBZONXD48g4WdPdbzxVNN7T/U9ikVqfRiP
06NcJi/sR93L5GlHYOAVPQSoPleqrT0TM+2ycaApaP+IQWkSMuO5vhaYX0M5dbQ8cO6jvJEEeEwS
8IBHpDddp/A7TBc2Ku6yZ8mX3Yu97GPcZUfDvFpFW3fmQ5yUE61+2LyPYtkFuct+CJJ/vGmqXO7N
GqJKsjS21ywb2s/saTs1LjsrtDD2T2/ZbZnLvmvSpupbrUdsxmjJsTGrvMicb2zZpt+kmVU/EEaB
/CwmJUakADUXScKwuVAzO8n9gKbS5l+pq4cmqOzilxbZHXsE2YV/lCD3nTqE5Lm+VT8jkt7nL1Vv
ee2l6xbGko2aOmKbzflw3U8lfQsb0IaxnXo+S5HV3wFrkzTvJ/Cg4EhJMwJxIfP6hy1nx9pYrSbv
a2VmVx6mv9Nsi+zBrRFHkU7LRc2H3vjpFCPBvSbdjnt6ssjylBI3Zj9oj00EuyjtsK3jdOwWaXwY
P6iYCA2+zNbJ02M6lW6v37tNyPoWR+MXdLfAQ/G7e9tp1oH04q7ZkOQrqH9FeDmUYF+U2wCNcPLp
TBtHceqykCqukNlOjNmDKUr9izLDozNgTTWXSQottemxehqv9KPiw65hvo22A1+E6+ppFhM+zWVo
bOn0JJdpjWmRfOm4tns1yrS5JhHauNfHPvmdyYphWm7IY+iZkV+AISQUHrZT2WOaTafO8YdcBOMn
K9ibyS3VF7t7udjLDF2+7nhVleZ2jVtYfiDvKVHjKf7ktX67GC8H4G8LbJcLgfLlS23lbdpTOxPq
rdUn9FZnczb5CZfy49XjvfPAXMiqj+vQMl9PoFs0L6Q/Z9JHWd4diqpUN6keJZs2FO6qXaZ8xTLv
I3Ih+mTFfPMNYEU28EIi5YQH7T3Z3559baKoTgsZTYNvzDoBJIx1ErRTlvfJYd5cx+UwFv1PvHQg
ar3lz58dxivryugSffDZrKdHe+5rf4Q57SEZ/fhKvnsgx+UvJskIDl4diIuY5FMlez8CeRWvq1yj
zzjYsrynoTzkn7R3Xwrtlo4rA3Y+1OgU+B/hvuqH1zT/MsNpOj8aXaaF7ZIyTtBXt0LFy54gvfin
J8fhMF0vzV3a4q9vFiaeOWQx7Xx7afgrqzwhn/YJ87r7+DhvHwoHm5gDWNRio4MW6+Xd6iQBgCQr
dX7OPMGdmq3Mp0/UT2/vE4fgIBhgcXJ7r7+WedbCcKDR5wtaNWoDotnbxTIdUSrW+uPHp/NSlPfX
XVpIehyNhQLH7cvTMRmiZFbg4I4pAhAHZK10u7LX0lOYdDUiW6tx/Y+P+ObsljmJznogdSjQWLJe
HhEZ8mTIurEhWs31unXSe4gA3DHn07rjza1ajmRyqxjK8EB4r55AD+flHCLF8zsEeoyZMdJ8Vr69
ewiBvcz2lpXCfqVTI8Qp7WovtP2ogbJDAhgB1q17/PiKvV0BFyv0kkyIx56n7tU9Cq1ZZVpe6r5h
ue22qN3ymEzeTTeP+zihdZPk9W2tG/n248O+eYEJF8Tv7RKRyB2QT8LvZ+sS0gKeubrTfdQg9jYU
iXeB+8OcDgNtpNsEEpG1xYakfTJHW87mxaSGw6J64s4hfsINulyNZ4cdqQpcOSNZ0MCYodDNaQpJ
Gy0GttamP8d8gi6o6mWA9dnGdVBH4/TJI/remSN7IpAA1DEfnlcPjlmRiuCm9sg6bAPJL7rkOHq9
fU9p840wDeuxWhRIH1/td14LxFaszQ7fnCXM4+VpD/PsVIiBJ78evBAsySJjSmMDvnKZJzcfH+vN
Sw8QHeXzEnbA9MVZnI/PL3FpD2VbpcPk26Jpj3E00buf7DU8CgOqjvoku+PdM2OTucRpcE2f4OfP
bmgbV11ODT/5RONMcl/Kvip3uSAmGtDbJw/PO3fOxbDJRge92jJXfHlmMBACq0Uz74/k/zWoLw0i
qoA9fVJbvfPavzjMcoGfnZITMDmf6mT09Sg+IZlYgwbdfHyP3rtqz89kOdNnh3A90gwjehF+7520
JXrCcs9xxnx8kHdWFhRQBF+wyzX45Cz7tmcHobnosnbW7HK9aikRbXFh13RDCHIU+x7K5WoUvOUd
CYGfHPmd03tx5FePYEKiZLmMJHyjE8deE4e4+eQCvnOP0JpI2LAGHcgn5+/zc2v4/Kge262fTij9
BrY0m4QN4yc11XtHITAZ3SY6TAtG/MsriKazrm2jET7QohSMcfBlBkb3/3mQV0uiJ5Ka5JFe+IXT
W9+n2dXwEQbtJ5+Zd1YFj+XHIioBgwTr/stTCYdiaorcNv3eLbU1mioaYqMGwaUDw7q8WP8vZ/Xs
eMsj8uzhkwSgR3rD8drQAUVV6WvQqdEnb+rbrwlcYeR5hlgyAsjbeXkQjfq9bBiI+GqRR5qLUBK7
LhNwmVfF18Eyi5vYcpECFePYfI0Gy/qkmHv7gLD5wvnNLsw0BdL9lz+ATeyEIxPCYbdoMaH+jts4
0Ox/J3v9VyfY24VvcQmx2+RxN8w3NWPllfjHmQX6dn6ldd0OWucnV/LtG/tyP/nqjU2hMuZMrSx/
CqH0mnUOqXesQANOzSdHeueS0SRats5kPSEfeH0kwvKUolfuz1h8R9rxbbQpQlE8frz4vXsYvu80
+DzuzSKifv78OQrSYuFwGPb5axqK+86tPtm7vnuI5WWi0P0/7J3JctxWtkV/pX4ACvTN5A3QZMdM
NslWmiBIkUTfAxfN178FWXJJsku23+xFVEUNZFtMJDOBe889Z++12ZR+5jHNILOWqo30vd1eonZ6
mYjy/cdPEZ/Vd5dY38J3TxGZc4zF5UTfd9VY4ocfqoMRRedff1R/3Ce4qQzA3RxSSXH++Qyu4zCE
kMFTZDibTR99pCH1f/g1VBICZL4JFu2fIzbKBQ9Fb7b6flkFxS3K4rhm1PHrX+NPbmH6kBSWIL45
JOrqj5+VjLouQ/li7Z3IgJt81WTtsRZ/8Z3/1UV+unvBqSC1TblIy6uTuXwfy5PnmAzef/3L/PE7
wQtEviBmBFtVv/gGvv/iralT7MjO0GjNw7BNnMj2ChFtC1t+GcJkw1mPCFEbF/yvL/vHhYbLIgpb
uz40SrX11//ufuvkocjl9bIiTBxPMqvGQ4S0obTFWKuotwgibf/Xl/zjJ8otYeJBIO+KJsnP68Fo
FqJzoB7s5zR0ThNBTvcEjiMFX0Xhv77UH/dALuWsYjHOizT/f6rCG4s8yiZLjb1eg3WUkgHZYQsC
ODW4Kc1QbH59uT/7MNfsN9JVOOdj8fzxwwwdjt/0ePkOQx8auvP665dfn/0fj1KkLH338j+tcNFI
3G3Y8/KMhfMdHUzdt9HY/x8uwgHYoD1HrMLPy+gAHD4d20Hfoz/Zq2ataV4SMV3/i03hywrw8y9j
MT5Y1yA+ri9Ole9uPLTH5GXQCN7PdV1Gbtwm2aVOjPBFPRckgUBYIPXQmCH04ycYV2eBtnoM0rEs
6QnlTBeMIX7pVi+CEI31F9/kn33UlE1UmnS72Lp+eiz0BYhylCJyQ/l37CT1xSDs7LeP4B95rv4e
zu6uKvj/F5be56qeIfvH/W9ovd//sfsdtec/988//EPwhdhzM7y18/mtG3J+9Lc6ZP2bf/c//uvt
73B/rFUXt8Z2/Wfyz7Z6/t4/9ftP/GafsnRIdgSsKMDnSN4BuvjNPmVpH5CBcj9S/vM0rxCfb+gf
xSA9gqQJR7G4lzRkSL/7pxT9A1M4h9Rlkp7W9M9/hP75aTnR1zdGc4gGimEi1pV/ag+pFrg6Ix/H
gBFwBccsXgi/QUCiKATBSkU6/UUJ/9NK+fV6XPCLEvkP0Mk80rrMzOWRVDUm3kSrvYsF2eM8gjT7
7jv4E9s/+u4fF5f1WriBwSQBd1+beT8dSohtV3mW4jEACgnQqDCMerVhKvtUVetTFkbiNBCZu83V
vvSjpnVezbwS1105ZQQI6/ByG4ksbyjbUFizocOakJGY9agj/cOra8PCNs1IOQyy2mEzQubodYoF
vz2d7JgkiyWfLHfUqjeJlAtGVJlyVzDlERvNgjdw0eutfJ3kahd5XbKEwMAt/a034yro7DFd6ev5
8D5M5EjC1Q/9rOR8WIX5cu00NBag/8zRthFYXLKhFzcpWpGLRnYQuTb6kMEgjB3eylrTP+IIxZil
IhTAjBrlFjnW9oxqVooka1svzHNdKOhSQ4D7CAWk0yHdu+TPt+8FxIuD1Zl7K+J+UIhvCCSrPKIb
uiOYE2toRprVASXvcpHAjL+ephxvvIrkO5QF6Lr6SSriFNiyepPqDP5LwzqSctTirlBjt6lx7WuO
1B5nXPtIQLCvhDKY5lxx8tiXTLt0k8zIAkWasoM0d08JjD6ikvQM1hFOPnAKuNCEhU87TTd5hzQ2
zghjVqY+MCQnAJM2b7NIvVFaNAqqdJ4b4TO171xTIVSBIzlWrsLZqw2AlazWuPzq1oFH/I6FBaHr
kPIH8KyWPFa7Lu8dT+RW6VZxJ6P45OKqWYAKtOUbRJTg7auWR6eMniM1OxVllPmqGb2M4Sru6HLb
10tpC3HlpsqQ866faKbBkgj1+LaHiO3Jk/pqDOS2ZBbT9pSkJaXYyjXcGQC3KBw77SbUMhImCuU1
NYuNlskNIHYMa3L6LqOTDTLg3aC/30VoX6J6fM+c5IhS9BDVmeJlYrXexs1txGQVOATkafSaYbbt
IRrEeZsEcC3X8bGtYoQJyXQ54tWBh5DqYXfV9KDfpeqpFCmRGhoaY23ML2RnejOHOvWziSokK/jy
2glItIPO1xU9lopBg9282OXqqEGsPOj2pTrH+ErC6SUOu8cpUs3AUEeCwLUM80Uo3YVadJxTCwWW
poeAsrrQU5GzzVlYupMZXUSwtLdmqz5lUO7jMATkG3K5fExeQkPfkoeLGZPem0dmhKvXFYj9VSdt
jqrEIaQXftsZzPjJLo+L2fHCCpmUlOedC1wGQ0mjojuUgJSEnXU3yvympVUcRcn3oMv1CxC/Kviy
Vv2jffPPd0S2td83xP/5e1vr/6PQptVqzAbHpvSfd9dTwgH0+Qew3r9/7KtDWftAX2uVp8DKWzuq
X+3JMGQtTUFUxZmQdvK6835D6+n8BFgE/qfJq1KHveGbP1n5QBqcSY3NSJVGLRyDb9XF112HwuQ/
dj2A6P2wC0GJBekjU69T5tKmYQH+sYLW6JVXShUKnPVNfFKVGOAkyp1zjpkiarEzwYYfTeuiJr7Z
XdqSbCYeT5RrjUvQYxEsKZzXRbdubaU/qTDM3bYVn8QyzVggT5JN/EZVDvCtCu29m9rsyjAFXQ+F
lKfrwV5mnSlE/snqkmfAJcqGOD7jKTYxrZVWhH+/YOFNutJHGvJCEoriDsP0ohIPFfEgGOa5SZvK
i8ew8pviqYv669IkjhMofIQEX/XmIQviHkWKC8znXXWWcC8vRf7YOoMc9P1YXELJCqY53teNUDeL
Pt52nXbSnIyY+TmABs1eoCLQaMrp3SyV3JtrnKjxWD+FEho5PQOsa/Qyjg/iZ49hvVxManZR2l0Y
jP3wXJRJ6lcTvjoE/lpgGeAIVb2HEIpsopas8brqiEeSk6bwQxmUCZmvHfzHFT+Uy6J6yQZlIO6J
DDqRXVikda52ru2kmc0mH6siSLGHXgyi8itSJN0mTWJvMa1zrBcC23YhUVik/Y5STXdFY7QPdnxt
qtkdAFEQo2btQiS9JjPkBq2tH4XTY0/qwS6TlPaUgj4/yDGbbEGaSKVvSIh5QDO7ExBe2j4mgEMo
We1q1aC7ztSHMGGl2zZCWZrrNmJRVLZXbf5M1PZnEArXSohKVI/Uq5TG/HXawJeVgdPDty82tTpa
a5RuuqmsyfYVfRz9JZSvIkqRIFHaPVr5fWuzSCatjtQo5fvW5kQARIOrLy+EQglcvV5ixPBD1M70
CxQbURw7Qd4ZWJIs/to4hUxIsarfDFn0qW7R/hHLybuWqaEI3Jizx2yGj97XXJhIvSLVzouVqOdZ
l86OHe2nQmkCdI145mxiBPUkxV1eqa4oeuOQl73sjSu7D/OuOytqDm/J2tQcejE6WGLNOSLzIZHG
A+Kd+DJ0xolQYSs85mYse2oq3asobuCfdSSECP7NHJMyG7UvejEA39Kqe3I4FTfux48W4TRv+ExI
u4n0N7kNj02nXlgAwm4X3Bfu5CDDlMiu8PJWtIGYmn2PtzJAkg+hp8+O+DAvIVuXHDST1xL1xpZi
DvtlA5ZOlt8bkd1IMIcvEFsNnoWHpKm4N7FB9x4qZ0IYbC3dMWVPvbaq/HqYtmltbfLKfM2a5pGE
t/MkcEubg9S5HTfgBnOEcmobvCxSC+bRTiAI8zrmCKFAGfaKdZwQCyd2mwfd6BTXkbCCypKvppmu
CIwowjaN1nmyU8h31eA1c3y9xvZ2itTv8IA/jtHWSQrpJa5UIsV0p1Wui3LGDLDwxcfSqbQpTslX
uGK8dojzdwNrq94PwdLH8pUkY/zAzKtuCiTTQAoHRpZq+Dym170z7wcF/CLTj1NUqopr1NY5QWLv
tVP7UixhfExMMW96qKVs4UqBo1KOWSrtJUneogmZXEUWN3cjNnjVg0LywPQ+sITkqdFJi6VmUwjL
7ZbWq2awg3J7xU2ouQS8uZKxPCzTYp8bQsazOOZxSAJJHs66MRX7aJTPI8o9SpLktqgr6mWi5yZI
YS6QlADpvul1EolQstV6LZjNjdTr7zVoTn7X/lkrHOkC7xu1dTF6Wjcy5D+jKtlHZd25U2geqnZ4
igjHw0MSi/gejHOTev2iyVuy39L3piuIs2tUpXsYW5I07Xnoa3fmxPA4G5bAK8/I8mOSVxkzaIKW
tvi7I38pbBGolNcUr0vl55lZbbI2s13Qe/V7zaO2myXab1udbkO1gz+0YNLDf7bBxW6hUe+/vDRn
gsKzCmw8vFVKfjAGZQx/sKrya7nlwOTx9KrpVo4c0mQKrGYk/OUFaU9CA6Xv17Toms2gJIXjDRyj
NE8UkA56W4TXmBqWXQeuJzCwHL/MGM3dYY2nS9PmTiurC6OJ7R2C4+WaRK4e225pcxhFz3PSBscJ
dGVW2DWaKD/boykdddSa16GcJXcRaSXPmtRlCbub2XkK+QvbpFWKYZvPtn4/QvvaiqEOL6NhTras
Gk+O0IoKz1yXEyLSGBu2a1yPcvtcOqNxvWTJ3B8tp0d+2s9zDQlysJ9sDFduKSfmblIbFQOWkiVP
oqRyVdBEgqgYknw3LHp2VZeoU7ps1D4ZDZhxDS4BpnBDN/bEeuU4VmgL3JMz2EFdpJ+3q7M5OeVO
9apnaX0HT3EJuqyyLvEl6e4ytdK+CoflmSw1lY/bXKNl8o9Gpj/aQsHarlRQJLPyfRJIq3N8XpS1
fY42kPR33NeR9MoHnt+ODSJxDwlWF6SSgJ9bOYE56A03N6TpRVOjoJOa7N7BdE92BdLrEjRFJSkJ
DGAOijBqw/IFo00/bqfOwjKplfS4PMAj6pXVp/UzZyaGI3nX3REoG2JtM7jnsyI0rxU1yq9s6TCp
0Ju2+SosVhBnPmro071pSotP5PvkgZXzdLUap1+fDXq4XSlocDWw4wwcca8iOTwrdtNDt8zrlhtV
W66nKlOUK1OUeIK0ElRsW2XBl9IoXrP2yBp8rZlwNIDTt3YSiX3aTs1DbXfwGMDy5RmWklFlC4Bw
Hz39t8D/O92zr5U6bd3/XODftegr2h9aaP/+sa8FvvqB3AZkejCI0NZ/X+MrHxTm5Kpu2vx3+Nn/
7qGp+gc6vhTyREHQuNZWnc63Gl8Fxu2gCUX1B0RbpjX0U03/qxofdvwPNT4aNaRPRLxzxDBx60AD
+7HGr8tMgvWiDBDJoKQOOLBg7di7QuBlU5zpCe1J5AqMHx7i6BnBTP82qepjattPILLkc9hgyTaa
8bWfExyswJuDfjIHX5IUyZ36prwlUqG7sESE29cmBRlCDklBTXpj1hLVlyriXbkSeaKovrTqTIU/
PMfBXBlPlYOF1Bzmc6XLb0UNYWwuIcpGGMZKJ2VRyaRXPGQAPlq2jEpqPmHJiNz1ELFjxYOzYmgh
V43Ep6SjRU/wakukO663sYDUa0bXEbQQn+6PFMi0pFxFS8tjzXDnoqflc6ilmozTMrQmt7b0YsSa
ND+ETnQnJ9nzGLec4XtUHKKflxMpo0ZAjB69sApHXDzMg0vHejgXc0pKTaYfa/o2cGaNYbOEc0XT
zkHT0Cj41lyLnExssoYyvCuDc9nNkRkge7Bu0PzLnlPHQdx02XbuDHBOUlOerLRiPDR14YvWRNLO
1FvrEHdqTbJPA5sWk9c+a5X6IOeR+dKb86d2cpAZgMgmcVR0q72EP5Va/TKYjnQKTfJh4eaYbtKP
qb/khn5aMgJtjKJ6SxWWSgnY91Urp85mRKuGJ0zBtyNXtpcxywqyuMSi7zTtoSkm9cyy9EqUUUKc
6NRcjcwFwTvNT7pdx97ILuF2Tiq7RScf9SYbYMkRXLbMHEdIkH2H0ZTtrMr55PR55lM+QSrv8zne
jAqEIFHIh2rdHvlb+U5G5HCRWPkdDso7q+/Sgw3THV/UlNx1Ydv5mUURD0Q7IqSULRdWke0p+NC8
JXO0YEzizutr/d7S0hD3tGSchrR55H513qZ19ybYtrhc1Kr1C+bZgai7O0L87uJ5Csxq4mi2dA8p
e6UvZOFsuxIh/STpH/Nykndp350Vo54gGiDAIJiq2xT4qR7kiJAVYt1R/zt3y5Rel5rEPcvzDsIa
NlAniIp0HUFuFiDWKDxRqzTttoAwvEdFigc1mtv6WjcnPKyGJPlxm+VXxNTmQaVH4x4GZb3Bnt5e
MRMXB3CwyS5aY5ryOGY5c7rt0tenATgsuX55C36prNJzl+r2Vq3x8dFce1CibroFDBAdRhoRO6WP
cIrr5r0iky+cJaJ4yFP6XXxVnP+NWRBGl/Y0zgYJIFZVr4FxanNM+i46LPNoYiEDo0MWuNGq/hC2
b1Xd0rWmKnPNaXEuzUKfbiiHHb+mPRpMMJK9vjMPDPa0K04wnW+HBl5UZ0xuRiWPsdHbw5WcLgVx
IubyuZ+dXdLDrTFHq9qRLkbEK5vzTZj1kz9ISeTO0NOI0XLw6nWh5QkgXn7WjzhMzBrvixqvlMAi
B641S7LpO6M0PM6dY94P5OLsGnsOH0n2Cj1JttKNIbBxYlKN90he54vGMpJ7J6kJxqpWlyKhyOo5
XxTpEgbBsi2cPH00S/WR43K/qdCmRB1E5bqbruteqG+4iMU5Gc2RgWjXAY8QJp3uqVoOBN65ltPV
L4kxjG9C64ori/gnQBPmuCPiOvcoQwxPsvJsoyzRo63n9aXU2hehVAAjwIAdyY7nAJIDF65VIGua
i0mEKk9uoqV+sSaswu2yLnSK3+txCetjqPTpVUzmoVfJw3EwEwHoqG8eITQQuV0V7SWt+8GL51b2
ScAF2NBxMBHpkt4Lh7eRj/NyDuPlZjII21UxvPjVPCZ7TKA37EMS54iw2TD7iF4o0pedkkt3EYk1
oClKIpXVsr+qMtvwbU5IvlbaWHDU5MhIIiNqWa9ujBRzY5EQI9MqluQZlqW62mSH/rwoM0YiZk97
CZW1j2/R8MPEpge9KgUmCfOqVBBYEDJg94WlsQonxhujotJ3zFzxIAXeFK35OVHt2QtTzp5YdmjZ
yrUW4MTgFDRQbIkhZHkJM92vyvBB1it2xfU9qGQeB1EyOl7VOyoVLU9zDmc0IJ7TOWVZDORJFYa+
Noqj8UWKBoBJaTm2d2ptvwNJOBXjwOqr7Gz44QGqmiuB3Yz5QKZB8bMJ6FbHeNgIO4OIJKVna1Lq
E4Lm9KFGHhVQyeOGXeKHojS3hjTmPhP/tgSP6XyEa0oArVO/VhM3lNnld6LBoZVO8+iXuXy5iOVU
ODih2O3Se9JF1P0gSY7Xrt80KZnhRiM2m/xtlp4eAkapLi+DVX0SlhryocIuD3J6auT5EuJjZGVy
mMLoOomb9mTLyE0iTb1JcK15cyjIpoP74NsMpNx2KUtXTy1t14msvYtwHPtLFzVbEzDUTpuqZ1li
FTKLjKzMMDB742Uu1d2oG680PQywugo9Cs34baz/337232BvYolgWPufy13/+bV9/tdz+fqvy+fo
uf3X7lm85cn3A+Qv1e+XV/k6QdY+qGuzep3b6yZyVwrZ3zrcFnUsmmWHa7K5cUdTeH7rcMuUzMg+
Kc8MxaAs/XfxK39Aw2RidoTUi4NU+0dRaD8PkOmTm5jmEV3xTpCz/tTeThkWT1qY041ljJsSHUWI
9EbpVAZC+va7z+lPJrrKT2IUfneKa0WxuSAKdP7xxzI7KggqqYGaB2y3G2GJ81w0uy6zNmVlbBan
+VjIhtePj462kazlKioW2Yu1J6x0rppMF1POps7d/xfv6g8j7fVd4ZBFt8UfvpBXv9cbhXVCgHXR
hEEdz0GfwZ80x94bVWujYABcQJNYUuGZjMdsxrKQBvw51As3JO7J6D1d/StJHyyGH48j6+eE+Ju0
Ow1/E6JS7pfv31ERW7WEEzkMumWIt1BL6TkZ+hlIXXg1xbBnakPKr+pcDC3ztOWQVGVB48mg2s4E
Are4/CS1pXHD6pBfaGCV0Xaz/1jlpmZ2y54yfrKmzznnEAH21KzKk0kaBfzqCajBTLaNSvAHtPJA
62izxo7b2QkdzsVvIAiVqnGSG8kHarCp9dJPc0yTkFaGODmY0nlU6ZKRqKtistcbAUmGnDZspESm
0HIhgtcMtwNRWJ2p7rD6u037hKBrL0FXXsSLVF7As6MDM2qHmnJN1XeZ8yAG8SgGWuntTIZGPVl7
vX8IsS8xAMXiTnht2/tFR9pZHxHLfkis9DJn91nkxbMR7BRWeDDinuAKMh/C/Dgb420hyoOmWeQ1
aDsTfLM3FP2mSe15s+b6oOVk9Mvxgi7+oLcnEZubTnufQMHYOtfMRyp2hABN5XbGo2k7B5ynhD4D
KSEcb8iByyRig8XdS41q13ajF+UdHw+XcXS/bsZz1Ro3fJ9EUoCg7k0ygUfhW8bkqmnrK81LbF2p
ZXMsIbwkie2NjERl2TnUOk+msAOZ4GQpuc0Ya0vtJa3uDR78Z0EJr+u0SKpPXfcZwhhCAZJ6ESJ2
9F+c+Tppy53NrLywrQ2kDS8Ku+FSdoz6NunDT5FVSCfgmbpvDdmVVKfsuAsMLS/i1lIB8F6Dcao+
R1oT0p4hRQc9YJ3SUy3ztw6aw426RAT4agl1l2asDw0KBpA98d4a9VtLGdR7M4MP243R8BHhCpk0
jNe2IMXgwKAqiR6KOiu9HOIffauSYlbNAPq5IYizW3bhYaOYneX3LdJdtxzXlmNdm9OzAbJ1VxoF
c5apEdEpFnVy1AbtCmivedMuwjr3avGVNv/fTfKvN0luf+2XQ991a8zZI3/aFr/+3NemkPEBValj
WjozZNR9pvptW3S0L+0iHUsd9x6K3e+2RZPOD9BqwNO/ia6QyX1rChkfMOLRLDLZbZkZoxP8J02h
nzD1tJxAINKqWpX1NKHYsX5chTPOrJXWLaBOoii/rPW2ouXYie6SwJySIxwhQ7UykvqrgjoD/09m
EMiqwJjAZTA6uTdhLG9ybQYOY6UrYrJTKt/A1Q0e2iFJXk8iuGhDOBGfGRnXZimnF71cXKJA0umO
O8s13RKqw9DOT3OEKR3A4L0BHgZmDUlLHRMkjzYSMZazcde2cczodyyuCG0ivmach/CuHlFMbB1j
psPbWUtDUHTJC7uU0ZwCTauet+USh8SfJqGYtnIRxSmaG736COGsSXyepSowFijQGjzcjx0GdjQ0
IBxU+zxY0rZMmCPMmunXEOm9prdI5pNzc8u6fpQ0chjmQsFUN2hnMN3HuG5vw9ayGZ/LPd00A0Qt
htCFA32QKYhMNGlYGKalM0k6xUW36OIibKujldR8RMkMyAQm3VgSPJQOLas6jRm3Gc3ocyyMEZba
qG8kmEPr6MC4rOaUzhIwmI2ZyM7HsBVgUnJy8naTXc2XSdIWl7E+h8cEEoQ/zWCc5OJI2pTpM9+S
tg0D6OcJ48cptTvFnTp7mxom+9VSroRU+N1SehvphePnrUNzbCDj3JuztbmjixvRGgXNaA3scT3k
t3YTAv3Rsschiw+Twn9TCWjfqVpFqJhevPQivBlQ0JmQIoO0D98LbdIIQCgcBn3wbdPYqj5aRLxt
ReYEXQU4uV/S6WRWRRIwRxAFW/TCwcvJlSvGMczyVLGrBxp/gFaTYFzazShlO31h4Sa0eV/Kim+E
5b6lHeORCs7PZ/11WoZelhgv43hP20RspTjEIj4uUHxTeK806qK7EOzAFYlD1aZa5wwL/B3aNf21
HasA//paO+Ij6jiTMEAt++2agOlLIpKDuoTXPqXt4NJhWS7DB+RX8SluhoMmZXqMRqGQXxW7fGdW
s3AeTTeKpviTDSx8Tu+yPI0Ow0DSmqhrl4wZCBpLupPm4UZSDRGA6pnuh2QxAIBYm2rQdChHaM1Q
P0e7oori27JoSdYUKIw4JEfMKDYTw1PKTR4vh/D4UBGfcmOBnxhCR54jKd3avR5yhLV5UaCUdwya
zlrW6DE9Un3w0yKeb+U8XADadX297aU0uprMUzjOD40ttdslNcvrsZUkrxfihHoLSSB1Q2l/zEAl
R/l8mac18I2BShuB81Fa5PM8xXf4E9oLvrVUjrNNRQx8Vt5CH6xZRxxtZ1g1Igs6qsBuAztJIVgI
gxJAyMfMGBn/iPlUNTPOUvkedQdYTYdDZaGq56hN940s4Vqs5Xs1gRBC/WSAUuZu3JRx2VEWjMq2
ATtaGsqzDtHsQs67BeTosYiv6iw/LPqyLxZyG1Wy0/q+MT8KcGgyK1gS6INj3zpmuYlyJoY8sSYK
sJkecOnJYYumrFscg0edc0i3sZ0MPpZqWOkIziecUr+pJ7Ng4qe1867Q40JcllZqe7LRGLm70ANa
fNWZDGcH5xfccMkxuX5EfEtOo2pkde+lpZb1uypqRXRUKSbopXSQj9yBoeUASrqcUdg3CUIzOZKQ
e9hxPEc+AvkmCoplxeaDruTE0errcbsu02rLhEq70iShnuxoMm4myVI2uaPhWk915cxM2oCmQ7Ur
g6uP8zwgyc0e6ZxUDiTWmsa0MBsqRgd6Co6TJZYCvA1DsjaLSF6zhJCflhzJOZ7YUmGfmNPU8aZW
aZRjq/XqOesbPpeyubHCefGWNB0DuZtroK3lrkM7i9+8v+/F0Vy0hjaLfELWXp/0hCOC2kshpCkN
WlubhJ5sMaRViCp0ayea/KKqyQLUkcHKIv1UZ864mdPxs1JqZB63QO+dWWUk24yXVc96CwHvJbFe
EKA4h1mlqW1as8rhwRmPWtXoLlq/rRVXN5xQzhhTHAL8bPQsI8qOwjKR7oLLGRrduujNydzlVVh4
SaIdQls6A2nMPDNRtKPEHRnIS/057ypp/Y5A5s215rbxeM1Ndr8odfJugEDcdwPpeWNeLRdgfzi1
wNZ9UGx5xn7ZzO9OpUSmN0QVo/+u7eWU7LsEzeyXY+N/q7+/V/39ciJ4ei7XkeCfFH/82NfiTyfq
HV0dJlAkd/huqON+V/3hVLHQsxs60sIvttpvPRHjA8M51ICYNHA6aisF6lvxp32w1wxcXlFbj/OU
p/+k+NN+bFWsxR9HbxN3Phak1cH+0xHcaDpohrB6d1WeSbs+A1QeJYRkI+9w6z5SkdtE010GB3mr
k8/kRfEy3RdYdG9LJXmMEOt7deLYryta5qBqhf6xE/qNUhaNq2n2Vch64apEVu/UqZIZMdHzw3DC
pqjaxanPsN92kIdJ4Yh2edadpTLjrFjxGoEhUsBGIr9ObeaPLsSVDJQmeY6MAsstkEQTpmDiLH7N
DPDOITrOm8I+5Hw51yfWrSn2hcJwcJFDOvgEa+ykEhLJzumc6ZbaIX5K6voNXHxp+VEPIATUZfop
UdMXcJvIGeL8BHvyMi0JOZqr/Jk2fbEZCVDxCbfs/FKf31F55fRHIvhuDRDnajB2kBEZ6wC9OqdA
OmkYGLt54NQ3FitNPzGoA9uRDrTZKl6oJ52fwvVn3ee8x3QFB6VNiyJETc/61Vh+ahHl4cpDtKGM
JjjDaFGujH1Rn2lbtaC2wtDT4hkRkyOKj0RPXNmd/KlQJlrOXViK7ayCp8YDFN0OaZvQYbDyG5Gb
0jYfqYv8Gv37jTFado0ib2TuC10WyVnG6QNcw6IxOrVzfZ1pojf+UlWGzCRR/6QS1QWsRMx5TSPt
27U8RY1ZsR5H5MOaw7Gl1kh4KjYkOwDWNsYjsQjjhSGXBLZn8QXT2jSA8zt5UI1jH0QfkeilY7pg
kc/LWlCnjdkdiUo2tk2j0roXveHBsgUuOYVbzibqAa5V/6Yg+blnMyTRVotzOci6piBTPlNWNZqo
nMEzl2TedhQwiW/K4Dbcle1WeXqtpNltMncK6Z7klnh5OnLKMCZy1R2zxY0nkYbsROVDvJ5SOOTr
bsfBJana9IJMTv0avCv8SDuMyo8zuz0oZmvZGBXRkDAokfIXZpNeiXqwX6PeGIKkTG/avFIPPC2l
X0VFqpwo8bLL4svC3f+2iPeYg48FMoKLmI34CoawtLUYF362QyFtFZQy1/CleUqsKPocNgnsXCCt
w6fZkFVP2EK9oo8g3yTCBK2rKC96HhIpOXUFBbXByFwtiMbjdnITQhzyopq37MMHeSQqxoJXemFH
je2bGGyDMe6ItyPdju3ebfr5WPdocqOFBC4lfQRCjmo9w/JRRQQHUeUKxEF4R5y+wusx7cizgPWU
11tn0l4jWRk3ZiN9bpi7xwTjKNs67g+aRdKNkh5zVbnoivAxjIhNbuJ9JcYXBgmcDZxLGX6CizXT
2EzL8FrEk3KJEfyNCSjjlqHWfcWS2w1JufauUvpnmM7dIV67P6TxxK8zITEHYdrdTVGp854QlAVE
bWIjd8vsrRDdZ5Zi2n2G9ipAFG4kJkMeU2Qb6WiSXOggmReIu1syk5XLsnFOKXmZnoZxNyhLafZx
XlcbjbgwEHwMkahRFwaNA9MskXsOX3amj9SwNmVtbm6quutPS0267LzM89bSa6rRSUUuG06nXFGS
vVqonCoVKCKcx8xLRqXKTWaU3bVRRoHmiGQPIDL3UP31LD4lyQ1E+Kmo2qRcf+vAJQfqqqDLRAQr
bVXV6au+rujA22hkn6O5Q32Xrjq8ZpxWdOaqzpuMVU1n/i9759HcOJKm4b/SMYc9DRTwJjZmIpYE
nSxFeV0QlIP3Hr9+H8hUSVWqnu5mH7QRy1uVJBBMJjK/fL/XdL18ZTzT95qRyedrfnWJiwX0PujL
wVM5wPkrn+l/mI54F61UoE+Q0WXhjy6iJ4rw8HdVz501mBjieBERfZwXud3VEZaskaFNGpwfp5Z1
aGmUxXnbAiQSUdy01nWehCVHuQS4z3MOkzq5cwfrLBNAglt9KVuLTG7caUGocDXFfL46rWNnlXfu
E+usnaLAoY2+litfsBFAnIoi20oKsxaoXZyHmtzZ2NneKcNpjK6iNPkbScquY0EOTktRXGU6i0Nb
0F7nL9KLrCCSxModVBSZ4Ex0oVybeg/YazarRjPZrMYTVK1452Wku6QM8bCHocHaHClYHmPODoGb
B9PqiQOQ4rSc9qSZ4CwuCKi1CHhOiLkelLSdxAQi9xh3L4i7sg2MuPE9spSUXIUkPSJ7yLr2idcR
SEqwsQlrFjA3kjPUVPNQRagjKUY1FROLvbRqtHU0aBujb719WQ7QvTjmCvCStriqHHcpw6wZZ2U+
gIMILWdKEJRJhZFgH0TYEGAMtCxzxe50pDURDGzg+wc0WEQChNIZUvBbxWvJTBhUfa6W5rkAt+ex
rYxr9hQTCyX36f8Lzz9CRTNUSUEDBVcMOaWI08VYs/26TXe4fdiG3vsS9NMLvFSjJs02GYqZjr+b
OrbdvlWjdOgQvot0hUajQywKvjXoFGNPpC7E1exFxjnqVl6LUWWku2GAKlGMWnSVMCT6E8Wo+Zwk
+l2YLIzODshQsHD9iECqUQUlMqy8ZdQaMWRculcs0S0FgZnFMD0VK8EhWEjMRT3aLImVZuynuFvV
k0avguM2G+gaJCaRGTbp18WlhpDxuLTM/jILEEhOE99MsnkRxjzdRBtYmzgLylMjRDI1NQJ0/ogI
BxivE9QkQjHNGomWlCLS8S6DXHbv2FSFbNWkqXpUoujfJ2O33TZOn9xlXqiN3m5BtkjjhCP6oOEf
QK+mJF+0xVDituhDBKtKanX9ohcrkRNrFGFMyNnPwbW199TArtlO8/3A1P3TLiOBZxoMRX6ucZQ9
q00swfWwBlShDaDfyMScoV6UemHaNXLYkNDEyXouY8o29iI88SYPeoo1i8huf2qB7W66xG/SiRYo
zX2gCd2+FcR4MNdYW2iClsxyAnbOZC2or0AvtHUsePHGiEOUd5VqwanPhkUjdgkm8zoahQYVEcx7
jYQBV+/oHbWCOac/BzvHlWvvHjED36MQlaPiQtYbTArDdjjIBF15agFfAXjcgSzUOKbMdbP8ZpBD
9cSq+0DCnDxwimmM//qFoY4e8TW9qrUH3/gYwADSnNVlkMBrQqcWYeQDfARu014Yki5c5pbv0Vtp
DfGCBA8YUJaOjmPmE/bFyu3Jd4HU5otiIOtEkknRguzhlkgDdLKkyEyKjVmcOdYB+2J1SH2CJCFX
6CEZQe6XKzXOrWISSkl1G6uhUNiaWpePLia751qTAo2XakW4hFkJ5tRwavMIzhO0NUhPUWRXWHEu
wjworRPNqjHur/ogwR/QagDYeiFK/aN2wC57Evd5qs4CHNYV9AeD8ZigWVVtL8oR7BKvng0zCH/Q
VwQLV4xJpRXZLXkW3jWhJ0hMY9y2T2Ky0hoS+uKe3RwP+3ZJalMNZuQUXT311dhn/JDnmFOFN+rI
Le69jQYIjgNsqbvXcak4Tz4ajn6/iGTnMXT0aon+vpbuacOKMWc3XWow/XcGplSnVencKBQPu30K
uMPagkA5caLIXHltW5JH4XVgRWzqtujH/BtFjnAoCT6E5waQ81ZNhyFYV16jowjqiHsJ2j6+wKRd
fSCRy7/p3BDRZGE5RmYnPpFd0BC1eSACpE5VKWlXmQccM/ECILiJL8CDsWkmRqBpaVhJ08Zy63lv
iX028YbefLQaTJLssLQAFI1IQwPQVcapWDvlqqGLgTV/XHdnQmSVd1ahlVcBOUfHajdQ09dlRRHl
dWgDEAw1p4hqyqu2IDiIEig9GAYpnyO5FfVZx6ZNN7BBLgd8XvkTIfXUmZzh9j7De5DsyiFosqse
09eDRAo1b6YHOkZ8Af2IFQqBDsqWo2CrxKxsyZ9vwc49DfwSi1h9ppdpc2+h2EZ1F9SGNYWPWh1F
YdRvdDhB5oijZs4s0vpuAVtUW5A8Iq6g2iJPk/kabworHB5QjcI6lSuxPxLRRBzVyOSOLARSHNZT
1di0ceafNY0AlhY1urQSW31YqrAsN77ZNiclUljCC9tEgNhXJ9cEGBuzZuDAV3IgPQfoTXwIqO4w
D8I2ItoDz5GZUIkUd4NqBreJ36YnQVRo0DXdMc6x61ZQBYeHGuqaOe09L5VIU0kVY6I3Pd89PXEP
khbi4huYFeGNIbky3DicaYhw6YyCaAqxuuDbIV5B5GR2osRtiQQaAtu+QLAI5qxmqViL1AyorHxc
4OAGKi0SRtK57+Bz6eeVWjMJc7FGkeK2eXCL0i27hutMdgI1LCmKcq1WGlXRIBNtGQZwJCqDoBSY
lGJ2WQacJTeymcZETfUKi44rqrmtCHABDrygF1u7YfiHmeGT9z7Rsx5oQo7QJ68KkeCmkwyR+ZE7
+DQu2sTqQ5voPuu4yI3orvNc78kTCgRWpYh4RC5KnOMjhe0GOiD9mtzBV4zjmDHDERRQ3+VUsFTh
8dE8SPNuX21ywG+ldyI8wRt9mGpNFHNaTSuCIgK5KW1IoC7ycKdbt8TNDSSCCuGiIVtvJdG6A5Cv
I4RuOC93c9LogkOlkARtKqeVAi9X8RZNd1LU3YCZSFqm8BfKZkAZTcBnHcfwLMRcxdkg1+PgzsAK
eEbsw0Hb+eRqBhGVI4lYTX6apUZ5pURmSyAUFQfZgpVGyyEEuSU6ikQkl0blPo/NaLMbcmCfqFW5
NHRzUZXRoKNuiW4is7AAX2PqhzAfrf8TK9r3lJZAQCkosPAnuVwTJyw7CeuQJiwKaaOY3aksAWVj
dD48ROwGbNR+dR4lkXngDmlHF8Ixp2pSVpvEqZsnlc1nAYNN2VcsfWuAfeDCa0WEa1P7y1VZXiid
phCSqZFmCVxOtiYmGo9A8k4zRd5hrWtJUuZh1NbAQWAv+8hc4pne+/XSsSToAAptO1pqftAdgnhX
h4mbiuAfTngUaSzkM6xYcqSzHaqsKWJerIArXcLx3msEaVFiaYplBe47q8Ev0w28mohwwFY5NIk3
OiCCRj2ovRrCBOBmeU0mj2WXWmLe672DO7qeqPmJGkfmBjKpAbW5SsCrMseZyJ0gP1hMGNsppeQ0
DxDH5uR7qbM4pAkqalV2ISI3WrQ1X39q5d51TO7v2CAMh3Li6644kYzAOE5Ia7uHDK+JM8SXKZyj
KrutCgsmS5VX57kMqYMsqmytg6MfJUUAtteGgXtcasBkSmpgy66JPsK4iJg7ai7ZuI1xyOin6Whs
r6tjO0RrY/cRY0TvJHYEunV1ZoDwkBMDez2rJDbQtK5vGrU3ZkaTm2eCqjS0/kTHvTHEkPQ412+6
W0H3hFuCHDnfBVXQwcAM9IVHZucJLXpl3+ra8In7LdYclPo7a6hxexiynjixzqf/NGkKswKcbMFD
g5KUKFtxfYJ1da3vT02CYeYGJJ1LzlRYI+VJvLVg48D2QIrF2ax02gqVdZWQEZErKBtZ9Q4l161Y
HXynOPULhYZLmukgo9UQsVLJaVdF5KPj6bNvBEKdLmpyXZ1VBrTk0qDp9GhOwKZ0XGaZejW6qoAH
lWLYz/0mbmj/FqaLAYIMsdh3jSGeEpdWVjbn8wIGOTwjZVrLOYQhp2+Lm7byi8AuaMOkU3+InCMf
ygK9f8xBVswQa5imsl9tXc9gU2vx7t6EjcH4l2atwhWNgxpYOI4uVdXLN8CgpFsVnIc2Qa9aI3jr
TgWCJQ58WkCEzdbioy/lJqoprUzkGftuwgIo16APoVloZ+jzUJOiJ+Gpa4vSSyDpDplvSwJHmDVW
Yo1DbLWmLo1IRqwahipu8iR/jYpQtormSPbLzEHgHbvutCOrYKFLlbmJIjnL7cFqQUTpO6tPQSxY
mk3mgnRhaUK/9U1BfDDNqK6XaTuwk4dFUdUUqwGc17zOuwxgMcgQIFd0f9XIfZLd1N9U+MlMeyuT
/Dk15kBOj+nPBiMtTmszKe3CKFiiktLU5z1VW2CrHRRsywMKN8Wx3anrpbO12lzeiAklBtJSjxiI
IgZZmXWwhULqayKoQLoHarS6WFkDH5y2KbndgpN0s8JQeExU9mUsXbpaItNTTLcKSQfyOmjcaOY0
o2dgJnfrVIxo4OIY38oTdBjwoplV8tSJc2/tEA+zUkKTKFsxJqGrB8qWOAHJ+TAplJF2b3BJ9yLw
Ve4JpUt2mQE4l3YORe0pjdBVFwrpzZQ6cBIiskltgchRqFngsEXR0ZWA9jYj+jRzcV2hApzgmyja
blJVs3qA9Q6zMdQmmuhmWy8SioOQ7DMKfGLflkIlWU+9SltxAVHe6I4k/FLPG6HhKoT+IW80QK7Y
2iVdXhDn4OzTByzu+8iiaB7ovm/YuRHxKihVD0wnTVZZJULQ67pUWYhCWU8xwCLbkT1k5hZyPtNl
j+ClJDCGlRogOUZEUM+sVEAP2Jc1yuFK3Uf/K15TB+TkclnJHE4IvG+tigjrap0B6l6Tw6czXN/u
8FRAEDWqp2Ps9jD+yKN8AsHAPzXw4JtJRFmgJzEt7UCMZcopLXRm5GneUadaC5FncpbWVTmD8O7e
kide3fVYQKCzhKxmu70c3rplapwSsFBCPVHjYL9NhWgxCHEMM6DqztE4rXty1W4kMfJONb/guZQ7
9OaOrnX7Zt60SzWL3ANdz0LGXfcRMkSojwiUxZ84FOWrvBjwCifOXh8r9Jj8WpFW0QTzVHxyKzeg
miVO8E5jiVn6lKX0zbugPGqTqGYSIV2oiwb6pCyQkWu7yoATfVpTRIuxn57DdzDnlHD6mqAl9Uwd
UmWFYEjATAGOfqunJQqMgPZQLmSw01l55ZXumubM6BrvnEfPufF0eWBpc+qM5RFj/0lZNxbkkQSg
PyFAal9xPH3dqLIOlmmaKJQUXQyPNEEht9D3SHSEOmgCxAYBJge529uaGCPUEQmjIFm8L22nDqqz
Xo78C/iSzdoSXO2eZ1daS15hPWLJWc4LK3DiiY7SX0CQp0pXMqpt4OAwWGm5HkD+F5HciCTKTOOK
9cqvaxnCkRkHqyipkZ4mcbx4bkKFloDwLNMzm9Dn7kCI+LChwUUmjpDklKxuiotNpNRXBVudx7vl
0ZwUMa4JnnzmyJF5Xnk1arW+zlDQE+alz/HxI49VkbujFHEtBj1ULtoUUUxyLhH/NtcJcF6nqvxk
cBhkVyY2qQTzFarDXu2My3H7nDVhaCabqFPbS51Nme9yyFNzjmNF9UC+VD/9J4fzKHMIc10qpFFP
qqjoOlvUA9I3h97TTga2lNqOkJOVf8EO7g/Y2vwfMqwx1JHvThyBrJIhpGDcDLXw1yDi51z/3/4H
8r+9jbfJswyAWfURZvzkLb4LAWRDhgVBaoWIZfA3xqMh7pkGQlgNJYCCDPW9DFYcO+U47vIDbhsA
9BvOKKMEUJE/WhjQPV/yT8lgpWdnze84I2ODhTAoI7wqXYV6Y/3Q9Oa41AauPqgzp72o+/TIOpfm
dFgVGrQTuqwm4WzaXCw3ygVCJfqHKJ7K3IdIfOV0lY3p8NRs1KkYxrdU9AQqwv7AU0uYGybh6RQV
ThmvPPOu70BvMqSwtX9Vt7eUQjMBDA8l4ZmSYaQt9yeKV8wVYR9dUNFNo6WjnzfysfvgoQ1PtEPi
3qH/HqVFjYn0E2DVNET8yhpBZ2ylBVVMWK50zPJo40s3jXCfj8dSkMw5TEmCOccbHp9ijqjTHSvj
4867pSijwm/vRCtB/iOeYqvr2ZR65kRTsA0oDTJdk/sqOtFNlH51E5KEGpQThExjbuGE3mlryGsp
gBMYDStFKeZiLy8FNd6nARRN9fhQ6UiCpLw8KWs8wnO3sGtBAOMQ1xHm0F1GAxvH8keN3uk0ydUb
MRDQYsizJnVnULjAQVr6C+G8R6FcoOkL9AJ3iPKIBPc1+UHHgCP3oaEjo+de277XJpkkX3Z+f5EK
w1yOrZmrqkg8gK0nns7pQwcGwgLGX7sxpkS5VeILYvrHOWR1qIXvHpvPpB/PbNkPc4vnDv9oEsUl
Q8WU6Ye5FTZi2fkpnm7dEF8UlUCbWS3XXUMKfDv6h4m5HRn6fgWHIcpOtLhbaJJ6UMXI33pRaVDK
Ihl1HGul480QCuLcr9t5EYTOpHaUtdKk0Pm0MwUmACoWiijFP8iTA7FWF0WWHEj9XBLMGRsXSYnD
qRZ5S9NoZ4VkHVd8hVnvP6mFttHCG4FhdljF4YfO3SCcu5JHaDIZKS3lcFAemhbKgA7pciEss0Fc
F1oxbxR13YvWoa66Rx2aZ6uLF7FXnQc0P5mSiwHiiHSrg0DC+9rP9eFYxEoZAAzSh0FCMX13+lY9
8ozGPzRRNufRQnA4qsXmXVz1yygiz6kloJKCBxJCPRwOGOSZprMlbGeORcLYm0Oo8Hz0k/p9losr
WXbhaJzLRXFUOOqSXv550t0OgdYdwL9MYctJxk3uKKhHvehaCJSZl0kLPWCKtLoK0d5agvQ+iB33
2MT9iQuhmI5+qkHyVOqDvKUroA+3vz9NZPos2Y+zBMq1IiKGEkWLxskH5cuQYvxbtAlKtzR8dBGg
OgyfU0i3OeesoSn2yfvZ5E54PNSYSJQFwGgHl1edSLAbCAM14EBagR2U2aoYrBNPjlm7qk1pWnCf
q3AdeM1TpiX/YXbTIvrhvmEegWHSMtXYYHA5+KFTU3JIozuC+iI3CoLWZLhtUIEHkpRxgscNClEI
0XggMqyLmasvhZhFKpdqIqbnHcBK7gEHGgIofpG3wzQzDOasK884Jy6NOkD/pEfH+DmdsbAulKhb
+0FND1i6GJQxoVN+cDVkgkgrHcWs7BSV7cTx6eoUepWCvJosjY38JAJvTNyqEg7BAeGRDBk+e1m7
8Zpm3Zr1QaY7LnBEgoDCoXrRrVt4G9JECZtzXYpOmkgdJrWWPSVC4M00JTtvK+GJuLxoavr6ky5E
Z6UeXEPTWBREVsw16SkDEfI6FwEud+Dmq6LEscAEnfW0S6g/CzydUf4Xd60nrHq4B2nczmBbu2I7
FRuMzULC2DPOyMSeE4wK5bs6EgV/XVIgT7CoQRVqLQXCZydeXV8FRXWRi4AIiXo9hPmF63cn5NoN
djMeWjBCIuUAA1FxqWHIoHntUnSxgamCe0fMziJIF7Ws2BxU6B1pNolvazcRVxAl161q2hSAZ7Ek
c16JdbsWrZklWbhDaXPXE+d89YciuaNt07LL+FfA0EuwwRmq96kGlpweVg7UKSjslYUrpOFPpPI6
GM4cFKGhb9pefWBl4Qr+9RWKlWDRc8ihNyHNOXQvzHCYeeOZvlCqJ1yOpl2lr2tRtfMiuMnRxE+s
MkiWMpzX0XARQEU3qqsgNk5TyLRUnTlBwjRjrKxZc2C+zyPMcAT5CWHwyhGsKxXU1BHSB9MV5lk9
4I6ZwjPgMeTAla6rPFzKA82FNDuLW30TusGBKiObHdD25IOGZBbGgiNUtpXWc4yabcfFji4KrwO5
RcHaLeMaBRmSWCRzVXyheMm1W2qHXaFcEg5Ct0S/1ob8vMMHc8asXuWO8TTIyoFTe/qsLVEER5JL
njWK8BpDC7twzWimqcNh6LJr6elJnFNeGIW4VUvOdXJbbFKl34Y5cak4q16DqULYhq029RFAFWp1
0QzmfmNkIL8i8Hu4CmXtEnNd5P1Sh9wtOJdK/bqW6wOx6+5ixPkTIYlsKVKWQtvZnSiusc2wQ825
jGGfmgUENtXa4OV15IY3A8f71KynluMdl41/it/EjCr9klbo0+CT5s6IdZ111vXKlZz7i7QaVhB+
Nw5x96H5ZA3ibUcHz5W7uVRb9wF6Lz8m4dHVtI1jPcYcGg0slITjwjzOpGNNOUnqTdD46wJSVq3g
sqDgqiBPqsC8iLtyGlJ1pEM1TVDlNxmdyeART6RF0nL+Ka8N67wFTPY7lfDtJ3qFtiTf1O6Z4cYL
3SwwwjqF9wNdHsFaLTNdhKNA3HSyP3aODkUnmhi9ChG8X/o6iL0xR80wC9FyAAeyP5xI7T3ismls
KNdVDTbT81yH8jWeenHXTuHciS5EctbKq9yRw2nta7br37Xl6BPxRC7vNM6su05RopEKeYc4mxQX
7Pd86aFpgwoxnRdPwtTCTZbWpWa1Ng1fBNqpuQpAWCdkjeKb4MaXfo8op5N79UEo8CgzcZCni2LO
WzjEWpGcey6kwiGQzq1QuEn7/ioNh2djisEh4bnJ6BkrOFusgBhJF47MZGboHLpIf7lP62FhDsaS
3tHYbIQeZ1JOuR4NMxVWWSFmsxbzpzhotxXuqjVmfXrrSNO6wp1ON+7iBlvx1nvEHuyc3GAsjgN5
GQRQ09OS0sRy4nDmGEj+ZcHBMQ/8nSZYhrEkhTp6FeUpFEFFpIVb6fuqmuJEWByFbcbqq6Ku0I77
vlqYSi6TLK2480Il8FxtNcGm3+/bNEuFaala1Qyaaz/5pzdw0oXtZs0yzVqH8mhRYtbnvhhfF4NL
/nDqhcwGZ6N40j5j489wmB/pbZjqpQacG6Ks6okI522ixvrZc3XwN1Cux0t8s1n9c77jr+/+qfH4
NxOh8afr1E+q8/Qnd/I/9Etv9I/PL/TByZwJk1SjL7qLbPf9wZLex7tq6tuVnl3Uf+8K0bbyq/rh
8V//kOGlYBxPLiPpX8+vf/wWpYn7+mPD2oNagzgbs9Xn14vE790I/WoMfv/j/Wzx/vN1PnyA7UMM
z9PHZsG/rz4MAdTuPzYGP1zi+xjgzG6QkSOZCN4/HwPM3gEHCIh7fr2M+Rcag5ENtOMYyDrzALt6
4kA/GwNL3jNlAxRjDIkbX19uDAhbBDr5gNs8T6mfn4VfzgMZLQETHW8FVAjjCyDo3bNg8mPSI8FW
Xt7oC02AMZ+AZL1dP7+MloKmGREEr68Pn9+Q9tC8Is/gV15ez+/3hYYBlw0kvuofXBN/OQ8U4DXS
mbDfwFHj53lg6HtjhCkO06/jxImVeff1xoET527Pg7mHBR4eeBgofzYOxh4BGCp8R3Jpx9fX2xsQ
7JgyWvJdB0Lak4GnkFCDQIyvHxYGGcyV0E5EA19uJpABtuunJ52EVG+VAKtPPz2Pg8SyyaL5VbcG
SRWVXZ8FRcJkABkZnpSfTQHDGP18ZOnVgF4Uv+yzsGuxJI8JN4jgLGw7n1+gth83SU2Hli3TNX1+
fb3FkQ385aa+5wv92UpBEvdUikFC8F6XPkb13SDwSKgi26QqvS6cX3BdeFkZ+fJ22iLYKvmu4eCD
/H0yGzg+yDTJmSwvP7UgxH+xrXKUk+44CDwSmM5SDyCvfn593B4Mc082EY8qyutk+XK1s0ri9cuC
tcMjYe0h28XMl0PCZ4PALiGao6fWV50JKD2kl+n51weBmWCOJ0VUIB8WBNPYswzKZgyFX15f7jng
5sS/oW42VZlz8hjH93451PZYCU0RceDLp/9yD8DYgd/103OC1vCxxqTt7fj0cRDGqcH5hHXi5fn4
clOAPVvf9QGQpD1R0gmyG9kK76eAyY5oiGwGL4vtVzos6RKWiVSvO+4CkrHH8q/T6/vho1t7tC3H
w8Pr0vey536hESDOdQy23KkQYPY/18f4uX+2/KOmo3YGaXyrGv/EEvAHRuob4Dr1/OjhGY/1H8t3
YZL/8Rfe4MqfL/AKQ64e/vWPEW798IujMcbLpR+/6RX//QFXeIYF3v3wDSZ4fp/XP3/9gD+/9Yf3
evtUb/+59B+LbXGPAeXzW7/e5vE2BtWFjeThSLoutg+PpfczXPr9hv71jw+3+24W/O71y/JjfNcL
ArnrZSe+ty3e3+0LqLfrZZfbot8m2/cXhug05t7ufGU/3t572+jTkX45de76FvvbOK5/+69tnP33
bwfb0qNd9Hbfz1MS3J5nadd3OdgWCQ2N8OMgvYAHO1+beRr9cOHnI9iuFz7chqW3fWgfH7O3EXge
kjFB9e0/PrWu+bbS/d4cP9o+eP3nz9DLmWHX2z958Ln9txsd71yGKfI3fJnr+qG+9x6Lov9wcdLH
pbf/+OvDsq6TYHv3dp3nu34pHXcdjs022ELr335ocL0WZrte+8wPQ/9D3iB0orEU2fXC59vYj3B9
fqjfrjWOyGsltevFL6oKM+lPFvHXDXvX6189ltVvk0eyS6MPd/9yENr16kdbFnMWrOpjDszrWXPX
qy/qgKt/6AR+a4LsfO1fhT9/2+P/4q6ZPHxjCB/79+kd3+6qHD1Ry/fjD5aKLfjfsA78T1Env96e
kH9Iz5zLXYfr99M8dxwzojeyXycJ7Xjxz7nc778Lxkgc+ddv//fX183/YH+74yf5fXu1XS/+6FLj
bPsPe9VLr00B+Nx1/tiPkee/XeZ5A39p4wHZ73zpb8/bD4z8107h37AfTtmxHnxc/z+W2d86kbt+
BOKtt1Xllz+9w/fe1q5v8bzP4IzCB3kb8uev4fUd/oZaap+t4JfX/xum0Pkjq6j7Y43//WC/6wj9
UeeYHR+0z9ejv6It+d0b+ey8+a1//fMp9I2r89mffTxij79xHz1ui3//LwAAAP//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 Id="rId6" Type="http://schemas.openxmlformats.org/officeDocument/2006/relationships/image" Target="NULL"/><Relationship Id="rId5" Type="http://schemas.openxmlformats.org/officeDocument/2006/relationships/customXml" Target="../ink/ink4.xml"/><Relationship Id="rId4" Type="http://schemas.openxmlformats.org/officeDocument/2006/relationships/customXml" Target="../ink/ink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8</xdr:col>
      <xdr:colOff>416378</xdr:colOff>
      <xdr:row>6</xdr:row>
      <xdr:rowOff>176893</xdr:rowOff>
    </xdr:from>
    <xdr:to>
      <xdr:col>14</xdr:col>
      <xdr:colOff>76200</xdr:colOff>
      <xdr:row>14</xdr:row>
      <xdr:rowOff>24493</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6B96FE55-88E5-28A6-8777-D9FC99592CB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804932" y="1319893"/>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616980</xdr:colOff>
      <xdr:row>680</xdr:row>
      <xdr:rowOff>0</xdr:rowOff>
    </xdr:from>
    <xdr:to>
      <xdr:col>10</xdr:col>
      <xdr:colOff>635700</xdr:colOff>
      <xdr:row>680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48D1703-EF2E-4F44-A07D-DBFE45117744}"/>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10</xdr:col>
      <xdr:colOff>616980</xdr:colOff>
      <xdr:row>827</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BEE7CFB-F211-4CB6-8BB5-59B32808403A}"/>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oneCellAnchor>
    <xdr:from>
      <xdr:col>10</xdr:col>
      <xdr:colOff>616980</xdr:colOff>
      <xdr:row>993</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F8B52214-9749-4D87-A1DF-E2B7FC8EF936}"/>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twoCellAnchor editAs="oneCell">
    <xdr:from>
      <xdr:col>0</xdr:col>
      <xdr:colOff>895320</xdr:colOff>
      <xdr:row>0</xdr:row>
      <xdr:rowOff>120600</xdr:rowOff>
    </xdr:from>
    <xdr:to>
      <xdr:col>0</xdr:col>
      <xdr:colOff>895680</xdr:colOff>
      <xdr:row>0</xdr:row>
      <xdr:rowOff>120960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5CDD30C6-0730-405C-8FE1-05256DEE8C4A}"/>
                </a:ext>
              </a:extLst>
            </xdr14:cNvPr>
            <xdr14:cNvContentPartPr/>
          </xdr14:nvContentPartPr>
          <xdr14:nvPr macro=""/>
          <xdr14:xfrm>
            <a:off x="895320" y="120600"/>
            <a:ext cx="360" cy="360"/>
          </xdr14:xfrm>
        </xdr:contentPart>
      </mc:Choice>
      <mc:Fallback xmlns="">
        <xdr:pic>
          <xdr:nvPicPr>
            <xdr:cNvPr id="5" name="Ink 4">
              <a:extLst>
                <a:ext uri="{FF2B5EF4-FFF2-40B4-BE49-F238E27FC236}">
                  <a16:creationId xmlns:a16="http://schemas.microsoft.com/office/drawing/2014/main" id="{77FFE4CA-6049-5394-6F66-992D8FC59BA0}"/>
                </a:ext>
              </a:extLst>
            </xdr:cNvPr>
            <xdr:cNvPicPr/>
          </xdr:nvPicPr>
          <xdr:blipFill>
            <a:blip xmlns:r="http://schemas.openxmlformats.org/officeDocument/2006/relationships" r:embed="rId6"/>
            <a:stretch>
              <a:fillRect/>
            </a:stretch>
          </xdr:blipFill>
          <xdr:spPr>
            <a:xfrm>
              <a:off x="889200" y="114480"/>
              <a:ext cx="12600" cy="126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171450</xdr:rowOff>
    </xdr:from>
    <xdr:to>
      <xdr:col>1</xdr:col>
      <xdr:colOff>981076</xdr:colOff>
      <xdr:row>6</xdr:row>
      <xdr:rowOff>2382</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1B434CF3-04CD-2331-A0EE-30DF7514C9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575" y="171450"/>
              <a:ext cx="1828801" cy="973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40479</xdr:colOff>
      <xdr:row>6</xdr:row>
      <xdr:rowOff>57149</xdr:rowOff>
    </xdr:from>
    <xdr:to>
      <xdr:col>1</xdr:col>
      <xdr:colOff>981074</xdr:colOff>
      <xdr:row>15</xdr:row>
      <xdr:rowOff>38100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3ED4D4CA-F92B-1E15-9ED6-7D6E50FD935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0479" y="1200149"/>
              <a:ext cx="1816895" cy="1695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6</xdr:row>
      <xdr:rowOff>182165</xdr:rowOff>
    </xdr:from>
    <xdr:to>
      <xdr:col>7</xdr:col>
      <xdr:colOff>0</xdr:colOff>
      <xdr:row>19</xdr:row>
      <xdr:rowOff>180975</xdr:rowOff>
    </xdr:to>
    <xdr:graphicFrame macro="">
      <xdr:nvGraphicFramePr>
        <xdr:cNvPr id="4" name="Chart 3">
          <a:extLst>
            <a:ext uri="{FF2B5EF4-FFF2-40B4-BE49-F238E27FC236}">
              <a16:creationId xmlns:a16="http://schemas.microsoft.com/office/drawing/2014/main" id="{E8D8DA8D-42D0-2FC0-1E31-13D9B42CB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112513</xdr:colOff>
      <xdr:row>0</xdr:row>
      <xdr:rowOff>182169</xdr:rowOff>
    </xdr:from>
    <xdr:to>
      <xdr:col>14</xdr:col>
      <xdr:colOff>600075</xdr:colOff>
      <xdr:row>19</xdr:row>
      <xdr:rowOff>180975</xdr:rowOff>
    </xdr:to>
    <xdr:graphicFrame macro="">
      <xdr:nvGraphicFramePr>
        <xdr:cNvPr id="5" name="Chart 4">
          <a:extLst>
            <a:ext uri="{FF2B5EF4-FFF2-40B4-BE49-F238E27FC236}">
              <a16:creationId xmlns:a16="http://schemas.microsoft.com/office/drawing/2014/main" id="{31C80971-FE7A-3CD3-B4AA-A140747A5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98593</xdr:colOff>
      <xdr:row>4</xdr:row>
      <xdr:rowOff>140702</xdr:rowOff>
    </xdr:from>
    <xdr:to>
      <xdr:col>11</xdr:col>
      <xdr:colOff>432803</xdr:colOff>
      <xdr:row>19</xdr:row>
      <xdr:rowOff>126665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99E06EE-55C6-F6AB-42E6-61E81A0488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80318" y="902702"/>
              <a:ext cx="4372810" cy="28434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312056</xdr:colOff>
      <xdr:row>41</xdr:row>
      <xdr:rowOff>107042</xdr:rowOff>
    </xdr:from>
    <xdr:to>
      <xdr:col>7</xdr:col>
      <xdr:colOff>442685</xdr:colOff>
      <xdr:row>56</xdr:row>
      <xdr:rowOff>74385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34F43AB-606B-BC63-E4F9-9B5F30E9FB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74206" y="7917542"/>
              <a:ext cx="4350204" cy="28248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257969</xdr:colOff>
      <xdr:row>57</xdr:row>
      <xdr:rowOff>37306</xdr:rowOff>
    </xdr:from>
    <xdr:to>
      <xdr:col>7</xdr:col>
      <xdr:colOff>400844</xdr:colOff>
      <xdr:row>72</xdr:row>
      <xdr:rowOff>42069</xdr:rowOff>
    </xdr:to>
    <xdr:graphicFrame macro="">
      <xdr:nvGraphicFramePr>
        <xdr:cNvPr id="8" name="Chart 7">
          <a:extLst>
            <a:ext uri="{FF2B5EF4-FFF2-40B4-BE49-F238E27FC236}">
              <a16:creationId xmlns:a16="http://schemas.microsoft.com/office/drawing/2014/main" id="{40388E29-E45E-CBF4-B11F-8EE4D162C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7"/>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8"/>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09"/>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27T16:47:31.710"/>
    </inkml:context>
    <inkml:brush xml:id="br0">
      <inkml:brushProperty name="width" value="0.035" units="cm"/>
      <inkml:brushProperty name="height" value="0.035" units="cm"/>
      <inkml:brushProperty name="color" value="#008C3A"/>
    </inkml:brush>
  </inkml:definitions>
  <inkml:trace contextRef="#ctx0" brushRef="#br0">0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Ud Din" refreshedDate="46106.805554513892" createdVersion="8" refreshedVersion="8" minRefreshableVersion="3" recordCount="992" xr:uid="{764C6FFF-36F5-4C9A-9792-28132C0E43C9}">
  <cacheSource type="worksheet">
    <worksheetSource ref="A1:N993" sheet="Main Data"/>
  </cacheSource>
  <cacheFields count="14">
    <cacheField name="date" numFmtId="164">
      <sharedItems containsSemiMixedTypes="0" containsNonDate="0" containsDate="1" containsString="0" minDate="2024-04-01T00:00:00" maxDate="2025-02-26T00:00:00" count="331">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sharedItems>
    </cacheField>
    <cacheField name="Month" numFmtId="164">
      <sharedItems/>
    </cacheField>
    <cacheField name="Name" numFmtId="0">
      <sharedItems/>
    </cacheField>
    <cacheField name="Category" numFmtId="0">
      <sharedItems count="3">
        <s v="Decor"/>
        <s v="Fashion "/>
        <s v="Electronic"/>
      </sharedItems>
    </cacheField>
    <cacheField name="Product Name" numFmtId="0">
      <sharedItems/>
    </cacheField>
    <cacheField name="State" numFmtId="0">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Status" numFmtId="0">
      <sharedItems/>
    </cacheField>
  </cacheFields>
  <extLst>
    <ext xmlns:x14="http://schemas.microsoft.com/office/spreadsheetml/2009/9/main" uri="{725AE2AE-9491-48be-B2B4-4EB974FC3084}">
      <x14:pivotCacheDefinition pivotCacheId="18086606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Ud Din" refreshedDate="46106.805556134263" createdVersion="8" refreshedVersion="8" minRefreshableVersion="3" recordCount="51" xr:uid="{6A933C9C-CE5A-42C1-B235-AD3D75963946}">
  <cacheSource type="worksheet">
    <worksheetSource ref="D1:H52" sheet="Main Short Data"/>
  </cacheSource>
  <cacheFields count="5">
    <cacheField name="Party Name" numFmtId="0">
      <sharedItems/>
    </cacheField>
    <cacheField name="Product Name" numFmtId="0">
      <sharedItems count="3">
        <s v="Computer"/>
        <s v="Laptop"/>
        <s v="Speakers"/>
      </sharedItems>
    </cacheField>
    <cacheField name="City" numFmtId="0">
      <sharedItems count="5">
        <s v="Delhi"/>
        <s v="Mumbai"/>
        <s v="Chennai"/>
        <s v="Banglore"/>
        <s v="Haryana"/>
      </sharedItems>
    </cacheField>
    <cacheField name="Gender" numFmtId="0">
      <sharedItems count="2">
        <s v="Female"/>
        <s v="Male"/>
      </sharedItems>
    </cacheField>
    <cacheField name="Amount" numFmtId="0">
      <sharedItems containsSemiMixedTypes="0" containsString="0" containsNumber="1" containsInteger="1" minValue="0" maxValue="856945"/>
    </cacheField>
  </cacheFields>
  <extLst>
    <ext xmlns:x14="http://schemas.microsoft.com/office/spreadsheetml/2009/9/main" uri="{725AE2AE-9491-48be-B2B4-4EB974FC3084}">
      <x14:pivotCacheDefinition pivotCacheId="10633111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Ud Din" refreshedDate="46106.807088657406" createdVersion="8" refreshedVersion="8" minRefreshableVersion="3" recordCount="994" xr:uid="{CF438C31-2D71-4C6E-B4D2-ED270A202110}">
  <cacheSource type="worksheet">
    <worksheetSource ref="A1:N1048576" sheet="Main Data"/>
  </cacheSource>
  <cacheFields count="19">
    <cacheField name="date" numFmtId="0">
      <sharedItems containsNonDate="0" containsDate="1" containsString="0" containsBlank="1" minDate="2024-04-01T00:00:00" maxDate="2025-02-26T00:00:00" count="332">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m/>
      </sharedItems>
      <fieldGroup par="16"/>
    </cacheField>
    <cacheField name="Month" numFmtId="0">
      <sharedItems containsBlank="1"/>
    </cacheField>
    <cacheField name="Name" numFmtId="0">
      <sharedItems containsBlank="1"/>
    </cacheField>
    <cacheField name="Category" numFmtId="0">
      <sharedItems containsBlank="1"/>
    </cacheField>
    <cacheField name="Product Name" numFmtId="0">
      <sharedItems containsBlank="1" count="13">
        <s v="Car accessories"/>
        <s v="Women dress"/>
        <s v="Home décor"/>
        <s v="Speaker"/>
        <s v="TV"/>
        <s v="Saree"/>
        <s v="Laptop"/>
        <s v="Suit"/>
        <s v="Earbuds"/>
        <s v="Male dress"/>
        <s v="CHAIR"/>
        <m/>
        <s v="Cushion" u="1"/>
      </sharedItems>
    </cacheField>
    <cacheField name="State" numFmtId="0">
      <sharedItems containsBlank="1"/>
    </cacheField>
    <cacheField name="Gender" numFmtId="0">
      <sharedItems containsBlank="1"/>
    </cacheField>
    <cacheField name="Quantity" numFmtId="0">
      <sharedItems containsString="0" containsBlank="1" containsNumber="1" containsInteger="1" minValue="10" maxValue="100"/>
    </cacheField>
    <cacheField name="Cost" numFmtId="0">
      <sharedItems containsString="0" containsBlank="1" containsNumber="1" containsInteger="1" minValue="500" maxValue="1000"/>
    </cacheField>
    <cacheField name="Price" numFmtId="0">
      <sharedItems containsString="0" containsBlank="1" containsNumber="1" containsInteger="1" minValue="750" maxValue="1500"/>
    </cacheField>
    <cacheField name="Purchase Cost" numFmtId="0">
      <sharedItems containsString="0" containsBlank="1" containsNumber="1" containsInteger="1" minValue="5190" maxValue="95254"/>
    </cacheField>
    <cacheField name="Sale Price" numFmtId="0">
      <sharedItems containsString="0" containsBlank="1" containsNumber="1" containsInteger="1" minValue="8010" maxValue="146600"/>
    </cacheField>
    <cacheField name="Profit" numFmtId="0">
      <sharedItems containsString="0" containsBlank="1" containsNumber="1" containsInteger="1" minValue="-14996" maxValue="88949"/>
    </cacheField>
    <cacheField name="Status" numFmtId="0">
      <sharedItems containsBlank="1"/>
    </cacheField>
    <cacheField name="Months (date)" numFmtId="0" databaseField="0">
      <fieldGroup base="0">
        <rangePr groupBy="months" startDate="2024-04-01T00:00:00" endDate="2025-02-26T00:00:00"/>
        <groupItems count="14">
          <s v="&lt;4/1/2024"/>
          <s v="Jan"/>
          <s v="Feb"/>
          <s v="Mar"/>
          <s v="Apr"/>
          <s v="May"/>
          <s v="Jun"/>
          <s v="Jul"/>
          <s v="Aug"/>
          <s v="Sep"/>
          <s v="Oct"/>
          <s v="Nov"/>
          <s v="Dec"/>
          <s v="&gt;2/26/2025"/>
        </groupItems>
      </fieldGroup>
    </cacheField>
    <cacheField name="Quarters (date)" numFmtId="0" databaseField="0">
      <fieldGroup base="0">
        <rangePr groupBy="quarters" startDate="2024-04-01T00:00:00" endDate="2025-02-26T00:00:00"/>
        <groupItems count="6">
          <s v="&lt;4/1/2024"/>
          <s v="Qtr1"/>
          <s v="Qtr2"/>
          <s v="Qtr3"/>
          <s v="Qtr4"/>
          <s v="&gt;2/26/2025"/>
        </groupItems>
      </fieldGroup>
    </cacheField>
    <cacheField name="Years (date)" numFmtId="0" databaseField="0">
      <fieldGroup base="0">
        <rangePr groupBy="years" startDate="2024-04-01T00:00:00" endDate="2025-02-26T00:00:00"/>
        <groupItems count="4">
          <s v="&lt;4/1/2024"/>
          <s v="2024"/>
          <s v="2025"/>
          <s v="&gt;2/26/2025"/>
        </groupItems>
      </fieldGroup>
    </cacheField>
    <cacheField name="Profit new" numFmtId="0" formula="'Sale Price'-'Purchase Cost'" databaseField="0"/>
    <cacheField name="Rate" numFmtId="0" formula="'Sale Price'/Quantity" databaseField="0"/>
  </cacheFields>
  <extLst>
    <ext xmlns:x14="http://schemas.microsoft.com/office/spreadsheetml/2009/9/main" uri="{725AE2AE-9491-48be-B2B4-4EB974FC3084}">
      <x14:pivotCacheDefinition pivotCacheId="62761588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Ud Din" refreshedDate="46106.80708958333" createdVersion="8" refreshedVersion="8" minRefreshableVersion="3" recordCount="50" xr:uid="{53C232AD-A69A-40DB-9226-F54B89721824}">
  <cacheSource type="worksheet">
    <worksheetSource ref="D1:H51" sheet="Main Short Data"/>
  </cacheSource>
  <cacheFields count="5">
    <cacheField name="Party Name" numFmtId="0">
      <sharedItems/>
    </cacheField>
    <cacheField name="Product Name" numFmtId="0">
      <sharedItems count="3">
        <s v="Computer"/>
        <s v="Laptop"/>
        <s v="Speakers"/>
      </sharedItems>
    </cacheField>
    <cacheField name="City" numFmtId="0">
      <sharedItems count="5">
        <s v="Delhi"/>
        <s v="Mumbai"/>
        <s v="Chennai"/>
        <s v="Banglore"/>
        <s v="Haryana"/>
      </sharedItems>
    </cacheField>
    <cacheField name="Gender" numFmtId="0">
      <sharedItems count="2">
        <s v="Female"/>
        <s v="Male"/>
      </sharedItems>
    </cacheField>
    <cacheField name="Amount" numFmtId="0">
      <sharedItems containsSemiMixedTypes="0" containsString="0" containsNumber="1" containsInteger="1" minValue="0" maxValue="856945"/>
    </cacheField>
  </cacheFields>
  <extLst>
    <ext xmlns:x14="http://schemas.microsoft.com/office/spreadsheetml/2009/9/main" uri="{725AE2AE-9491-48be-B2B4-4EB974FC3084}">
      <x14:pivotCacheDefinition pivotCacheId="149438637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iaz Ud Din" refreshedDate="46258.436179398152" createdVersion="8" refreshedVersion="8" minRefreshableVersion="3" recordCount="994" xr:uid="{07CA5BFF-B81D-4791-A965-BC961F869D92}">
  <cacheSource type="worksheet">
    <worksheetSource ref="A1:N1001" sheet="Main Data"/>
  </cacheSource>
  <cacheFields count="17">
    <cacheField name="date" numFmtId="0">
      <sharedItems containsNonDate="0" containsDate="1" containsString="0" containsBlank="1" minDate="2024-04-01T00:00:00" maxDate="2025-02-26T00:00:00" count="332">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m/>
      </sharedItems>
      <fieldGroup par="16"/>
    </cacheField>
    <cacheField name="Month" numFmtId="0">
      <sharedItems containsBlank="1"/>
    </cacheField>
    <cacheField name="Name" numFmtId="0">
      <sharedItems containsBlank="1"/>
    </cacheField>
    <cacheField name="Category" numFmtId="0">
      <sharedItems containsBlank="1"/>
    </cacheField>
    <cacheField name="Product Name" numFmtId="0">
      <sharedItems containsBlank="1"/>
    </cacheField>
    <cacheField name="State" numFmtId="0">
      <sharedItems containsBlank="1" count="21">
        <s v="Assam"/>
        <s v="Punjab"/>
        <s v="Chhattisgarh"/>
        <s v="West Bengal"/>
        <s v="Madhya Pradesh"/>
        <s v="Jharkhand"/>
        <s v="Gujarat"/>
        <s v="Uttar Pradesh"/>
        <s v="Maharashtra"/>
        <s v="Chandigarh"/>
        <s v="Andhra Pradesh"/>
        <s v="Bihar"/>
        <s v="Rajasthan"/>
        <s v="Tamil Nadu"/>
        <s v="Delhi"/>
        <s v="Karnataka"/>
        <s v="Telangana"/>
        <s v="Kerala"/>
        <s v="Himachal Pradesh"/>
        <s v="Uttarakhand"/>
        <m/>
      </sharedItems>
    </cacheField>
    <cacheField name="Gender" numFmtId="0">
      <sharedItems containsBlank="1"/>
    </cacheField>
    <cacheField name="Quantity" numFmtId="0">
      <sharedItems containsString="0" containsBlank="1" containsNumber="1" containsInteger="1" minValue="10" maxValue="100"/>
    </cacheField>
    <cacheField name="Cost" numFmtId="0">
      <sharedItems containsString="0" containsBlank="1" containsNumber="1" containsInteger="1" minValue="500" maxValue="1000"/>
    </cacheField>
    <cacheField name="Price" numFmtId="0">
      <sharedItems containsString="0" containsBlank="1" containsNumber="1" containsInteger="1" minValue="750" maxValue="1500"/>
    </cacheField>
    <cacheField name="Purchase Cost" numFmtId="0">
      <sharedItems containsString="0" containsBlank="1" containsNumber="1" containsInteger="1" minValue="5190" maxValue="95254"/>
    </cacheField>
    <cacheField name="Sale Price" numFmtId="0">
      <sharedItems containsString="0" containsBlank="1" containsNumber="1" containsInteger="1" minValue="8010" maxValue="146600"/>
    </cacheField>
    <cacheField name="Profit" numFmtId="0">
      <sharedItems containsString="0" containsBlank="1" containsNumber="1" containsInteger="1" minValue="-14996" maxValue="88949"/>
    </cacheField>
    <cacheField name="Status" numFmtId="0">
      <sharedItems containsBlank="1"/>
    </cacheField>
    <cacheField name="Months (date)" numFmtId="0" databaseField="0">
      <fieldGroup base="0">
        <rangePr groupBy="months" startDate="2024-04-01T00:00:00" endDate="2025-02-26T00:00:00"/>
        <groupItems count="14">
          <s v="&lt;4/1/2024"/>
          <s v="Jan"/>
          <s v="Feb"/>
          <s v="Mar"/>
          <s v="Apr"/>
          <s v="May"/>
          <s v="Jun"/>
          <s v="Jul"/>
          <s v="Aug"/>
          <s v="Sep"/>
          <s v="Oct"/>
          <s v="Nov"/>
          <s v="Dec"/>
          <s v="&gt;2/26/2025"/>
        </groupItems>
      </fieldGroup>
    </cacheField>
    <cacheField name="Quarters (date)" numFmtId="0" databaseField="0">
      <fieldGroup base="0">
        <rangePr groupBy="quarters" startDate="2024-04-01T00:00:00" endDate="2025-02-26T00:00:00"/>
        <groupItems count="6">
          <s v="&lt;4/1/2024"/>
          <s v="Qtr1"/>
          <s v="Qtr2"/>
          <s v="Qtr3"/>
          <s v="Qtr4"/>
          <s v="&gt;2/26/2025"/>
        </groupItems>
      </fieldGroup>
    </cacheField>
    <cacheField name="Years (date)" numFmtId="0" databaseField="0">
      <fieldGroup base="0">
        <rangePr groupBy="years" startDate="2024-04-01T00:00:00" endDate="2025-02-26T00:00:00"/>
        <groupItems count="4">
          <s v="&lt;4/1/2024"/>
          <s v="2024"/>
          <s v="2025"/>
          <s v="&gt;2/26/2025"/>
        </groupItems>
      </fieldGroup>
    </cacheField>
  </cacheFields>
  <extLst>
    <ext xmlns:x14="http://schemas.microsoft.com/office/spreadsheetml/2009/9/main" uri="{725AE2AE-9491-48be-B2B4-4EB974FC3084}">
      <x14:pivotCacheDefinition pivotCacheId="1532102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june"/>
    <s v="Horizon Wellness"/>
    <x v="0"/>
    <s v="Car accessories"/>
    <s v="Assam"/>
    <s v="Female"/>
    <n v="17"/>
    <n v="938"/>
    <n v="938"/>
    <n v="15946"/>
    <n v="15946"/>
    <n v="0"/>
    <s v="loss"/>
  </r>
  <r>
    <x v="1"/>
    <s v="june"/>
    <s v="True Value Electronics"/>
    <x v="0"/>
    <s v="Car accessories"/>
    <s v="Punjab"/>
    <s v="Female"/>
    <n v="18"/>
    <n v="920"/>
    <n v="1360"/>
    <n v="16560"/>
    <n v="24480"/>
    <n v="7920"/>
    <s v="profit"/>
  </r>
  <r>
    <x v="2"/>
    <s v="june"/>
    <s v="Harmony Homes Realty"/>
    <x v="0"/>
    <s v="Car accessories"/>
    <s v="Chhattisgarh"/>
    <s v="Female"/>
    <n v="20"/>
    <n v="731"/>
    <n v="1186"/>
    <n v="14620"/>
    <n v="23720"/>
    <n v="9100"/>
    <s v="profit"/>
  </r>
  <r>
    <x v="3"/>
    <s v="june"/>
    <s v="Stellar Advertising"/>
    <x v="0"/>
    <s v="Car accessories"/>
    <s v="West Bengal"/>
    <s v="Female"/>
    <n v="17"/>
    <n v="750"/>
    <n v="793"/>
    <n v="12750"/>
    <n v="13481"/>
    <n v="731"/>
    <s v="profit"/>
  </r>
  <r>
    <x v="4"/>
    <s v="june"/>
    <s v="Modern Trends Retail"/>
    <x v="0"/>
    <s v="Car accessories"/>
    <s v="Madhya Pradesh"/>
    <s v="Male"/>
    <n v="14"/>
    <n v="906"/>
    <n v="1327"/>
    <n v="12684"/>
    <n v="18578"/>
    <n v="5894"/>
    <s v="profit"/>
  </r>
  <r>
    <x v="5"/>
    <s v="june"/>
    <s v="Global Spectrum Consulting"/>
    <x v="0"/>
    <s v="Car accessories"/>
    <s v="Jharkhand"/>
    <s v="Male"/>
    <n v="20"/>
    <n v="699"/>
    <n v="1400"/>
    <n v="13980"/>
    <n v="28000"/>
    <n v="14020"/>
    <s v="profit"/>
  </r>
  <r>
    <x v="6"/>
    <s v="april"/>
    <s v="Apex Solutions"/>
    <x v="1"/>
    <s v="Women dress"/>
    <s v="Gujarat"/>
    <s v="Male"/>
    <n v="55"/>
    <n v="637"/>
    <n v="1143"/>
    <n v="35035"/>
    <n v="62865"/>
    <n v="27830"/>
    <s v="profit"/>
  </r>
  <r>
    <x v="7"/>
    <s v="june"/>
    <s v="Radiant Vision Studios"/>
    <x v="0"/>
    <s v="Home décor"/>
    <s v="Gujarat"/>
    <s v="Female"/>
    <n v="17"/>
    <n v="537"/>
    <n v="1350"/>
    <n v="9129"/>
    <n v="22950"/>
    <n v="13821"/>
    <s v="profit"/>
  </r>
  <r>
    <x v="8"/>
    <s v="june"/>
    <s v="Noble Travel Services"/>
    <x v="0"/>
    <s v="Home décor"/>
    <s v="Uttar Pradesh"/>
    <s v="Female"/>
    <n v="20"/>
    <n v="875"/>
    <n v="911"/>
    <n v="17500"/>
    <n v="18220"/>
    <n v="720"/>
    <s v="profit"/>
  </r>
  <r>
    <x v="9"/>
    <s v="july"/>
    <s v="Bright Future Academy"/>
    <x v="0"/>
    <s v="Home décor"/>
    <s v="Uttar Pradesh"/>
    <s v="Female"/>
    <n v="13"/>
    <n v="917"/>
    <n v="1315"/>
    <n v="11921"/>
    <n v="17095"/>
    <n v="5174"/>
    <s v="profit"/>
  </r>
  <r>
    <x v="10"/>
    <s v="july"/>
    <s v="Visionary Health Systems"/>
    <x v="0"/>
    <s v="Home décor"/>
    <s v="Madhya Pradesh"/>
    <s v="Female"/>
    <n v="12"/>
    <n v="980"/>
    <n v="1462"/>
    <n v="11760"/>
    <n v="17544"/>
    <n v="5784"/>
    <s v="profit"/>
  </r>
  <r>
    <x v="11"/>
    <s v="july"/>
    <s v="Apex Retailers"/>
    <x v="0"/>
    <s v="Home décor"/>
    <s v="Maharashtra"/>
    <s v="Female"/>
    <n v="12"/>
    <n v="734"/>
    <n v="1181"/>
    <n v="8808"/>
    <n v="14172"/>
    <n v="5364"/>
    <s v="profit"/>
  </r>
  <r>
    <x v="12"/>
    <s v="april"/>
    <s v="Metro Tech Solutions"/>
    <x v="2"/>
    <s v="Speaker"/>
    <s v="Maharashtra"/>
    <s v="Female"/>
    <n v="29"/>
    <n v="951"/>
    <n v="1268"/>
    <n v="27579"/>
    <n v="36772"/>
    <n v="9193"/>
    <s v="profit"/>
  </r>
  <r>
    <x v="13"/>
    <s v="july"/>
    <s v="Prestige Property Developers"/>
    <x v="0"/>
    <s v="Home décor"/>
    <s v="Chandigarh"/>
    <s v="Female"/>
    <n v="12"/>
    <n v="913"/>
    <n v="1170"/>
    <n v="10956"/>
    <n v="14040"/>
    <n v="3084"/>
    <s v="profit"/>
  </r>
  <r>
    <x v="14"/>
    <s v="july"/>
    <s v="Classic Trends Fashion"/>
    <x v="0"/>
    <s v="Home décor"/>
    <s v="Madhya Pradesh"/>
    <s v="Male"/>
    <n v="20"/>
    <n v="833"/>
    <n v="877"/>
    <n v="16660"/>
    <n v="17540"/>
    <n v="880"/>
    <s v="profit"/>
  </r>
  <r>
    <x v="15"/>
    <s v="july"/>
    <s v="Harmony Ventures"/>
    <x v="0"/>
    <s v="Home décor"/>
    <s v="Andhra Pradesh"/>
    <s v="Male"/>
    <n v="17"/>
    <n v="748"/>
    <n v="1138"/>
    <n v="12716"/>
    <n v="19346"/>
    <n v="6630"/>
    <s v="profit"/>
  </r>
  <r>
    <x v="16"/>
    <s v="july"/>
    <s v="Stellar Realty"/>
    <x v="0"/>
    <s v="Home décor"/>
    <s v="Bihar"/>
    <s v="Male"/>
    <n v="20"/>
    <n v="517"/>
    <n v="1405"/>
    <n v="10340"/>
    <n v="28100"/>
    <n v="17760"/>
    <s v="profit"/>
  </r>
  <r>
    <x v="17"/>
    <s v="july"/>
    <s v="Future Path Technologies"/>
    <x v="0"/>
    <s v="Home décor"/>
    <s v="Gujarat"/>
    <s v="Male"/>
    <n v="18"/>
    <n v="674"/>
    <n v="775"/>
    <n v="12132"/>
    <n v="13950"/>
    <n v="1818"/>
    <s v="profit"/>
  </r>
  <r>
    <x v="18"/>
    <s v="july"/>
    <s v="Elite Edge Services"/>
    <x v="0"/>
    <s v="Home décor"/>
    <s v="Uttar Pradesh"/>
    <s v="Female"/>
    <n v="17"/>
    <n v="641"/>
    <n v="765"/>
    <n v="10897"/>
    <n v="13005"/>
    <n v="2108"/>
    <s v="profit"/>
  </r>
  <r>
    <x v="19"/>
    <s v="august"/>
    <s v="Modern Harmony Products"/>
    <x v="0"/>
    <s v="Home décor"/>
    <s v="Maharashtra"/>
    <s v="Female"/>
    <n v="10"/>
    <n v="754"/>
    <n v="982"/>
    <n v="7540"/>
    <n v="9820"/>
    <n v="2280"/>
    <s v="profit"/>
  </r>
  <r>
    <x v="20"/>
    <s v="august"/>
    <s v="Horizon Builders &amp; Developers"/>
    <x v="0"/>
    <s v="Home décor"/>
    <s v="Rajasthan"/>
    <s v="Female"/>
    <n v="14"/>
    <n v="815"/>
    <n v="1341"/>
    <n v="11410"/>
    <n v="18774"/>
    <n v="7364"/>
    <s v="profit"/>
  </r>
  <r>
    <x v="21"/>
    <s v="august"/>
    <s v="Legacy Apparel"/>
    <x v="0"/>
    <s v="Home décor"/>
    <s v="Uttar Pradesh"/>
    <s v="Female"/>
    <n v="18"/>
    <n v="704"/>
    <n v="930"/>
    <n v="12672"/>
    <n v="16740"/>
    <n v="4068"/>
    <s v="profit"/>
  </r>
  <r>
    <x v="22"/>
    <s v="april"/>
    <s v="Elite Marketing Solutions"/>
    <x v="2"/>
    <s v="TV"/>
    <s v="Tamil Nadu"/>
    <s v="Male"/>
    <n v="25"/>
    <n v="958"/>
    <n v="942"/>
    <n v="23950"/>
    <n v="23550"/>
    <n v="-400"/>
    <s v="loss"/>
  </r>
  <r>
    <x v="23"/>
    <s v="august"/>
    <s v="Pinnacle Education Group"/>
    <x v="0"/>
    <s v="Home décor"/>
    <s v="Uttar Pradesh"/>
    <s v="Female"/>
    <n v="19"/>
    <n v="744"/>
    <n v="1433"/>
    <n v="14136"/>
    <n v="27227"/>
    <n v="13091"/>
    <s v="profit"/>
  </r>
  <r>
    <x v="24"/>
    <s v="april"/>
    <s v="Crystal Clear Solutions"/>
    <x v="2"/>
    <s v="TV"/>
    <s v="Rajasthan"/>
    <s v="Female"/>
    <n v="26"/>
    <n v="520"/>
    <n v="1486"/>
    <n v="13520"/>
    <n v="38636"/>
    <n v="25116"/>
    <s v="profit"/>
  </r>
  <r>
    <x v="25"/>
    <s v="august"/>
    <s v="Noble Innovations"/>
    <x v="0"/>
    <s v="Home décor"/>
    <s v="Maharashtra"/>
    <s v="Male"/>
    <n v="10"/>
    <n v="669"/>
    <n v="1344"/>
    <n v="6690"/>
    <n v="13440"/>
    <n v="6750"/>
    <s v="profit"/>
  </r>
  <r>
    <x v="26"/>
    <s v="august"/>
    <s v="Crystal Clear Realty"/>
    <x v="0"/>
    <s v="Home décor"/>
    <s v="Madhya Pradesh"/>
    <s v="Male"/>
    <n v="20"/>
    <n v="966"/>
    <n v="924"/>
    <n v="19320"/>
    <n v="18480"/>
    <n v="-840"/>
    <s v="loss"/>
  </r>
  <r>
    <x v="27"/>
    <s v="september"/>
    <s v="Apex Publishing House"/>
    <x v="0"/>
    <s v="Home décor"/>
    <s v="Delhi"/>
    <s v="Male"/>
    <n v="18"/>
    <n v="859"/>
    <n v="1044"/>
    <n v="15462"/>
    <n v="18792"/>
    <n v="3330"/>
    <s v="profit"/>
  </r>
  <r>
    <x v="28"/>
    <s v="september"/>
    <s v="True Value Consulting"/>
    <x v="0"/>
    <s v="Home décor"/>
    <s v="Maharashtra"/>
    <s v="Male"/>
    <n v="15"/>
    <n v="890"/>
    <n v="1362"/>
    <n v="13350"/>
    <n v="20430"/>
    <n v="7080"/>
    <s v="profit"/>
  </r>
  <r>
    <x v="29"/>
    <s v="september"/>
    <s v="Future Path Ventures"/>
    <x v="0"/>
    <s v="Home décor"/>
    <s v="West Bengal"/>
    <s v="Male"/>
    <n v="19"/>
    <n v="630"/>
    <n v="882"/>
    <n v="11970"/>
    <n v="16758"/>
    <n v="4788"/>
    <s v="profit"/>
  </r>
  <r>
    <x v="30"/>
    <s v="september"/>
    <s v="Stellar Tech Services"/>
    <x v="0"/>
    <s v="Home décor"/>
    <s v="Tamil Nadu"/>
    <s v="Male"/>
    <n v="10"/>
    <n v="701"/>
    <n v="1384"/>
    <n v="7010"/>
    <n v="13840"/>
    <n v="6830"/>
    <s v="profit"/>
  </r>
  <r>
    <x v="31"/>
    <s v="september"/>
    <s v="Legacy Travel Agency"/>
    <x v="0"/>
    <s v="Home décor"/>
    <s v="Karnataka"/>
    <s v="Female"/>
    <n v="19"/>
    <n v="653"/>
    <n v="1402"/>
    <n v="12407"/>
    <n v="26638"/>
    <n v="14231"/>
    <s v="profit"/>
  </r>
  <r>
    <x v="32"/>
    <s v="september"/>
    <s v="Harmony Innovations"/>
    <x v="0"/>
    <s v="Home décor"/>
    <s v="Telangana"/>
    <s v="Female"/>
    <n v="14"/>
    <n v="968"/>
    <n v="1419"/>
    <n v="13552"/>
    <n v="19866"/>
    <n v="6314"/>
    <s v="profit"/>
  </r>
  <r>
    <x v="33"/>
    <s v="september"/>
    <s v="Elite Media Group"/>
    <x v="0"/>
    <s v="Home décor"/>
    <s v="Maharashtra"/>
    <s v="Female"/>
    <n v="20"/>
    <n v="508"/>
    <n v="1433"/>
    <n v="10160"/>
    <n v="28660"/>
    <n v="18500"/>
    <s v="profit"/>
  </r>
  <r>
    <x v="34"/>
    <s v="september"/>
    <s v="Radiant Construction"/>
    <x v="0"/>
    <s v="Home décor"/>
    <s v="Rajasthan"/>
    <s v="Female"/>
    <n v="12"/>
    <n v="539"/>
    <n v="1136"/>
    <n v="6468"/>
    <n v="13632"/>
    <n v="7164"/>
    <s v="profit"/>
  </r>
  <r>
    <x v="35"/>
    <s v="september"/>
    <s v="Pinnacle Finance"/>
    <x v="0"/>
    <s v="Home décor"/>
    <s v="Gujarat"/>
    <s v="Female"/>
    <n v="10"/>
    <n v="731"/>
    <n v="1226"/>
    <n v="7310"/>
    <n v="12260"/>
    <n v="4950"/>
    <s v="profit"/>
  </r>
  <r>
    <x v="36"/>
    <s v="september"/>
    <s v="Horizon Tech Ventures"/>
    <x v="0"/>
    <s v="Home décor"/>
    <s v="Uttar Pradesh"/>
    <s v="Female"/>
    <n v="15"/>
    <n v="621"/>
    <n v="1488"/>
    <n v="9315"/>
    <n v="22320"/>
    <n v="13005"/>
    <s v="profit"/>
  </r>
  <r>
    <x v="37"/>
    <s v="september"/>
    <s v="Elite Edge Consulting"/>
    <x v="0"/>
    <s v="Car accessories"/>
    <s v="Gujarat"/>
    <s v="Male"/>
    <n v="16"/>
    <n v="963"/>
    <n v="1186"/>
    <n v="15408"/>
    <n v="18976"/>
    <n v="3568"/>
    <s v="profit"/>
  </r>
  <r>
    <x v="38"/>
    <s v="september"/>
    <s v="Harmony Tech Ventures"/>
    <x v="0"/>
    <s v="Car accessories"/>
    <s v="Uttar Pradesh"/>
    <s v="Female"/>
    <n v="13"/>
    <n v="762"/>
    <n v="1311"/>
    <n v="9906"/>
    <n v="17043"/>
    <n v="7137"/>
    <s v="profit"/>
  </r>
  <r>
    <x v="39"/>
    <s v="october"/>
    <s v="Radiant Fitness Studio"/>
    <x v="0"/>
    <s v="Car accessories"/>
    <s v="Tamil Nadu"/>
    <s v="Female"/>
    <n v="14"/>
    <n v="909"/>
    <n v="780"/>
    <n v="12726"/>
    <n v="10920"/>
    <n v="-1806"/>
    <s v="loss"/>
  </r>
  <r>
    <x v="40"/>
    <s v="october"/>
    <s v="Zenith Finance Co."/>
    <x v="0"/>
    <s v="Car accessories"/>
    <s v="Rajasthan"/>
    <s v="Female"/>
    <n v="11"/>
    <n v="858"/>
    <n v="1080"/>
    <n v="9438"/>
    <n v="11880"/>
    <n v="2442"/>
    <s v="profit"/>
  </r>
  <r>
    <x v="41"/>
    <s v="october"/>
    <s v="Apex Events Management"/>
    <x v="0"/>
    <s v="Car accessories"/>
    <s v="Uttar Pradesh"/>
    <s v="Female"/>
    <n v="12"/>
    <n v="516"/>
    <n v="857"/>
    <n v="6192"/>
    <n v="10284"/>
    <n v="4092"/>
    <s v="profit"/>
  </r>
  <r>
    <x v="42"/>
    <s v="october"/>
    <s v="Stellar Media Group"/>
    <x v="0"/>
    <s v="Home décor"/>
    <s v="Jharkhand"/>
    <s v="Male"/>
    <n v="20"/>
    <n v="817"/>
    <n v="1324"/>
    <n v="16340"/>
    <n v="26480"/>
    <n v="10140"/>
    <s v="profit"/>
  </r>
  <r>
    <x v="43"/>
    <s v="october"/>
    <s v="Harmony Finance Co."/>
    <x v="0"/>
    <s v="Home décor"/>
    <s v="West Bengal"/>
    <s v="Male"/>
    <n v="16"/>
    <n v="935"/>
    <n v="980"/>
    <n v="14960"/>
    <n v="15680"/>
    <n v="720"/>
    <s v="profit"/>
  </r>
  <r>
    <x v="44"/>
    <s v="october"/>
    <s v="Pure Vision Ventures"/>
    <x v="0"/>
    <s v="Home décor"/>
    <s v="Karnataka"/>
    <s v="Male"/>
    <n v="17"/>
    <n v="642"/>
    <n v="1095"/>
    <n v="10914"/>
    <n v="18615"/>
    <n v="7701"/>
    <s v="profit"/>
  </r>
  <r>
    <x v="45"/>
    <s v="october"/>
    <s v="Legacy Travel Services"/>
    <x v="0"/>
    <s v="Home décor"/>
    <s v="Gujarat"/>
    <s v="Female"/>
    <n v="18"/>
    <n v="596"/>
    <n v="817"/>
    <n v="10728"/>
    <n v="14706"/>
    <n v="3978"/>
    <s v="profit"/>
  </r>
  <r>
    <x v="46"/>
    <s v="october"/>
    <s v="Elite Spectrum Media"/>
    <x v="0"/>
    <s v="Home décor"/>
    <s v="Uttar Pradesh"/>
    <s v="Female"/>
    <n v="14"/>
    <n v="533"/>
    <n v="922"/>
    <n v="7462"/>
    <n v="12908"/>
    <n v="5446"/>
    <s v="profit"/>
  </r>
  <r>
    <x v="47"/>
    <s v="october"/>
    <s v="Pinnacle Design Studio"/>
    <x v="0"/>
    <s v="Home décor"/>
    <s v="Tamil Nadu"/>
    <s v="Female"/>
    <n v="19"/>
    <n v="578"/>
    <n v="1434"/>
    <n v="10982"/>
    <n v="27246"/>
    <n v="16264"/>
    <s v="profit"/>
  </r>
  <r>
    <x v="48"/>
    <s v="january"/>
    <s v="Legacy Travel Ventures"/>
    <x v="0"/>
    <s v="Car accessories"/>
    <s v="West Bengal"/>
    <s v="Female"/>
    <n v="14"/>
    <n v="521"/>
    <n v="974"/>
    <n v="7294"/>
    <n v="13636"/>
    <n v="6342"/>
    <s v="profit"/>
  </r>
  <r>
    <x v="49"/>
    <s v="may"/>
    <s v="Absolute Solutions"/>
    <x v="1"/>
    <s v="Saree"/>
    <s v="Gujarat"/>
    <s v="Male"/>
    <n v="79"/>
    <n v="616"/>
    <n v="944"/>
    <n v="48664"/>
    <n v="74576"/>
    <n v="25912"/>
    <s v="profit"/>
  </r>
  <r>
    <x v="50"/>
    <s v="january"/>
    <s v="Stellar Design Group"/>
    <x v="0"/>
    <s v="Car accessories"/>
    <s v="Delhi"/>
    <s v="Female"/>
    <n v="14"/>
    <n v="734"/>
    <n v="1058"/>
    <n v="10276"/>
    <n v="14812"/>
    <n v="4536"/>
    <s v="profit"/>
  </r>
  <r>
    <x v="51"/>
    <s v="january"/>
    <s v="Horizon Ventures Co."/>
    <x v="0"/>
    <s v="Car accessories"/>
    <s v="Punjab"/>
    <s v="Female"/>
    <n v="20"/>
    <n v="837"/>
    <n v="1014"/>
    <n v="16740"/>
    <n v="20280"/>
    <n v="3540"/>
    <s v="profit"/>
  </r>
  <r>
    <x v="52"/>
    <s v="january"/>
    <s v="Zenith Wellness Services"/>
    <x v="0"/>
    <s v="Car accessories"/>
    <s v="West Bengal"/>
    <s v="Male"/>
    <n v="11"/>
    <n v="617"/>
    <n v="1025"/>
    <n v="6787"/>
    <n v="11275"/>
    <n v="4488"/>
    <s v="profit"/>
  </r>
  <r>
    <x v="53"/>
    <s v="january"/>
    <s v="Legacy Travel Co."/>
    <x v="0"/>
    <s v="Home décor"/>
    <s v="Assam"/>
    <s v="Female"/>
    <n v="20"/>
    <n v="749"/>
    <n v="753"/>
    <n v="14980"/>
    <n v="15060"/>
    <n v="80"/>
    <s v="profit"/>
  </r>
  <r>
    <x v="54"/>
    <s v="january"/>
    <s v="Pinnacle Innovations Group"/>
    <x v="0"/>
    <s v="Home décor"/>
    <s v="Punjab"/>
    <s v="Female"/>
    <n v="15"/>
    <n v="924"/>
    <n v="1024"/>
    <n v="13860"/>
    <n v="15360"/>
    <n v="1500"/>
    <s v="profit"/>
  </r>
  <r>
    <x v="55"/>
    <s v="january"/>
    <s v="Stellar Health Services"/>
    <x v="0"/>
    <s v="Home décor"/>
    <s v="Chhattisgarh"/>
    <s v="Female"/>
    <n v="18"/>
    <n v="601"/>
    <n v="1246"/>
    <n v="10818"/>
    <n v="22428"/>
    <n v="11610"/>
    <s v="profit"/>
  </r>
  <r>
    <x v="56"/>
    <s v="january"/>
    <s v="Radiance Design Co."/>
    <x v="0"/>
    <s v="Home décor"/>
    <s v="West Bengal"/>
    <s v="Female"/>
    <n v="17"/>
    <n v="626"/>
    <n v="1462"/>
    <n v="10642"/>
    <n v="24854"/>
    <n v="14212"/>
    <s v="profit"/>
  </r>
  <r>
    <x v="57"/>
    <s v="january"/>
    <s v="Harmony Consulting Group"/>
    <x v="0"/>
    <s v="Home décor"/>
    <s v="West Bengal"/>
    <s v="Female"/>
    <n v="13"/>
    <n v="542"/>
    <n v="853"/>
    <n v="7046"/>
    <n v="11089"/>
    <n v="4043"/>
    <s v="profit"/>
  </r>
  <r>
    <x v="58"/>
    <s v="may"/>
    <s v="Synergy Tech Solutions"/>
    <x v="1"/>
    <s v="Saree"/>
    <s v="Bihar"/>
    <s v="Male"/>
    <n v="50"/>
    <n v="639"/>
    <n v="789"/>
    <n v="31950"/>
    <n v="39450"/>
    <n v="7500"/>
    <s v="profit"/>
  </r>
  <r>
    <x v="59"/>
    <s v="january"/>
    <s v="Apex Educational Group"/>
    <x v="0"/>
    <s v="Home décor"/>
    <s v="Jharkhand"/>
    <s v="Male"/>
    <n v="19"/>
    <n v="595"/>
    <n v="1424"/>
    <n v="11305"/>
    <n v="27056"/>
    <n v="15751"/>
    <s v="profit"/>
  </r>
  <r>
    <x v="60"/>
    <s v="january"/>
    <s v="Modern Wellness Co."/>
    <x v="0"/>
    <s v="Home décor"/>
    <s v="West Bengal"/>
    <s v="Male"/>
    <n v="17"/>
    <n v="593"/>
    <n v="895"/>
    <n v="10081"/>
    <n v="15215"/>
    <n v="5134"/>
    <s v="profit"/>
  </r>
  <r>
    <x v="61"/>
    <s v="january"/>
    <s v="Pure Spectrum Innovations"/>
    <x v="0"/>
    <s v="Home décor"/>
    <s v="Uttar Pradesh"/>
    <s v="Male"/>
    <n v="20"/>
    <n v="735"/>
    <n v="1277"/>
    <n v="14700"/>
    <n v="25540"/>
    <n v="10840"/>
    <s v="profit"/>
  </r>
  <r>
    <x v="62"/>
    <s v="january"/>
    <s v="Pinnacle Travel Co."/>
    <x v="0"/>
    <s v="Home décor"/>
    <s v="Kerala"/>
    <s v="Male"/>
    <n v="17"/>
    <n v="750"/>
    <n v="1253"/>
    <n v="12750"/>
    <n v="21301"/>
    <n v="8551"/>
    <s v="profit"/>
  </r>
  <r>
    <x v="0"/>
    <s v="june"/>
    <s v="Horizon Wellness"/>
    <x v="0"/>
    <s v="Car accessories"/>
    <s v="Assam"/>
    <s v="Female"/>
    <n v="11"/>
    <n v="601"/>
    <n v="1323"/>
    <n v="6611"/>
    <n v="14553"/>
    <n v="7942"/>
    <s v="profit"/>
  </r>
  <r>
    <x v="1"/>
    <s v="june"/>
    <s v="True Value Electronics"/>
    <x v="0"/>
    <s v="Car accessories"/>
    <s v="Punjab"/>
    <s v="Female"/>
    <n v="20"/>
    <n v="857"/>
    <n v="983"/>
    <n v="17140"/>
    <n v="19660"/>
    <n v="2520"/>
    <s v="profit"/>
  </r>
  <r>
    <x v="2"/>
    <s v="june"/>
    <s v="Harmony Homes Realty"/>
    <x v="0"/>
    <s v="Car accessories"/>
    <s v="Chhattisgarh"/>
    <s v="Female"/>
    <n v="11"/>
    <n v="774"/>
    <n v="1363"/>
    <n v="8514"/>
    <n v="14993"/>
    <n v="6479"/>
    <s v="profit"/>
  </r>
  <r>
    <x v="3"/>
    <s v="june"/>
    <s v="Stellar Advertising"/>
    <x v="0"/>
    <s v="Car accessories"/>
    <s v="West Bengal"/>
    <s v="Female"/>
    <n v="13"/>
    <n v="986"/>
    <n v="1073"/>
    <n v="12818"/>
    <n v="13949"/>
    <n v="1131"/>
    <s v="profit"/>
  </r>
  <r>
    <x v="4"/>
    <s v="june"/>
    <s v="Modern Trends Retail"/>
    <x v="0"/>
    <s v="Car accessories"/>
    <s v="Madhya Pradesh"/>
    <s v="Male"/>
    <n v="12"/>
    <n v="997"/>
    <n v="1445"/>
    <n v="11964"/>
    <n v="17340"/>
    <n v="5376"/>
    <s v="profit"/>
  </r>
  <r>
    <x v="5"/>
    <s v="june"/>
    <s v="Global Spectrum Consulting"/>
    <x v="0"/>
    <s v="Car accessories"/>
    <s v="Jharkhand"/>
    <s v="Male"/>
    <n v="20"/>
    <n v="941"/>
    <n v="1053"/>
    <n v="18820"/>
    <n v="21060"/>
    <n v="2240"/>
    <s v="profit"/>
  </r>
  <r>
    <x v="7"/>
    <s v="june"/>
    <s v="Radiant Vision Studios"/>
    <x v="0"/>
    <s v="Home décor"/>
    <s v="Gujarat"/>
    <s v="Female"/>
    <n v="19"/>
    <n v="952"/>
    <n v="1486"/>
    <n v="18088"/>
    <n v="28234"/>
    <n v="10146"/>
    <s v="profit"/>
  </r>
  <r>
    <x v="8"/>
    <s v="june"/>
    <s v="Noble Travel Services"/>
    <x v="0"/>
    <s v="Home décor"/>
    <s v="Uttar Pradesh"/>
    <s v="Female"/>
    <n v="11"/>
    <n v="503"/>
    <n v="762"/>
    <n v="5533"/>
    <n v="8382"/>
    <n v="2849"/>
    <s v="profit"/>
  </r>
  <r>
    <x v="9"/>
    <s v="july"/>
    <s v="Bright Future Academy"/>
    <x v="0"/>
    <s v="Home décor"/>
    <s v="Uttar Pradesh"/>
    <s v="Female"/>
    <n v="10"/>
    <n v="719"/>
    <n v="862"/>
    <n v="7190"/>
    <n v="8620"/>
    <n v="1430"/>
    <s v="profit"/>
  </r>
  <r>
    <x v="10"/>
    <s v="july"/>
    <s v="Visionary Health Systems"/>
    <x v="0"/>
    <s v="Home décor"/>
    <s v="Madhya Pradesh"/>
    <s v="Female"/>
    <n v="15"/>
    <n v="941"/>
    <n v="913"/>
    <n v="14115"/>
    <n v="13695"/>
    <n v="-420"/>
    <s v="loss"/>
  </r>
  <r>
    <x v="11"/>
    <s v="july"/>
    <s v="Apex Retailers"/>
    <x v="0"/>
    <s v="Home décor"/>
    <s v="Maharashtra"/>
    <s v="Female"/>
    <n v="15"/>
    <n v="937"/>
    <n v="1427"/>
    <n v="14055"/>
    <n v="21405"/>
    <n v="7350"/>
    <s v="profit"/>
  </r>
  <r>
    <x v="13"/>
    <s v="july"/>
    <s v="Prestige Property Developers"/>
    <x v="0"/>
    <s v="Home décor"/>
    <s v="Chandigarh"/>
    <s v="Female"/>
    <n v="11"/>
    <n v="674"/>
    <n v="1415"/>
    <n v="7414"/>
    <n v="15565"/>
    <n v="8151"/>
    <s v="profit"/>
  </r>
  <r>
    <x v="63"/>
    <s v="june"/>
    <s v="Radiant Enterprise Solutions"/>
    <x v="0"/>
    <s v="Car accessories"/>
    <s v="West Bengal"/>
    <s v="Female"/>
    <n v="20"/>
    <n v="827"/>
    <n v="816"/>
    <n v="16540"/>
    <n v="16320"/>
    <n v="-220"/>
    <s v="loss"/>
  </r>
  <r>
    <x v="14"/>
    <s v="july"/>
    <s v="Classic Trends Fashion"/>
    <x v="0"/>
    <s v="Home décor"/>
    <s v="Madhya Pradesh"/>
    <s v="Male"/>
    <n v="20"/>
    <n v="596"/>
    <n v="1255"/>
    <n v="11920"/>
    <n v="25100"/>
    <n v="13180"/>
    <s v="profit"/>
  </r>
  <r>
    <x v="15"/>
    <s v="july"/>
    <s v="Harmony Ventures"/>
    <x v="0"/>
    <s v="Home décor"/>
    <s v="Andhra Pradesh"/>
    <s v="Male"/>
    <n v="20"/>
    <n v="689"/>
    <n v="939"/>
    <n v="13780"/>
    <n v="18780"/>
    <n v="5000"/>
    <s v="profit"/>
  </r>
  <r>
    <x v="16"/>
    <s v="july"/>
    <s v="Stellar Realty"/>
    <x v="0"/>
    <s v="Home décor"/>
    <s v="Bihar"/>
    <s v="Male"/>
    <n v="17"/>
    <n v="990"/>
    <n v="1391"/>
    <n v="16830"/>
    <n v="23647"/>
    <n v="6817"/>
    <s v="profit"/>
  </r>
  <r>
    <x v="17"/>
    <s v="july"/>
    <s v="Future Path Technologies"/>
    <x v="0"/>
    <s v="Home décor"/>
    <s v="Gujarat"/>
    <s v="Male"/>
    <n v="20"/>
    <n v="589"/>
    <n v="773"/>
    <n v="11780"/>
    <n v="15460"/>
    <n v="3680"/>
    <s v="profit"/>
  </r>
  <r>
    <x v="18"/>
    <s v="july"/>
    <s v="Elite Edge Services"/>
    <x v="0"/>
    <s v="Home décor"/>
    <s v="Uttar Pradesh"/>
    <s v="Female"/>
    <n v="17"/>
    <n v="773"/>
    <n v="1266"/>
    <n v="13141"/>
    <n v="21522"/>
    <n v="8381"/>
    <s v="profit"/>
  </r>
  <r>
    <x v="64"/>
    <s v="june"/>
    <s v="Infinite Solutions"/>
    <x v="1"/>
    <s v="Saree"/>
    <s v="Maharashtra"/>
    <s v="Female"/>
    <n v="75"/>
    <n v="859"/>
    <n v="1486"/>
    <n v="64425"/>
    <n v="111450"/>
    <n v="47025"/>
    <s v="profit"/>
  </r>
  <r>
    <x v="19"/>
    <s v="august"/>
    <s v="Modern Harmony Products"/>
    <x v="0"/>
    <s v="Home décor"/>
    <s v="Maharashtra"/>
    <s v="Female"/>
    <n v="11"/>
    <n v="830"/>
    <n v="1386"/>
    <n v="9130"/>
    <n v="15246"/>
    <n v="6116"/>
    <s v="profit"/>
  </r>
  <r>
    <x v="20"/>
    <s v="august"/>
    <s v="Horizon Builders &amp; Developers"/>
    <x v="0"/>
    <s v="Home décor"/>
    <s v="Rajasthan"/>
    <s v="Female"/>
    <n v="11"/>
    <n v="930"/>
    <n v="876"/>
    <n v="10230"/>
    <n v="9636"/>
    <n v="-594"/>
    <s v="loss"/>
  </r>
  <r>
    <x v="21"/>
    <s v="august"/>
    <s v="Legacy Apparel"/>
    <x v="0"/>
    <s v="Home décor"/>
    <s v="Uttar Pradesh"/>
    <s v="Female"/>
    <n v="19"/>
    <n v="654"/>
    <n v="1295"/>
    <n v="12426"/>
    <n v="24605"/>
    <n v="12179"/>
    <s v="profit"/>
  </r>
  <r>
    <x v="23"/>
    <s v="august"/>
    <s v="Pinnacle Education Group"/>
    <x v="0"/>
    <s v="Home décor"/>
    <s v="Uttar Pradesh"/>
    <s v="Female"/>
    <n v="18"/>
    <n v="767"/>
    <n v="988"/>
    <n v="13806"/>
    <n v="17784"/>
    <n v="3978"/>
    <s v="profit"/>
  </r>
  <r>
    <x v="25"/>
    <s v="august"/>
    <s v="Noble Innovations"/>
    <x v="0"/>
    <s v="Home décor"/>
    <s v="Maharashtra"/>
    <s v="Male"/>
    <n v="12"/>
    <n v="654"/>
    <n v="788"/>
    <n v="7848"/>
    <n v="9456"/>
    <n v="1608"/>
    <s v="profit"/>
  </r>
  <r>
    <x v="26"/>
    <s v="august"/>
    <s v="Crystal Clear Realty"/>
    <x v="0"/>
    <s v="Home décor"/>
    <s v="Madhya Pradesh"/>
    <s v="Male"/>
    <n v="11"/>
    <n v="827"/>
    <n v="765"/>
    <n v="9097"/>
    <n v="8415"/>
    <n v="-682"/>
    <s v="loss"/>
  </r>
  <r>
    <x v="27"/>
    <s v="september"/>
    <s v="Apex Publishing House"/>
    <x v="0"/>
    <s v="Home décor"/>
    <s v="Delhi"/>
    <s v="Male"/>
    <n v="12"/>
    <n v="561"/>
    <n v="1162"/>
    <n v="6732"/>
    <n v="13944"/>
    <n v="7212"/>
    <s v="profit"/>
  </r>
  <r>
    <x v="28"/>
    <s v="september"/>
    <s v="True Value Consulting"/>
    <x v="0"/>
    <s v="Home décor"/>
    <s v="Maharashtra"/>
    <s v="Male"/>
    <n v="12"/>
    <n v="879"/>
    <n v="1428"/>
    <n v="10548"/>
    <n v="17136"/>
    <n v="6588"/>
    <s v="profit"/>
  </r>
  <r>
    <x v="29"/>
    <s v="september"/>
    <s v="Future Path Ventures"/>
    <x v="0"/>
    <s v="Home décor"/>
    <s v="West Bengal"/>
    <s v="Male"/>
    <n v="13"/>
    <n v="523"/>
    <n v="1326"/>
    <n v="6799"/>
    <n v="17238"/>
    <n v="10439"/>
    <s v="profit"/>
  </r>
  <r>
    <x v="30"/>
    <s v="september"/>
    <s v="Stellar Tech Services"/>
    <x v="0"/>
    <s v="Home décor"/>
    <s v="Tamil Nadu"/>
    <s v="Male"/>
    <n v="10"/>
    <n v="990"/>
    <n v="1030"/>
    <n v="9900"/>
    <n v="10300"/>
    <n v="400"/>
    <s v="profit"/>
  </r>
  <r>
    <x v="65"/>
    <s v="july"/>
    <s v="Synergy Solutions Group"/>
    <x v="0"/>
    <s v="Home décor"/>
    <s v="Maharashtra"/>
    <s v="Female"/>
    <n v="15"/>
    <n v="910"/>
    <n v="916"/>
    <n v="13650"/>
    <n v="13740"/>
    <n v="90"/>
    <s v="profit"/>
  </r>
  <r>
    <x v="31"/>
    <s v="september"/>
    <s v="Legacy Travel Agency"/>
    <x v="0"/>
    <s v="Home décor"/>
    <s v="Karnataka"/>
    <s v="Female"/>
    <n v="12"/>
    <n v="707"/>
    <n v="1203"/>
    <n v="8484"/>
    <n v="14436"/>
    <n v="5952"/>
    <s v="profit"/>
  </r>
  <r>
    <x v="32"/>
    <s v="september"/>
    <s v="Harmony Innovations"/>
    <x v="0"/>
    <s v="Home décor"/>
    <s v="Telangana"/>
    <s v="Female"/>
    <n v="13"/>
    <n v="515"/>
    <n v="1095"/>
    <n v="6695"/>
    <n v="14235"/>
    <n v="7540"/>
    <s v="profit"/>
  </r>
  <r>
    <x v="33"/>
    <s v="september"/>
    <s v="Elite Media Group"/>
    <x v="0"/>
    <s v="Home décor"/>
    <s v="Maharashtra"/>
    <s v="Female"/>
    <n v="12"/>
    <n v="671"/>
    <n v="850"/>
    <n v="8052"/>
    <n v="10200"/>
    <n v="2148"/>
    <s v="profit"/>
  </r>
  <r>
    <x v="34"/>
    <s v="september"/>
    <s v="Radiant Construction"/>
    <x v="0"/>
    <s v="Home décor"/>
    <s v="Rajasthan"/>
    <s v="Female"/>
    <n v="12"/>
    <n v="500"/>
    <n v="1276"/>
    <n v="6000"/>
    <n v="15312"/>
    <n v="9312"/>
    <s v="profit"/>
  </r>
  <r>
    <x v="35"/>
    <s v="september"/>
    <s v="Pinnacle Finance"/>
    <x v="0"/>
    <s v="Home décor"/>
    <s v="Gujarat"/>
    <s v="Female"/>
    <n v="18"/>
    <n v="602"/>
    <n v="1401"/>
    <n v="10836"/>
    <n v="25218"/>
    <n v="14382"/>
    <s v="profit"/>
  </r>
  <r>
    <x v="36"/>
    <s v="september"/>
    <s v="Horizon Tech Ventures"/>
    <x v="0"/>
    <s v="Home décor"/>
    <s v="Uttar Pradesh"/>
    <s v="Female"/>
    <n v="18"/>
    <n v="629"/>
    <n v="945"/>
    <n v="11322"/>
    <n v="17010"/>
    <n v="5688"/>
    <s v="profit"/>
  </r>
  <r>
    <x v="37"/>
    <s v="september"/>
    <s v="Elite Edge Consulting"/>
    <x v="0"/>
    <s v="Car accessories"/>
    <s v="Gujarat"/>
    <s v="Male"/>
    <n v="17"/>
    <n v="565"/>
    <n v="1281"/>
    <n v="9605"/>
    <n v="21777"/>
    <n v="12172"/>
    <s v="profit"/>
  </r>
  <r>
    <x v="38"/>
    <s v="september"/>
    <s v="Harmony Tech Ventures"/>
    <x v="0"/>
    <s v="Car accessories"/>
    <s v="Uttar Pradesh"/>
    <s v="Female"/>
    <n v="10"/>
    <n v="917"/>
    <n v="1107"/>
    <n v="9170"/>
    <n v="11070"/>
    <n v="1900"/>
    <s v="profit"/>
  </r>
  <r>
    <x v="39"/>
    <s v="october"/>
    <s v="Radiant Fitness Studio"/>
    <x v="0"/>
    <s v="Car accessories"/>
    <s v="Tamil Nadu"/>
    <s v="Female"/>
    <n v="18"/>
    <n v="867"/>
    <n v="875"/>
    <n v="15606"/>
    <n v="15750"/>
    <n v="144"/>
    <s v="profit"/>
  </r>
  <r>
    <x v="40"/>
    <s v="october"/>
    <s v="Zenith Finance Co."/>
    <x v="0"/>
    <s v="Car accessories"/>
    <s v="Rajasthan"/>
    <s v="Female"/>
    <n v="10"/>
    <n v="757"/>
    <n v="885"/>
    <n v="7570"/>
    <n v="8850"/>
    <n v="1280"/>
    <s v="profit"/>
  </r>
  <r>
    <x v="41"/>
    <s v="october"/>
    <s v="Apex Events Management"/>
    <x v="0"/>
    <s v="Car accessories"/>
    <s v="Uttar Pradesh"/>
    <s v="Female"/>
    <n v="18"/>
    <n v="668"/>
    <n v="1366"/>
    <n v="12024"/>
    <n v="24588"/>
    <n v="12564"/>
    <s v="profit"/>
  </r>
  <r>
    <x v="42"/>
    <s v="october"/>
    <s v="Stellar Media Group"/>
    <x v="0"/>
    <s v="Home décor"/>
    <s v="Jharkhand"/>
    <s v="Male"/>
    <n v="20"/>
    <n v="882"/>
    <n v="1193"/>
    <n v="17640"/>
    <n v="23860"/>
    <n v="6220"/>
    <s v="profit"/>
  </r>
  <r>
    <x v="66"/>
    <s v="july"/>
    <s v="Horizon Tech Solutions"/>
    <x v="2"/>
    <s v="Laptop"/>
    <s v="Uttar Pradesh"/>
    <s v="Female"/>
    <n v="26"/>
    <n v="627"/>
    <n v="1416"/>
    <n v="16302"/>
    <n v="36816"/>
    <n v="20514"/>
    <s v="profit"/>
  </r>
  <r>
    <x v="43"/>
    <s v="october"/>
    <s v="Harmony Finance Co."/>
    <x v="0"/>
    <s v="Home décor"/>
    <s v="West Bengal"/>
    <s v="Male"/>
    <n v="17"/>
    <n v="739"/>
    <n v="826"/>
    <n v="12563"/>
    <n v="14042"/>
    <n v="1479"/>
    <s v="profit"/>
  </r>
  <r>
    <x v="44"/>
    <s v="october"/>
    <s v="Pure Vision Ventures"/>
    <x v="0"/>
    <s v="Home décor"/>
    <s v="Karnataka"/>
    <s v="Male"/>
    <n v="15"/>
    <n v="563"/>
    <n v="1069"/>
    <n v="8445"/>
    <n v="16035"/>
    <n v="7590"/>
    <s v="profit"/>
  </r>
  <r>
    <x v="45"/>
    <s v="october"/>
    <s v="Legacy Travel Services"/>
    <x v="0"/>
    <s v="Home décor"/>
    <s v="Gujarat"/>
    <s v="Female"/>
    <n v="15"/>
    <n v="662"/>
    <n v="1183"/>
    <n v="9930"/>
    <n v="17745"/>
    <n v="7815"/>
    <s v="profit"/>
  </r>
  <r>
    <x v="46"/>
    <s v="october"/>
    <s v="Elite Spectrum Media"/>
    <x v="0"/>
    <s v="Home décor"/>
    <s v="Uttar Pradesh"/>
    <s v="Female"/>
    <n v="16"/>
    <n v="846"/>
    <n v="1375"/>
    <n v="13536"/>
    <n v="22000"/>
    <n v="8464"/>
    <s v="profit"/>
  </r>
  <r>
    <x v="47"/>
    <s v="october"/>
    <s v="Pinnacle Design Studio"/>
    <x v="0"/>
    <s v="Home décor"/>
    <s v="Tamil Nadu"/>
    <s v="Female"/>
    <n v="14"/>
    <n v="777"/>
    <n v="1192"/>
    <n v="10878"/>
    <n v="16688"/>
    <n v="5810"/>
    <s v="profit"/>
  </r>
  <r>
    <x v="48"/>
    <s v="january"/>
    <s v="Legacy Travel Ventures"/>
    <x v="0"/>
    <s v="Car accessories"/>
    <s v="West Bengal"/>
    <s v="Female"/>
    <n v="16"/>
    <n v="632"/>
    <n v="835"/>
    <n v="10112"/>
    <n v="13360"/>
    <n v="3248"/>
    <s v="profit"/>
  </r>
  <r>
    <x v="50"/>
    <s v="january"/>
    <s v="Stellar Design Group"/>
    <x v="0"/>
    <s v="Car accessories"/>
    <s v="Delhi"/>
    <s v="Female"/>
    <n v="11"/>
    <n v="731"/>
    <n v="1311"/>
    <n v="8041"/>
    <n v="14421"/>
    <n v="6380"/>
    <s v="profit"/>
  </r>
  <r>
    <x v="51"/>
    <s v="january"/>
    <s v="Horizon Ventures Co."/>
    <x v="0"/>
    <s v="Car accessories"/>
    <s v="Punjab"/>
    <s v="Female"/>
    <n v="10"/>
    <n v="774"/>
    <n v="1472"/>
    <n v="7740"/>
    <n v="14720"/>
    <n v="6980"/>
    <s v="profit"/>
  </r>
  <r>
    <x v="52"/>
    <s v="january"/>
    <s v="Zenith Wellness Services"/>
    <x v="0"/>
    <s v="Car accessories"/>
    <s v="West Bengal"/>
    <s v="Male"/>
    <n v="11"/>
    <n v="986"/>
    <n v="1228"/>
    <n v="10846"/>
    <n v="13508"/>
    <n v="2662"/>
    <s v="profit"/>
  </r>
  <r>
    <x v="53"/>
    <s v="january"/>
    <s v="Legacy Travel Co."/>
    <x v="0"/>
    <s v="Home décor"/>
    <s v="Assam"/>
    <s v="Female"/>
    <n v="11"/>
    <n v="519"/>
    <n v="1143"/>
    <n v="5709"/>
    <n v="12573"/>
    <n v="6864"/>
    <s v="profit"/>
  </r>
  <r>
    <x v="54"/>
    <s v="january"/>
    <s v="Pinnacle Innovations Group"/>
    <x v="0"/>
    <s v="Home décor"/>
    <s v="Punjab"/>
    <s v="Female"/>
    <n v="20"/>
    <n v="597"/>
    <n v="1175"/>
    <n v="11940"/>
    <n v="23500"/>
    <n v="11560"/>
    <s v="profit"/>
  </r>
  <r>
    <x v="55"/>
    <s v="january"/>
    <s v="Stellar Health Services"/>
    <x v="0"/>
    <s v="Home décor"/>
    <s v="Chhattisgarh"/>
    <s v="Female"/>
    <n v="18"/>
    <n v="632"/>
    <n v="1384"/>
    <n v="11376"/>
    <n v="24912"/>
    <n v="13536"/>
    <s v="profit"/>
  </r>
  <r>
    <x v="56"/>
    <s v="january"/>
    <s v="Radiance Design Co."/>
    <x v="0"/>
    <s v="Home décor"/>
    <s v="West Bengal"/>
    <s v="Female"/>
    <n v="17"/>
    <n v="649"/>
    <n v="1392"/>
    <n v="11033"/>
    <n v="23664"/>
    <n v="12631"/>
    <s v="profit"/>
  </r>
  <r>
    <x v="57"/>
    <s v="january"/>
    <s v="Harmony Consulting Group"/>
    <x v="0"/>
    <s v="Home décor"/>
    <s v="West Bengal"/>
    <s v="Female"/>
    <n v="18"/>
    <n v="587"/>
    <n v="905"/>
    <n v="10566"/>
    <n v="16290"/>
    <n v="5724"/>
    <s v="profit"/>
  </r>
  <r>
    <x v="59"/>
    <s v="january"/>
    <s v="Apex Educational Group"/>
    <x v="0"/>
    <s v="Home décor"/>
    <s v="Jharkhand"/>
    <s v="Male"/>
    <n v="19"/>
    <n v="701"/>
    <n v="1136"/>
    <n v="13319"/>
    <n v="21584"/>
    <n v="8265"/>
    <s v="profit"/>
  </r>
  <r>
    <x v="60"/>
    <s v="january"/>
    <s v="Modern Wellness Co."/>
    <x v="0"/>
    <s v="Home décor"/>
    <s v="West Bengal"/>
    <s v="Male"/>
    <n v="19"/>
    <n v="972"/>
    <n v="1314"/>
    <n v="18468"/>
    <n v="24966"/>
    <n v="6498"/>
    <s v="profit"/>
  </r>
  <r>
    <x v="61"/>
    <s v="january"/>
    <s v="Pure Spectrum Innovations"/>
    <x v="0"/>
    <s v="Home décor"/>
    <s v="Uttar Pradesh"/>
    <s v="Male"/>
    <n v="13"/>
    <n v="615"/>
    <n v="1010"/>
    <n v="7995"/>
    <n v="13130"/>
    <n v="5135"/>
    <s v="profit"/>
  </r>
  <r>
    <x v="62"/>
    <s v="january"/>
    <s v="Pinnacle Travel Co."/>
    <x v="0"/>
    <s v="Home décor"/>
    <s v="Kerala"/>
    <s v="Male"/>
    <n v="19"/>
    <n v="864"/>
    <n v="1147"/>
    <n v="16416"/>
    <n v="21793"/>
    <n v="5377"/>
    <s v="profit"/>
  </r>
  <r>
    <x v="67"/>
    <s v="august"/>
    <s v="Apex Wellness Solutions"/>
    <x v="1"/>
    <s v="Suit"/>
    <s v="Karnataka"/>
    <s v="Male"/>
    <n v="86"/>
    <n v="540"/>
    <n v="1460"/>
    <n v="46440"/>
    <n v="125560"/>
    <n v="79120"/>
    <s v="profit"/>
  </r>
  <r>
    <x v="0"/>
    <s v="june"/>
    <s v="Horizon Wellness"/>
    <x v="0"/>
    <s v="Car accessories"/>
    <s v="Assam"/>
    <s v="Female"/>
    <n v="13"/>
    <n v="643"/>
    <n v="1432"/>
    <n v="8359"/>
    <n v="18616"/>
    <n v="10257"/>
    <s v="profit"/>
  </r>
  <r>
    <x v="1"/>
    <s v="june"/>
    <s v="True Value Electronics"/>
    <x v="0"/>
    <s v="Car accessories"/>
    <s v="Punjab"/>
    <s v="Female"/>
    <n v="16"/>
    <n v="848"/>
    <n v="1211"/>
    <n v="13568"/>
    <n v="19376"/>
    <n v="5808"/>
    <s v="profit"/>
  </r>
  <r>
    <x v="2"/>
    <s v="june"/>
    <s v="Harmony Homes Realty"/>
    <x v="0"/>
    <s v="Car accessories"/>
    <s v="Chhattisgarh"/>
    <s v="Female"/>
    <n v="19"/>
    <n v="982"/>
    <n v="1457"/>
    <n v="18658"/>
    <n v="27683"/>
    <n v="9025"/>
    <s v="profit"/>
  </r>
  <r>
    <x v="3"/>
    <s v="june"/>
    <s v="Stellar Advertising"/>
    <x v="0"/>
    <s v="Car accessories"/>
    <s v="West Bengal"/>
    <s v="Female"/>
    <n v="19"/>
    <n v="918"/>
    <n v="864"/>
    <n v="17442"/>
    <n v="16416"/>
    <n v="-1026"/>
    <s v="loss"/>
  </r>
  <r>
    <x v="68"/>
    <s v="august"/>
    <s v="Radiance Tech Solutions"/>
    <x v="0"/>
    <s v="Home décor"/>
    <s v="Gujarat"/>
    <s v="Female"/>
    <n v="10"/>
    <n v="863"/>
    <n v="1386"/>
    <n v="8630"/>
    <n v="13860"/>
    <n v="5230"/>
    <s v="profit"/>
  </r>
  <r>
    <x v="4"/>
    <s v="june"/>
    <s v="Modern Trends Retail"/>
    <x v="0"/>
    <s v="Car accessories"/>
    <s v="Madhya Pradesh"/>
    <s v="Male"/>
    <n v="17"/>
    <n v="787"/>
    <n v="1108"/>
    <n v="13379"/>
    <n v="18836"/>
    <n v="5457"/>
    <s v="profit"/>
  </r>
  <r>
    <x v="5"/>
    <s v="june"/>
    <s v="Global Spectrum Consulting"/>
    <x v="0"/>
    <s v="Car accessories"/>
    <s v="Jharkhand"/>
    <s v="Male"/>
    <n v="15"/>
    <n v="545"/>
    <n v="1182"/>
    <n v="8175"/>
    <n v="17730"/>
    <n v="9555"/>
    <s v="profit"/>
  </r>
  <r>
    <x v="7"/>
    <s v="june"/>
    <s v="Radiant Vision Studios"/>
    <x v="0"/>
    <s v="Home décor"/>
    <s v="Gujarat"/>
    <s v="Female"/>
    <n v="11"/>
    <n v="616"/>
    <n v="1015"/>
    <n v="6776"/>
    <n v="11165"/>
    <n v="4389"/>
    <s v="profit"/>
  </r>
  <r>
    <x v="8"/>
    <s v="june"/>
    <s v="Noble Travel Services"/>
    <x v="0"/>
    <s v="Home décor"/>
    <s v="Uttar Pradesh"/>
    <s v="Female"/>
    <n v="16"/>
    <n v="911"/>
    <n v="1299"/>
    <n v="14576"/>
    <n v="20784"/>
    <n v="6208"/>
    <s v="profit"/>
  </r>
  <r>
    <x v="9"/>
    <s v="july"/>
    <s v="Bright Future Academy"/>
    <x v="0"/>
    <s v="Home décor"/>
    <s v="Uttar Pradesh"/>
    <s v="Female"/>
    <n v="19"/>
    <n v="816"/>
    <n v="1285"/>
    <n v="15504"/>
    <n v="24415"/>
    <n v="8911"/>
    <s v="profit"/>
  </r>
  <r>
    <x v="10"/>
    <s v="july"/>
    <s v="Visionary Health Systems"/>
    <x v="0"/>
    <s v="Home décor"/>
    <s v="Madhya Pradesh"/>
    <s v="Female"/>
    <n v="16"/>
    <n v="693"/>
    <n v="1042"/>
    <n v="11088"/>
    <n v="16672"/>
    <n v="5584"/>
    <s v="profit"/>
  </r>
  <r>
    <x v="11"/>
    <s v="july"/>
    <s v="Apex Retailers"/>
    <x v="0"/>
    <s v="Home décor"/>
    <s v="Maharashtra"/>
    <s v="Female"/>
    <n v="14"/>
    <n v="965"/>
    <n v="1212"/>
    <n v="13510"/>
    <n v="16968"/>
    <n v="3458"/>
    <s v="profit"/>
  </r>
  <r>
    <x v="69"/>
    <s v="august"/>
    <s v="Apex Enterprise Solutions"/>
    <x v="2"/>
    <s v="Laptop"/>
    <s v="Andhra Pradesh"/>
    <s v="Male"/>
    <n v="26"/>
    <n v="715"/>
    <n v="840"/>
    <n v="18590"/>
    <n v="21840"/>
    <n v="3250"/>
    <s v="profit"/>
  </r>
  <r>
    <x v="13"/>
    <s v="july"/>
    <s v="Prestige Property Developers"/>
    <x v="0"/>
    <s v="Home décor"/>
    <s v="Chandigarh"/>
    <s v="Female"/>
    <n v="20"/>
    <n v="960"/>
    <n v="1170"/>
    <n v="19200"/>
    <n v="23400"/>
    <n v="4200"/>
    <s v="profit"/>
  </r>
  <r>
    <x v="14"/>
    <s v="july"/>
    <s v="Classic Trends Fashion"/>
    <x v="0"/>
    <s v="Home décor"/>
    <s v="Madhya Pradesh"/>
    <s v="Male"/>
    <n v="16"/>
    <n v="734"/>
    <n v="1330"/>
    <n v="11744"/>
    <n v="21280"/>
    <n v="9536"/>
    <s v="profit"/>
  </r>
  <r>
    <x v="15"/>
    <s v="july"/>
    <s v="Harmony Ventures"/>
    <x v="0"/>
    <s v="Home décor"/>
    <s v="Andhra Pradesh"/>
    <s v="Male"/>
    <n v="16"/>
    <n v="673"/>
    <n v="1233"/>
    <n v="10768"/>
    <n v="19728"/>
    <n v="8960"/>
    <s v="profit"/>
  </r>
  <r>
    <x v="16"/>
    <s v="july"/>
    <s v="Stellar Realty"/>
    <x v="0"/>
    <s v="Home décor"/>
    <s v="Bihar"/>
    <s v="Male"/>
    <n v="14"/>
    <n v="782"/>
    <n v="835"/>
    <n v="10948"/>
    <n v="11690"/>
    <n v="742"/>
    <s v="profit"/>
  </r>
  <r>
    <x v="17"/>
    <s v="july"/>
    <s v="Future Path Technologies"/>
    <x v="0"/>
    <s v="Home décor"/>
    <s v="Gujarat"/>
    <s v="Male"/>
    <n v="19"/>
    <n v="536"/>
    <n v="927"/>
    <n v="10184"/>
    <n v="17613"/>
    <n v="7429"/>
    <s v="profit"/>
  </r>
  <r>
    <x v="70"/>
    <s v="august"/>
    <s v="Prestige Solutions"/>
    <x v="2"/>
    <s v="Laptop"/>
    <s v="Tamil Nadu"/>
    <s v="Female"/>
    <n v="23"/>
    <n v="923"/>
    <n v="897"/>
    <n v="21229"/>
    <n v="20631"/>
    <n v="-598"/>
    <s v="loss"/>
  </r>
  <r>
    <x v="18"/>
    <s v="july"/>
    <s v="Elite Edge Services"/>
    <x v="0"/>
    <s v="Home décor"/>
    <s v="Uttar Pradesh"/>
    <s v="Female"/>
    <n v="11"/>
    <n v="991"/>
    <n v="803"/>
    <n v="10901"/>
    <n v="8833"/>
    <n v="-2068"/>
    <s v="loss"/>
  </r>
  <r>
    <x v="19"/>
    <s v="august"/>
    <s v="Modern Harmony Products"/>
    <x v="0"/>
    <s v="Home décor"/>
    <s v="Maharashtra"/>
    <s v="Female"/>
    <n v="10"/>
    <n v="844"/>
    <n v="865"/>
    <n v="8440"/>
    <n v="8650"/>
    <n v="210"/>
    <s v="profit"/>
  </r>
  <r>
    <x v="20"/>
    <s v="august"/>
    <s v="Horizon Builders &amp; Developers"/>
    <x v="0"/>
    <s v="Home décor"/>
    <s v="Rajasthan"/>
    <s v="Female"/>
    <n v="20"/>
    <n v="803"/>
    <n v="1377"/>
    <n v="16060"/>
    <n v="27540"/>
    <n v="11480"/>
    <s v="profit"/>
  </r>
  <r>
    <x v="21"/>
    <s v="august"/>
    <s v="Legacy Apparel"/>
    <x v="0"/>
    <s v="Home décor"/>
    <s v="Uttar Pradesh"/>
    <s v="Female"/>
    <n v="12"/>
    <n v="606"/>
    <n v="1154"/>
    <n v="7272"/>
    <n v="13848"/>
    <n v="6576"/>
    <s v="profit"/>
  </r>
  <r>
    <x v="23"/>
    <s v="august"/>
    <s v="Pinnacle Education Group"/>
    <x v="0"/>
    <s v="Home décor"/>
    <s v="Uttar Pradesh"/>
    <s v="Female"/>
    <n v="11"/>
    <n v="622"/>
    <n v="767"/>
    <n v="6842"/>
    <n v="8437"/>
    <n v="1595"/>
    <s v="profit"/>
  </r>
  <r>
    <x v="25"/>
    <s v="august"/>
    <s v="Noble Innovations"/>
    <x v="0"/>
    <s v="Home décor"/>
    <s v="Maharashtra"/>
    <s v="Male"/>
    <n v="17"/>
    <n v="671"/>
    <n v="906"/>
    <n v="11407"/>
    <n v="15402"/>
    <n v="3995"/>
    <s v="profit"/>
  </r>
  <r>
    <x v="26"/>
    <s v="august"/>
    <s v="Crystal Clear Realty"/>
    <x v="0"/>
    <s v="Home décor"/>
    <s v="Madhya Pradesh"/>
    <s v="Male"/>
    <n v="12"/>
    <n v="814"/>
    <n v="1392"/>
    <n v="9768"/>
    <n v="16704"/>
    <n v="6936"/>
    <s v="profit"/>
  </r>
  <r>
    <x v="27"/>
    <s v="september"/>
    <s v="Apex Publishing House"/>
    <x v="0"/>
    <s v="Home décor"/>
    <s v="Delhi"/>
    <s v="Male"/>
    <n v="11"/>
    <n v="960"/>
    <n v="939"/>
    <n v="10560"/>
    <n v="10329"/>
    <n v="-231"/>
    <s v="loss"/>
  </r>
  <r>
    <x v="71"/>
    <s v="august"/>
    <s v="Urban Wave Solutions"/>
    <x v="1"/>
    <s v="Saree"/>
    <s v="Punjab"/>
    <s v="Male"/>
    <n v="89"/>
    <n v="910"/>
    <n v="1261"/>
    <n v="80990"/>
    <n v="112229"/>
    <n v="31239"/>
    <s v="profit"/>
  </r>
  <r>
    <x v="28"/>
    <s v="september"/>
    <s v="True Value Consulting"/>
    <x v="0"/>
    <s v="Home décor"/>
    <s v="Maharashtra"/>
    <s v="Male"/>
    <n v="10"/>
    <n v="654"/>
    <n v="1029"/>
    <n v="6540"/>
    <n v="10290"/>
    <n v="3750"/>
    <s v="profit"/>
  </r>
  <r>
    <x v="29"/>
    <s v="september"/>
    <s v="Future Path Ventures"/>
    <x v="0"/>
    <s v="Home décor"/>
    <s v="West Bengal"/>
    <s v="Male"/>
    <n v="14"/>
    <n v="504"/>
    <n v="1130"/>
    <n v="7056"/>
    <n v="15820"/>
    <n v="8764"/>
    <s v="profit"/>
  </r>
  <r>
    <x v="30"/>
    <s v="september"/>
    <s v="Stellar Tech Services"/>
    <x v="0"/>
    <s v="Home décor"/>
    <s v="Tamil Nadu"/>
    <s v="Male"/>
    <n v="12"/>
    <n v="886"/>
    <n v="1233"/>
    <n v="10632"/>
    <n v="14796"/>
    <n v="4164"/>
    <s v="profit"/>
  </r>
  <r>
    <x v="31"/>
    <s v="september"/>
    <s v="Legacy Travel Agency"/>
    <x v="0"/>
    <s v="Home décor"/>
    <s v="Karnataka"/>
    <s v="Female"/>
    <n v="10"/>
    <n v="554"/>
    <n v="1210"/>
    <n v="5540"/>
    <n v="12100"/>
    <n v="6560"/>
    <s v="profit"/>
  </r>
  <r>
    <x v="72"/>
    <s v="september"/>
    <s v="Visionary Realty Solutions"/>
    <x v="1"/>
    <s v="Suit"/>
    <s v="Jharkhand"/>
    <s v="Female"/>
    <n v="59"/>
    <n v="764"/>
    <n v="1365"/>
    <n v="45076"/>
    <n v="80535"/>
    <n v="35459"/>
    <s v="profit"/>
  </r>
  <r>
    <x v="32"/>
    <s v="september"/>
    <s v="Harmony Innovations"/>
    <x v="0"/>
    <s v="Home décor"/>
    <s v="Telangana"/>
    <s v="Female"/>
    <n v="14"/>
    <n v="933"/>
    <n v="1064"/>
    <n v="13062"/>
    <n v="14896"/>
    <n v="1834"/>
    <s v="profit"/>
  </r>
  <r>
    <x v="33"/>
    <s v="september"/>
    <s v="Elite Media Group"/>
    <x v="0"/>
    <s v="Home décor"/>
    <s v="Maharashtra"/>
    <s v="Female"/>
    <n v="15"/>
    <n v="674"/>
    <n v="1125"/>
    <n v="10110"/>
    <n v="16875"/>
    <n v="6765"/>
    <s v="profit"/>
  </r>
  <r>
    <x v="34"/>
    <s v="september"/>
    <s v="Radiant Construction"/>
    <x v="0"/>
    <s v="Home décor"/>
    <s v="Rajasthan"/>
    <s v="Female"/>
    <n v="20"/>
    <n v="529"/>
    <n v="1455"/>
    <n v="10580"/>
    <n v="29100"/>
    <n v="18520"/>
    <s v="profit"/>
  </r>
  <r>
    <x v="35"/>
    <s v="september"/>
    <s v="Pinnacle Finance"/>
    <x v="0"/>
    <s v="Home décor"/>
    <s v="Gujarat"/>
    <s v="Female"/>
    <n v="18"/>
    <n v="717"/>
    <n v="833"/>
    <n v="12906"/>
    <n v="14994"/>
    <n v="2088"/>
    <s v="profit"/>
  </r>
  <r>
    <x v="36"/>
    <s v="september"/>
    <s v="Horizon Tech Ventures"/>
    <x v="0"/>
    <s v="Home décor"/>
    <s v="Uttar Pradesh"/>
    <s v="Female"/>
    <n v="17"/>
    <n v="966"/>
    <n v="1044"/>
    <n v="16422"/>
    <n v="17748"/>
    <n v="1326"/>
    <s v="profit"/>
  </r>
  <r>
    <x v="37"/>
    <s v="september"/>
    <s v="Elite Edge Consulting"/>
    <x v="0"/>
    <s v="Car accessories"/>
    <s v="Gujarat"/>
    <s v="Male"/>
    <n v="16"/>
    <n v="599"/>
    <n v="1490"/>
    <n v="9584"/>
    <n v="23840"/>
    <n v="14256"/>
    <s v="profit"/>
  </r>
  <r>
    <x v="38"/>
    <s v="september"/>
    <s v="Harmony Tech Ventures"/>
    <x v="0"/>
    <s v="Car accessories"/>
    <s v="Uttar Pradesh"/>
    <s v="Female"/>
    <n v="12"/>
    <n v="827"/>
    <n v="955"/>
    <n v="9924"/>
    <n v="11460"/>
    <n v="1536"/>
    <s v="profit"/>
  </r>
  <r>
    <x v="39"/>
    <s v="october"/>
    <s v="Radiant Fitness Studio"/>
    <x v="0"/>
    <s v="Car accessories"/>
    <s v="Tamil Nadu"/>
    <s v="Female"/>
    <n v="17"/>
    <n v="932"/>
    <n v="808"/>
    <n v="15844"/>
    <n v="13736"/>
    <n v="-2108"/>
    <s v="loss"/>
  </r>
  <r>
    <x v="73"/>
    <s v="september"/>
    <s v="Pure Essence Solutions"/>
    <x v="0"/>
    <s v="Home décor"/>
    <s v="Gujarat"/>
    <s v="Female"/>
    <n v="14"/>
    <n v="857"/>
    <n v="767"/>
    <n v="11998"/>
    <n v="10738"/>
    <n v="-1260"/>
    <s v="loss"/>
  </r>
  <r>
    <x v="40"/>
    <s v="october"/>
    <s v="Zenith Finance Co."/>
    <x v="0"/>
    <s v="Car accessories"/>
    <s v="Rajasthan"/>
    <s v="Female"/>
    <n v="11"/>
    <n v="654"/>
    <n v="767"/>
    <n v="7194"/>
    <n v="8437"/>
    <n v="1243"/>
    <s v="profit"/>
  </r>
  <r>
    <x v="41"/>
    <s v="october"/>
    <s v="Apex Events Management"/>
    <x v="0"/>
    <s v="Car accessories"/>
    <s v="Uttar Pradesh"/>
    <s v="Female"/>
    <n v="19"/>
    <n v="764"/>
    <n v="1069"/>
    <n v="14516"/>
    <n v="20311"/>
    <n v="5795"/>
    <s v="profit"/>
  </r>
  <r>
    <x v="42"/>
    <s v="october"/>
    <s v="Stellar Media Group"/>
    <x v="0"/>
    <s v="Home décor"/>
    <s v="Jharkhand"/>
    <s v="Male"/>
    <n v="15"/>
    <n v="906"/>
    <n v="1485"/>
    <n v="13590"/>
    <n v="22275"/>
    <n v="8685"/>
    <s v="profit"/>
  </r>
  <r>
    <x v="43"/>
    <s v="october"/>
    <s v="Harmony Finance Co."/>
    <x v="0"/>
    <s v="Home décor"/>
    <s v="West Bengal"/>
    <s v="Male"/>
    <n v="20"/>
    <n v="780"/>
    <n v="783"/>
    <n v="15600"/>
    <n v="15660"/>
    <n v="60"/>
    <s v="profit"/>
  </r>
  <r>
    <x v="74"/>
    <s v="september"/>
    <s v="Crystal Health Solutions"/>
    <x v="0"/>
    <s v="Home décor"/>
    <s v="Uttar Pradesh"/>
    <s v="Male"/>
    <n v="14"/>
    <n v="515"/>
    <n v="1230"/>
    <n v="7210"/>
    <n v="17220"/>
    <n v="10010"/>
    <s v="profit"/>
  </r>
  <r>
    <x v="44"/>
    <s v="october"/>
    <s v="Pure Vision Ventures"/>
    <x v="0"/>
    <s v="Home décor"/>
    <s v="Karnataka"/>
    <s v="Male"/>
    <n v="17"/>
    <n v="747"/>
    <n v="1190"/>
    <n v="12699"/>
    <n v="20230"/>
    <n v="7531"/>
    <s v="profit"/>
  </r>
  <r>
    <x v="45"/>
    <s v="october"/>
    <s v="Legacy Travel Services"/>
    <x v="0"/>
    <s v="Home décor"/>
    <s v="Gujarat"/>
    <s v="Female"/>
    <n v="15"/>
    <n v="747"/>
    <n v="966"/>
    <n v="11205"/>
    <n v="14490"/>
    <n v="3285"/>
    <s v="profit"/>
  </r>
  <r>
    <x v="46"/>
    <s v="october"/>
    <s v="Elite Spectrum Media"/>
    <x v="0"/>
    <s v="Home décor"/>
    <s v="Uttar Pradesh"/>
    <s v="Female"/>
    <n v="20"/>
    <n v="844"/>
    <n v="1010"/>
    <n v="16880"/>
    <n v="20200"/>
    <n v="3320"/>
    <s v="profit"/>
  </r>
  <r>
    <x v="47"/>
    <s v="october"/>
    <s v="Pinnacle Design Studio"/>
    <x v="0"/>
    <s v="Home décor"/>
    <s v="Tamil Nadu"/>
    <s v="Female"/>
    <n v="14"/>
    <n v="799"/>
    <n v="1154"/>
    <n v="11186"/>
    <n v="16156"/>
    <n v="4970"/>
    <s v="profit"/>
  </r>
  <r>
    <x v="48"/>
    <s v="january"/>
    <s v="Legacy Travel Ventures"/>
    <x v="0"/>
    <s v="Car accessories"/>
    <s v="West Bengal"/>
    <s v="Female"/>
    <n v="19"/>
    <n v="608"/>
    <n v="1032"/>
    <n v="11552"/>
    <n v="19608"/>
    <n v="8056"/>
    <s v="profit"/>
  </r>
  <r>
    <x v="50"/>
    <s v="january"/>
    <s v="Stellar Design Group"/>
    <x v="0"/>
    <s v="Car accessories"/>
    <s v="Delhi"/>
    <s v="Female"/>
    <n v="14"/>
    <n v="579"/>
    <n v="907"/>
    <n v="8106"/>
    <n v="12698"/>
    <n v="4592"/>
    <s v="profit"/>
  </r>
  <r>
    <x v="51"/>
    <s v="january"/>
    <s v="Horizon Ventures Co."/>
    <x v="0"/>
    <s v="Car accessories"/>
    <s v="Punjab"/>
    <s v="Female"/>
    <n v="17"/>
    <n v="825"/>
    <n v="1080"/>
    <n v="14025"/>
    <n v="18360"/>
    <n v="4335"/>
    <s v="profit"/>
  </r>
  <r>
    <x v="52"/>
    <s v="january"/>
    <s v="Zenith Wellness Services"/>
    <x v="0"/>
    <s v="Car accessories"/>
    <s v="West Bengal"/>
    <s v="Male"/>
    <n v="15"/>
    <n v="827"/>
    <n v="931"/>
    <n v="12405"/>
    <n v="13965"/>
    <n v="1560"/>
    <s v="profit"/>
  </r>
  <r>
    <x v="75"/>
    <s v="september"/>
    <s v="Stellar Travel Solutions"/>
    <x v="0"/>
    <s v="Car accessories"/>
    <s v="Uttar Pradesh"/>
    <s v="Female"/>
    <n v="15"/>
    <n v="650"/>
    <n v="1347"/>
    <n v="9750"/>
    <n v="20205"/>
    <n v="10455"/>
    <s v="profit"/>
  </r>
  <r>
    <x v="53"/>
    <s v="january"/>
    <s v="Legacy Travel Co."/>
    <x v="0"/>
    <s v="Home décor"/>
    <s v="Assam"/>
    <s v="Female"/>
    <n v="20"/>
    <n v="900"/>
    <n v="1431"/>
    <n v="18000"/>
    <n v="28620"/>
    <n v="10620"/>
    <s v="profit"/>
  </r>
  <r>
    <x v="76"/>
    <s v="september"/>
    <s v="Pure Harmony Solutions"/>
    <x v="0"/>
    <s v="Car accessories"/>
    <s v="Tamil Nadu"/>
    <s v="Female"/>
    <n v="15"/>
    <n v="825"/>
    <n v="947"/>
    <n v="12375"/>
    <n v="14205"/>
    <n v="1830"/>
    <s v="profit"/>
  </r>
  <r>
    <x v="54"/>
    <s v="january"/>
    <s v="Pinnacle Innovations Group"/>
    <x v="0"/>
    <s v="Home décor"/>
    <s v="Punjab"/>
    <s v="Female"/>
    <n v="19"/>
    <n v="791"/>
    <n v="965"/>
    <n v="15029"/>
    <n v="18335"/>
    <n v="3306"/>
    <s v="profit"/>
  </r>
  <r>
    <x v="55"/>
    <s v="january"/>
    <s v="Stellar Health Services"/>
    <x v="0"/>
    <s v="Home décor"/>
    <s v="Chhattisgarh"/>
    <s v="Female"/>
    <n v="18"/>
    <n v="963"/>
    <n v="1178"/>
    <n v="17334"/>
    <n v="21204"/>
    <n v="3870"/>
    <s v="profit"/>
  </r>
  <r>
    <x v="56"/>
    <s v="january"/>
    <s v="Radiance Design Co."/>
    <x v="0"/>
    <s v="Home décor"/>
    <s v="West Bengal"/>
    <s v="Female"/>
    <n v="19"/>
    <n v="763"/>
    <n v="1036"/>
    <n v="14497"/>
    <n v="19684"/>
    <n v="5187"/>
    <s v="profit"/>
  </r>
  <r>
    <x v="57"/>
    <s v="january"/>
    <s v="Harmony Consulting Group"/>
    <x v="0"/>
    <s v="Home décor"/>
    <s v="West Bengal"/>
    <s v="Female"/>
    <n v="19"/>
    <n v="795"/>
    <n v="1471"/>
    <n v="15105"/>
    <n v="27949"/>
    <n v="12844"/>
    <s v="profit"/>
  </r>
  <r>
    <x v="59"/>
    <s v="january"/>
    <s v="Apex Educational Group"/>
    <x v="0"/>
    <s v="Home décor"/>
    <s v="Jharkhand"/>
    <s v="Male"/>
    <n v="16"/>
    <n v="731"/>
    <n v="1296"/>
    <n v="11696"/>
    <n v="20736"/>
    <n v="9040"/>
    <s v="profit"/>
  </r>
  <r>
    <x v="77"/>
    <s v="october"/>
    <s v="Modern Spectrum Solutions"/>
    <x v="1"/>
    <s v="Saree"/>
    <s v="Maharashtra"/>
    <s v="Female"/>
    <n v="92"/>
    <n v="923"/>
    <n v="1151"/>
    <n v="84916"/>
    <n v="105892"/>
    <n v="20976"/>
    <s v="profit"/>
  </r>
  <r>
    <x v="60"/>
    <s v="january"/>
    <s v="Modern Wellness Co."/>
    <x v="0"/>
    <s v="Home décor"/>
    <s v="West Bengal"/>
    <s v="Male"/>
    <n v="12"/>
    <n v="927"/>
    <n v="1162"/>
    <n v="11124"/>
    <n v="13944"/>
    <n v="2820"/>
    <s v="profit"/>
  </r>
  <r>
    <x v="61"/>
    <s v="january"/>
    <s v="Pure Spectrum Innovations"/>
    <x v="0"/>
    <s v="Home décor"/>
    <s v="Uttar Pradesh"/>
    <s v="Male"/>
    <n v="13"/>
    <n v="528"/>
    <n v="1175"/>
    <n v="6864"/>
    <n v="15275"/>
    <n v="8411"/>
    <s v="profit"/>
  </r>
  <r>
    <x v="62"/>
    <s v="january"/>
    <s v="Pinnacle Travel Co."/>
    <x v="0"/>
    <s v="Home décor"/>
    <s v="Kerala"/>
    <s v="Male"/>
    <n v="16"/>
    <n v="998"/>
    <n v="835"/>
    <n v="15968"/>
    <n v="13360"/>
    <n v="-2608"/>
    <s v="loss"/>
  </r>
  <r>
    <x v="78"/>
    <s v="april"/>
    <s v="Bharat Innovations"/>
    <x v="2"/>
    <s v="Speaker"/>
    <s v="Delhi"/>
    <s v="Male"/>
    <n v="29"/>
    <n v="924"/>
    <n v="1101"/>
    <n v="26796"/>
    <n v="31929"/>
    <n v="5133"/>
    <s v="profit"/>
  </r>
  <r>
    <x v="79"/>
    <s v="april"/>
    <s v="Green Leaf Enterprises"/>
    <x v="2"/>
    <s v="Earbuds"/>
    <s v="Maharashtra"/>
    <s v="Male"/>
    <n v="30"/>
    <n v="817"/>
    <n v="1334"/>
    <n v="24510"/>
    <n v="40020"/>
    <n v="15510"/>
    <s v="profit"/>
  </r>
  <r>
    <x v="80"/>
    <s v="april"/>
    <s v="Urban Pulse Technologies"/>
    <x v="2"/>
    <s v="Earbuds"/>
    <s v="West Bengal"/>
    <s v="Male"/>
    <n v="23"/>
    <n v="753"/>
    <n v="987"/>
    <n v="17319"/>
    <n v="22701"/>
    <n v="5382"/>
    <s v="profit"/>
  </r>
  <r>
    <x v="81"/>
    <s v="october"/>
    <s v="Apex Creative Solutions"/>
    <x v="1"/>
    <s v="Suit"/>
    <s v="West Bengal"/>
    <s v="Male"/>
    <n v="57"/>
    <n v="927"/>
    <n v="1477"/>
    <n v="52839"/>
    <n v="84189"/>
    <n v="31350"/>
    <s v="profit"/>
  </r>
  <r>
    <x v="82"/>
    <s v="april"/>
    <s v="Mystic India Exports"/>
    <x v="2"/>
    <s v="Earbuds"/>
    <s v="Tamil Nadu"/>
    <s v="Male"/>
    <n v="26"/>
    <n v="809"/>
    <n v="800"/>
    <n v="21034"/>
    <n v="20800"/>
    <n v="-234"/>
    <s v="loss"/>
  </r>
  <r>
    <x v="83"/>
    <s v="april"/>
    <s v="Pure Essence Skincare"/>
    <x v="2"/>
    <s v="Speaker"/>
    <s v="Rajasthan"/>
    <s v="Female"/>
    <n v="23"/>
    <n v="852"/>
    <n v="1480"/>
    <n v="19596"/>
    <n v="34040"/>
    <n v="14444"/>
    <s v="profit"/>
  </r>
  <r>
    <x v="84"/>
    <s v="april"/>
    <s v="Zenith Construction Co."/>
    <x v="2"/>
    <s v="Speaker"/>
    <s v="Gujarat"/>
    <s v="Female"/>
    <n v="24"/>
    <n v="903"/>
    <n v="1338"/>
    <n v="21672"/>
    <n v="32112"/>
    <n v="10440"/>
    <s v="profit"/>
  </r>
  <r>
    <x v="85"/>
    <s v="april"/>
    <s v="Radiant Health Systems"/>
    <x v="2"/>
    <s v="Speaker"/>
    <s v="Uttar Pradesh"/>
    <s v="Female"/>
    <n v="21"/>
    <n v="829"/>
    <n v="950"/>
    <n v="17409"/>
    <n v="19950"/>
    <n v="2541"/>
    <s v="profit"/>
  </r>
  <r>
    <x v="86"/>
    <s v="october"/>
    <s v="Radiance Solutions Group"/>
    <x v="0"/>
    <s v="Home décor"/>
    <s v="Bihar"/>
    <s v="Female"/>
    <n v="16"/>
    <n v="584"/>
    <n v="1278"/>
    <n v="9344"/>
    <n v="20448"/>
    <n v="11104"/>
    <s v="profit"/>
  </r>
  <r>
    <x v="87"/>
    <s v="april"/>
    <s v="Divine Creations"/>
    <x v="2"/>
    <s v="Speaker"/>
    <s v="Uttar Pradesh"/>
    <s v="Female"/>
    <n v="20"/>
    <n v="557"/>
    <n v="1002"/>
    <n v="11140"/>
    <n v="20040"/>
    <n v="8900"/>
    <s v="profit"/>
  </r>
  <r>
    <x v="88"/>
    <s v="april"/>
    <s v="True Path Logistics"/>
    <x v="2"/>
    <s v="Speaker"/>
    <s v="Madhya Pradesh"/>
    <s v="Female"/>
    <n v="20"/>
    <n v="648"/>
    <n v="1106"/>
    <n v="12960"/>
    <n v="22120"/>
    <n v="9160"/>
    <s v="profit"/>
  </r>
  <r>
    <x v="89"/>
    <s v="october"/>
    <s v="Modern Edge Solutions"/>
    <x v="0"/>
    <s v="Home décor"/>
    <s v="Uttar Pradesh"/>
    <s v="Female"/>
    <n v="19"/>
    <n v="589"/>
    <n v="1100"/>
    <n v="11191"/>
    <n v="20900"/>
    <n v="9709"/>
    <s v="profit"/>
  </r>
  <r>
    <x v="90"/>
    <s v="april"/>
    <s v="Prestige Automobiles"/>
    <x v="2"/>
    <s v="TV"/>
    <s v="Uttar Pradesh"/>
    <s v="Male"/>
    <n v="26"/>
    <n v="942"/>
    <n v="1143"/>
    <n v="24492"/>
    <n v="29718"/>
    <n v="5226"/>
    <s v="profit"/>
  </r>
  <r>
    <x v="91"/>
    <s v="october"/>
    <s v="Horizon Health Solutions"/>
    <x v="2"/>
    <s v="Speaker"/>
    <s v="Tamil Nadu"/>
    <s v="Female"/>
    <n v="30"/>
    <n v="869"/>
    <n v="1033"/>
    <n v="26070"/>
    <n v="30990"/>
    <n v="4920"/>
    <s v="profit"/>
  </r>
  <r>
    <x v="92"/>
    <s v="april"/>
    <s v="Natural Bliss Beverages"/>
    <x v="2"/>
    <s v="TV"/>
    <s v="Tamil Nadu"/>
    <s v="Male"/>
    <n v="20"/>
    <n v="606"/>
    <n v="806"/>
    <n v="12120"/>
    <n v="16120"/>
    <n v="4000"/>
    <s v="profit"/>
  </r>
  <r>
    <x v="93"/>
    <s v="october"/>
    <s v="Apex Marketing Solutions"/>
    <x v="2"/>
    <s v="Earbuds"/>
    <s v="Uttar Pradesh"/>
    <s v="Male"/>
    <n v="20"/>
    <n v="979"/>
    <n v="1471"/>
    <n v="19580"/>
    <n v="29420"/>
    <n v="9840"/>
    <s v="profit"/>
  </r>
  <r>
    <x v="94"/>
    <s v="april"/>
    <s v="Modern Trends Fashion"/>
    <x v="2"/>
    <s v="TV"/>
    <s v="Uttar Pradesh"/>
    <s v="Female"/>
    <n v="22"/>
    <n v="822"/>
    <n v="1153"/>
    <n v="18084"/>
    <n v="25366"/>
    <n v="7282"/>
    <s v="profit"/>
  </r>
  <r>
    <x v="95"/>
    <s v="april"/>
    <s v="Heritage Crafts"/>
    <x v="2"/>
    <s v="TV"/>
    <s v="Jharkhand"/>
    <s v="Female"/>
    <n v="26"/>
    <n v="505"/>
    <n v="1337"/>
    <n v="13130"/>
    <n v="34762"/>
    <n v="21632"/>
    <s v="profit"/>
  </r>
  <r>
    <x v="96"/>
    <s v="april"/>
    <s v="Future Insights Analytics"/>
    <x v="2"/>
    <s v="TV"/>
    <s v="Kerala"/>
    <s v="Female"/>
    <n v="23"/>
    <n v="649"/>
    <n v="1210"/>
    <n v="14927"/>
    <n v="27830"/>
    <n v="12903"/>
    <s v="profit"/>
  </r>
  <r>
    <x v="97"/>
    <s v="april"/>
    <s v="Emerald Estate Developers"/>
    <x v="2"/>
    <s v="TV"/>
    <s v="Maharashtra"/>
    <s v="Female"/>
    <n v="26"/>
    <n v="647"/>
    <n v="1025"/>
    <n v="16822"/>
    <n v="26650"/>
    <n v="9828"/>
    <s v="profit"/>
  </r>
  <r>
    <x v="98"/>
    <s v="april"/>
    <s v="Starlight Media Group"/>
    <x v="2"/>
    <s v="TV"/>
    <s v="Himachal Pradesh"/>
    <s v="Female"/>
    <n v="30"/>
    <n v="843"/>
    <n v="953"/>
    <n v="25290"/>
    <n v="28590"/>
    <n v="3300"/>
    <s v="profit"/>
  </r>
  <r>
    <x v="99"/>
    <s v="may"/>
    <s v="Supreme Electronics"/>
    <x v="2"/>
    <s v="TV"/>
    <s v="Uttarakhand"/>
    <s v="Female"/>
    <n v="21"/>
    <n v="571"/>
    <n v="900"/>
    <n v="11991"/>
    <n v="18900"/>
    <n v="6909"/>
    <s v="profit"/>
  </r>
  <r>
    <x v="100"/>
    <s v="may"/>
    <s v="Optimum Wellness"/>
    <x v="2"/>
    <s v="TV"/>
    <s v="Assam"/>
    <s v="Male"/>
    <n v="25"/>
    <n v="909"/>
    <n v="970"/>
    <n v="22725"/>
    <n v="24250"/>
    <n v="1525"/>
    <s v="profit"/>
  </r>
  <r>
    <x v="101"/>
    <s v="may"/>
    <s v="Zenith Books Publishing"/>
    <x v="2"/>
    <s v="TV"/>
    <s v="Punjab"/>
    <s v="Male"/>
    <n v="24"/>
    <n v="584"/>
    <n v="1158"/>
    <n v="14016"/>
    <n v="27792"/>
    <n v="13776"/>
    <s v="profit"/>
  </r>
  <r>
    <x v="102"/>
    <s v="may"/>
    <s v="Pinnacle Innovations"/>
    <x v="2"/>
    <s v="TV"/>
    <s v="Chhattisgarh"/>
    <s v="Male"/>
    <n v="28"/>
    <n v="787"/>
    <n v="1452"/>
    <n v="22036"/>
    <n v="40656"/>
    <n v="18620"/>
    <s v="profit"/>
  </r>
  <r>
    <x v="103"/>
    <s v="may"/>
    <s v="Apex Travel Services"/>
    <x v="2"/>
    <s v="TV"/>
    <s v="West Bengal"/>
    <s v="Male"/>
    <n v="23"/>
    <n v="768"/>
    <n v="1102"/>
    <n v="17664"/>
    <n v="25346"/>
    <n v="7682"/>
    <s v="profit"/>
  </r>
  <r>
    <x v="104"/>
    <s v="may"/>
    <s v="Golden Era Realty"/>
    <x v="2"/>
    <s v="TV"/>
    <s v="West Bengal"/>
    <s v="Female"/>
    <n v="23"/>
    <n v="584"/>
    <n v="1168"/>
    <n v="13432"/>
    <n v="26864"/>
    <n v="13432"/>
    <s v="profit"/>
  </r>
  <r>
    <x v="105"/>
    <s v="november"/>
    <s v="Radiance Solutions Co."/>
    <x v="1"/>
    <s v="Male dress"/>
    <s v="Jharkhand"/>
    <s v="Female"/>
    <n v="57"/>
    <n v="541"/>
    <n v="819"/>
    <n v="30837"/>
    <n v="46683"/>
    <n v="15846"/>
    <s v="profit"/>
  </r>
  <r>
    <x v="106"/>
    <s v="may"/>
    <s v="Radiant Jewelry"/>
    <x v="2"/>
    <s v="Laptop"/>
    <s v="Madhya Pradesh"/>
    <s v="Female"/>
    <n v="20"/>
    <n v="778"/>
    <n v="1096"/>
    <n v="15560"/>
    <n v="21920"/>
    <n v="6360"/>
    <s v="profit"/>
  </r>
  <r>
    <x v="107"/>
    <s v="may"/>
    <s v="Infinity Ventures"/>
    <x v="2"/>
    <s v="Laptop"/>
    <s v="Jharkhand"/>
    <s v="Female"/>
    <n v="26"/>
    <n v="595"/>
    <n v="914"/>
    <n v="15470"/>
    <n v="23764"/>
    <n v="8294"/>
    <s v="profit"/>
  </r>
  <r>
    <x v="108"/>
    <s v="november"/>
    <s v="Horizon Creative Solutions"/>
    <x v="1"/>
    <s v="Male dress"/>
    <s v="Delhi"/>
    <s v="Female"/>
    <n v="70"/>
    <n v="871"/>
    <n v="862"/>
    <n v="60970"/>
    <n v="60340"/>
    <n v="-630"/>
    <s v="loss"/>
  </r>
  <r>
    <x v="109"/>
    <s v="may"/>
    <s v="Royal Taste Foods"/>
    <x v="2"/>
    <s v="Laptop"/>
    <s v="West Bengal"/>
    <s v="Female"/>
    <n v="27"/>
    <n v="722"/>
    <n v="1497"/>
    <n v="19494"/>
    <n v="40419"/>
    <n v="20925"/>
    <s v="profit"/>
  </r>
  <r>
    <x v="110"/>
    <s v="may"/>
    <s v="Harmony Homes"/>
    <x v="2"/>
    <s v="Laptop"/>
    <s v="Karnataka"/>
    <s v="Female"/>
    <n v="25"/>
    <n v="982"/>
    <n v="1395"/>
    <n v="24550"/>
    <n v="34875"/>
    <n v="10325"/>
    <s v="profit"/>
  </r>
  <r>
    <x v="111"/>
    <s v="may"/>
    <s v="Urban Edge Consulting"/>
    <x v="2"/>
    <s v="Laptop"/>
    <s v="Delhi"/>
    <s v="Female"/>
    <n v="25"/>
    <n v="982"/>
    <n v="1389"/>
    <n v="24550"/>
    <n v="34725"/>
    <n v="10175"/>
    <s v="profit"/>
  </r>
  <r>
    <x v="112"/>
    <s v="may"/>
    <s v="Prime Tech Innovations"/>
    <x v="2"/>
    <s v="Laptop"/>
    <s v="Maharashtra"/>
    <s v="Female"/>
    <n v="25"/>
    <n v="810"/>
    <n v="1086"/>
    <n v="20250"/>
    <n v="27150"/>
    <n v="6900"/>
    <s v="profit"/>
  </r>
  <r>
    <x v="113"/>
    <s v="november"/>
    <s v="Urban Spectrum Solutions"/>
    <x v="2"/>
    <s v="TV"/>
    <s v="Telangana"/>
    <s v="Male"/>
    <n v="20"/>
    <n v="773"/>
    <n v="823"/>
    <n v="15460"/>
    <n v="16460"/>
    <n v="1000"/>
    <s v="profit"/>
  </r>
  <r>
    <x v="114"/>
    <s v="may"/>
    <s v="Legacy Designs"/>
    <x v="2"/>
    <s v="Laptop"/>
    <s v="West Bengal"/>
    <s v="Female"/>
    <n v="26"/>
    <n v="781"/>
    <n v="1019"/>
    <n v="20306"/>
    <n v="26494"/>
    <n v="6188"/>
    <s v="profit"/>
  </r>
  <r>
    <x v="115"/>
    <s v="may"/>
    <s v="Virtue Enterprises"/>
    <x v="2"/>
    <s v="Laptop"/>
    <s v="Tamil Nadu"/>
    <s v="Female"/>
    <n v="26"/>
    <n v="630"/>
    <n v="767"/>
    <n v="16380"/>
    <n v="19942"/>
    <n v="3562"/>
    <s v="profit"/>
  </r>
  <r>
    <x v="116"/>
    <s v="may"/>
    <s v="Radiant Health Club"/>
    <x v="2"/>
    <s v="Laptop"/>
    <s v="Karnataka"/>
    <s v="Female"/>
    <n v="23"/>
    <n v="972"/>
    <n v="782"/>
    <n v="22356"/>
    <n v="17986"/>
    <n v="-4370"/>
    <s v="loss"/>
  </r>
  <r>
    <x v="117"/>
    <s v="november"/>
    <s v="Legacy Wellness Solutions"/>
    <x v="2"/>
    <s v="TV"/>
    <s v="Gujarat"/>
    <s v="Female"/>
    <n v="23"/>
    <n v="906"/>
    <n v="1275"/>
    <n v="20838"/>
    <n v="29325"/>
    <n v="8487"/>
    <s v="profit"/>
  </r>
  <r>
    <x v="118"/>
    <s v="may"/>
    <s v="Bright Horizon Ventures"/>
    <x v="2"/>
    <s v="Laptop"/>
    <s v="Telangana"/>
    <s v="Male"/>
    <n v="30"/>
    <n v="987"/>
    <n v="1366"/>
    <n v="29610"/>
    <n v="40980"/>
    <n v="11370"/>
    <s v="profit"/>
  </r>
  <r>
    <x v="119"/>
    <s v="november"/>
    <s v="Horizon Media Solutions"/>
    <x v="2"/>
    <s v="TV"/>
    <s v="Uttar Pradesh"/>
    <s v="Female"/>
    <n v="24"/>
    <n v="927"/>
    <n v="1379"/>
    <n v="22248"/>
    <n v="33096"/>
    <n v="10848"/>
    <s v="profit"/>
  </r>
  <r>
    <x v="120"/>
    <s v="may"/>
    <s v="Modern Lifestyle Products"/>
    <x v="2"/>
    <s v="Laptop"/>
    <s v="Gujarat"/>
    <s v="Male"/>
    <n v="25"/>
    <n v="877"/>
    <n v="797"/>
    <n v="21925"/>
    <n v="19925"/>
    <n v="-2000"/>
    <s v="loss"/>
  </r>
  <r>
    <x v="121"/>
    <s v="may"/>
    <s v="Nexus Trading Co."/>
    <x v="2"/>
    <s v="Laptop"/>
    <s v="Maharashtra"/>
    <s v="Male"/>
    <n v="26"/>
    <n v="596"/>
    <n v="1136"/>
    <n v="15496"/>
    <n v="29536"/>
    <n v="14040"/>
    <s v="profit"/>
  </r>
  <r>
    <x v="122"/>
    <s v="july"/>
    <s v="Radiance Health and Wellness"/>
    <x v="2"/>
    <s v="Laptop"/>
    <s v="Uttar Pradesh"/>
    <s v="Male"/>
    <n v="26"/>
    <n v="771"/>
    <n v="1172"/>
    <n v="20046"/>
    <n v="30472"/>
    <n v="10426"/>
    <s v="profit"/>
  </r>
  <r>
    <x v="123"/>
    <s v="july"/>
    <s v="Legacy Auto Works"/>
    <x v="2"/>
    <s v="Laptop"/>
    <s v="Tamil Nadu"/>
    <s v="Male"/>
    <n v="30"/>
    <n v="859"/>
    <n v="1123"/>
    <n v="25770"/>
    <n v="33690"/>
    <n v="7920"/>
    <s v="profit"/>
  </r>
  <r>
    <x v="124"/>
    <s v="july"/>
    <s v="Prime Essence Creations"/>
    <x v="2"/>
    <s v="Laptop"/>
    <s v="Tamil Nadu"/>
    <s v="Male"/>
    <n v="30"/>
    <n v="726"/>
    <n v="964"/>
    <n v="21780"/>
    <n v="28920"/>
    <n v="7140"/>
    <s v="profit"/>
  </r>
  <r>
    <x v="125"/>
    <s v="july"/>
    <s v="Quantum Ventures"/>
    <x v="2"/>
    <s v="Laptop"/>
    <s v="Rajasthan"/>
    <s v="Male"/>
    <n v="29"/>
    <n v="861"/>
    <n v="820"/>
    <n v="24969"/>
    <n v="23780"/>
    <n v="-1189"/>
    <s v="loss"/>
  </r>
  <r>
    <x v="126"/>
    <s v="july"/>
    <s v="Urban Legends Apparel"/>
    <x v="2"/>
    <s v="Laptop"/>
    <s v="Jharkhand"/>
    <s v="Female"/>
    <n v="24"/>
    <n v="978"/>
    <n v="773"/>
    <n v="23472"/>
    <n v="18552"/>
    <n v="-4920"/>
    <s v="loss"/>
  </r>
  <r>
    <x v="127"/>
    <s v="july"/>
    <s v="Pure Bliss Beverages"/>
    <x v="2"/>
    <s v="Laptop"/>
    <s v="Kerala"/>
    <s v="Female"/>
    <n v="30"/>
    <n v="514"/>
    <n v="1333"/>
    <n v="15420"/>
    <n v="39990"/>
    <n v="24570"/>
    <s v="profit"/>
  </r>
  <r>
    <x v="128"/>
    <s v="july"/>
    <s v="Noble Heights Builders"/>
    <x v="2"/>
    <s v="Laptop"/>
    <s v="Maharashtra"/>
    <s v="Female"/>
    <n v="26"/>
    <n v="656"/>
    <n v="908"/>
    <n v="17056"/>
    <n v="23608"/>
    <n v="6552"/>
    <s v="profit"/>
  </r>
  <r>
    <x v="129"/>
    <s v="november"/>
    <s v="Urban Vision Solutions"/>
    <x v="2"/>
    <s v="Laptop"/>
    <s v="Uttar Pradesh"/>
    <s v="Female"/>
    <n v="28"/>
    <n v="866"/>
    <n v="1102"/>
    <n v="24248"/>
    <n v="30856"/>
    <n v="6608"/>
    <s v="profit"/>
  </r>
  <r>
    <x v="130"/>
    <s v="july"/>
    <s v="Radiant Foods"/>
    <x v="2"/>
    <s v="Laptop"/>
    <s v="Himachal Pradesh"/>
    <s v="Female"/>
    <n v="28"/>
    <n v="866"/>
    <n v="1080"/>
    <n v="24248"/>
    <n v="30240"/>
    <n v="5992"/>
    <s v="profit"/>
  </r>
  <r>
    <x v="131"/>
    <s v="july"/>
    <s v="Zenith Financial Services"/>
    <x v="2"/>
    <s v="Laptop"/>
    <s v="Uttarakhand"/>
    <s v="Female"/>
    <n v="23"/>
    <n v="969"/>
    <n v="1075"/>
    <n v="22287"/>
    <n v="24725"/>
    <n v="2438"/>
    <s v="profit"/>
  </r>
  <r>
    <x v="132"/>
    <s v="december"/>
    <s v="Pinnacle Travel Solutions"/>
    <x v="2"/>
    <s v="Laptop"/>
    <s v="Rajasthan"/>
    <s v="Male"/>
    <n v="29"/>
    <n v="639"/>
    <n v="1257"/>
    <n v="18531"/>
    <n v="36453"/>
    <n v="17922"/>
    <s v="profit"/>
  </r>
  <r>
    <x v="133"/>
    <s v="july"/>
    <s v="Apex Travel Ventures"/>
    <x v="2"/>
    <s v="Laptop"/>
    <s v="Assam"/>
    <s v="Female"/>
    <n v="21"/>
    <n v="626"/>
    <n v="772"/>
    <n v="13146"/>
    <n v="16212"/>
    <n v="3066"/>
    <s v="profit"/>
  </r>
  <r>
    <x v="134"/>
    <s v="august"/>
    <s v="Future Vision Realty"/>
    <x v="2"/>
    <s v="Laptop"/>
    <s v="Maharashtra"/>
    <s v="Male"/>
    <n v="26"/>
    <n v="715"/>
    <n v="1113"/>
    <n v="18590"/>
    <n v="28938"/>
    <n v="10348"/>
    <s v="profit"/>
  </r>
  <r>
    <x v="135"/>
    <s v="august"/>
    <s v="Urban Pulse Media"/>
    <x v="2"/>
    <s v="Laptop"/>
    <s v="Chandigarh"/>
    <s v="Male"/>
    <n v="27"/>
    <n v="611"/>
    <n v="1309"/>
    <n v="16497"/>
    <n v="35343"/>
    <n v="18846"/>
    <s v="profit"/>
  </r>
  <r>
    <x v="136"/>
    <s v="august"/>
    <s v="True Essence Health"/>
    <x v="2"/>
    <s v="Laptop"/>
    <s v="Madhya Pradesh"/>
    <s v="Female"/>
    <n v="29"/>
    <n v="544"/>
    <n v="1436"/>
    <n v="15776"/>
    <n v="41644"/>
    <n v="25868"/>
    <s v="profit"/>
  </r>
  <r>
    <x v="137"/>
    <s v="december"/>
    <s v="Harmony Health Solutions"/>
    <x v="2"/>
    <s v="Laptop"/>
    <s v="Himachal Pradesh"/>
    <s v="Male"/>
    <n v="23"/>
    <n v="771"/>
    <n v="1430"/>
    <n v="17733"/>
    <n v="32890"/>
    <n v="15157"/>
    <s v="profit"/>
  </r>
  <r>
    <x v="138"/>
    <s v="august"/>
    <s v="Radiant Vision Realty"/>
    <x v="2"/>
    <s v="Laptop"/>
    <s v="Bihar"/>
    <s v="Male"/>
    <n v="30"/>
    <n v="652"/>
    <n v="1151"/>
    <n v="19560"/>
    <n v="34530"/>
    <n v="14970"/>
    <s v="profit"/>
  </r>
  <r>
    <x v="139"/>
    <s v="august"/>
    <s v="Harmony Consulting Group"/>
    <x v="2"/>
    <s v="Laptop"/>
    <s v="Gujarat"/>
    <s v="Male"/>
    <n v="22"/>
    <n v="681"/>
    <n v="1087"/>
    <n v="14982"/>
    <n v="23914"/>
    <n v="8932"/>
    <s v="profit"/>
  </r>
  <r>
    <x v="140"/>
    <s v="december"/>
    <s v="Modern Vision Solutions"/>
    <x v="1"/>
    <s v="Saree"/>
    <s v="Punjab"/>
    <s v="Male"/>
    <n v="66"/>
    <n v="888"/>
    <n v="809"/>
    <n v="58608"/>
    <n v="53394"/>
    <n v="-5214"/>
    <s v="loss"/>
  </r>
  <r>
    <x v="141"/>
    <s v="august"/>
    <s v="Zenith Tech Ventures"/>
    <x v="2"/>
    <s v="Laptop"/>
    <s v="Uttar Pradesh"/>
    <s v="Male"/>
    <n v="28"/>
    <n v="923"/>
    <n v="1395"/>
    <n v="25844"/>
    <n v="39060"/>
    <n v="13216"/>
    <s v="profit"/>
  </r>
  <r>
    <x v="142"/>
    <s v="august"/>
    <s v="Stellar Health Services"/>
    <x v="2"/>
    <s v="Laptop"/>
    <s v="Uttar Pradesh"/>
    <s v="Female"/>
    <n v="26"/>
    <n v="999"/>
    <n v="1112"/>
    <n v="25974"/>
    <n v="28912"/>
    <n v="2938"/>
    <s v="profit"/>
  </r>
  <r>
    <x v="143"/>
    <s v="august"/>
    <s v="Pure Path Foods"/>
    <x v="2"/>
    <s v="Laptop"/>
    <s v="Tamil Nadu"/>
    <s v="Female"/>
    <n v="30"/>
    <n v="792"/>
    <n v="1010"/>
    <n v="23760"/>
    <n v="30300"/>
    <n v="6540"/>
    <s v="profit"/>
  </r>
  <r>
    <x v="144"/>
    <s v="august"/>
    <s v="Bright Horizon Realty"/>
    <x v="2"/>
    <s v="Laptop"/>
    <s v="Rajasthan"/>
    <s v="Female"/>
    <n v="22"/>
    <n v="774"/>
    <n v="1387"/>
    <n v="17028"/>
    <n v="30514"/>
    <n v="13486"/>
    <s v="profit"/>
  </r>
  <r>
    <x v="145"/>
    <s v="december"/>
    <s v="Radiant Educational Solutions"/>
    <x v="1"/>
    <s v="Saree"/>
    <s v="Uttar Pradesh"/>
    <s v="Female"/>
    <n v="56"/>
    <n v="516"/>
    <n v="1316"/>
    <n v="28896"/>
    <n v="73696"/>
    <n v="44800"/>
    <s v="profit"/>
  </r>
  <r>
    <x v="146"/>
    <s v="october"/>
    <s v="Crystal Clear Consulting"/>
    <x v="2"/>
    <s v="Earbuds"/>
    <s v="Rajasthan"/>
    <s v="Female"/>
    <n v="20"/>
    <n v="999"/>
    <n v="1191"/>
    <n v="19980"/>
    <n v="23820"/>
    <n v="3840"/>
    <s v="profit"/>
  </r>
  <r>
    <x v="147"/>
    <s v="october"/>
    <s v="Zenith Innovations"/>
    <x v="2"/>
    <s v="Earbuds"/>
    <s v="Jharkhand"/>
    <s v="Male"/>
    <n v="29"/>
    <n v="661"/>
    <n v="1400"/>
    <n v="19169"/>
    <n v="40600"/>
    <n v="21431"/>
    <s v="profit"/>
  </r>
  <r>
    <x v="148"/>
    <s v="october"/>
    <s v="True Essence Innovations"/>
    <x v="2"/>
    <s v="Speaker"/>
    <s v="Assam"/>
    <s v="Male"/>
    <n v="30"/>
    <n v="539"/>
    <n v="1364"/>
    <n v="16170"/>
    <n v="40920"/>
    <n v="24750"/>
    <s v="profit"/>
  </r>
  <r>
    <x v="149"/>
    <s v="december"/>
    <s v="Zenith Creative Solutions"/>
    <x v="1"/>
    <s v="Saree"/>
    <s v="Uttar Pradesh"/>
    <s v="Female"/>
    <n v="60"/>
    <n v="901"/>
    <n v="1148"/>
    <n v="54060"/>
    <n v="68880"/>
    <n v="14820"/>
    <s v="profit"/>
  </r>
  <r>
    <x v="150"/>
    <s v="november"/>
    <s v="Pinnacle Media Group"/>
    <x v="2"/>
    <s v="Speaker"/>
    <s v="Punjab"/>
    <s v="Male"/>
    <n v="26"/>
    <n v="726"/>
    <n v="1335"/>
    <n v="18876"/>
    <n v="34710"/>
    <n v="15834"/>
    <s v="profit"/>
  </r>
  <r>
    <x v="151"/>
    <s v="december"/>
    <s v="Pure Vision Solutions"/>
    <x v="1"/>
    <s v="Suit"/>
    <s v="Kerala"/>
    <s v="Female"/>
    <n v="50"/>
    <n v="749"/>
    <n v="1269"/>
    <n v="37450"/>
    <n v="63450"/>
    <n v="26000"/>
    <s v="profit"/>
  </r>
  <r>
    <x v="152"/>
    <s v="november"/>
    <s v="Legacy Design Co."/>
    <x v="2"/>
    <s v="Speaker"/>
    <s v="Chhattisgarh"/>
    <s v="Male"/>
    <n v="29"/>
    <n v="510"/>
    <n v="1131"/>
    <n v="14790"/>
    <n v="32799"/>
    <n v="18009"/>
    <s v="profit"/>
  </r>
  <r>
    <x v="153"/>
    <s v="november"/>
    <s v="Apex Health Products"/>
    <x v="2"/>
    <s v="Speaker"/>
    <s v="West Bengal"/>
    <s v="Female"/>
    <n v="27"/>
    <n v="752"/>
    <n v="1258"/>
    <n v="20304"/>
    <n v="33966"/>
    <n v="13662"/>
    <s v="profit"/>
  </r>
  <r>
    <x v="154"/>
    <s v="november"/>
    <s v="Zenith Travel Ventures"/>
    <x v="2"/>
    <s v="Speaker"/>
    <s v="West Bengal"/>
    <s v="Female"/>
    <n v="28"/>
    <n v="924"/>
    <n v="847"/>
    <n v="25872"/>
    <n v="23716"/>
    <n v="-2156"/>
    <s v="loss"/>
  </r>
  <r>
    <x v="155"/>
    <s v="november"/>
    <s v="Pure Path Consulting"/>
    <x v="2"/>
    <s v="Speaker"/>
    <s v="Madhya Pradesh"/>
    <s v="Female"/>
    <n v="26"/>
    <n v="643"/>
    <n v="1341"/>
    <n v="16718"/>
    <n v="34866"/>
    <n v="18148"/>
    <s v="profit"/>
  </r>
  <r>
    <x v="156"/>
    <s v="december"/>
    <s v="Harmony Edge Solutions"/>
    <x v="1"/>
    <s v="Suit"/>
    <s v="Punjab"/>
    <s v="Male"/>
    <n v="59"/>
    <n v="774"/>
    <n v="1374"/>
    <n v="45666"/>
    <n v="81066"/>
    <n v="35400"/>
    <s v="profit"/>
  </r>
  <r>
    <x v="157"/>
    <s v="november"/>
    <s v="Harmony Educational Group"/>
    <x v="2"/>
    <s v="TV"/>
    <s v="Karnataka"/>
    <s v="Male"/>
    <n v="23"/>
    <n v="584"/>
    <n v="1140"/>
    <n v="13432"/>
    <n v="26220"/>
    <n v="12788"/>
    <s v="profit"/>
  </r>
  <r>
    <x v="158"/>
    <s v="november"/>
    <s v="Radiant Design Studio"/>
    <x v="2"/>
    <s v="TV"/>
    <s v="Gujarat"/>
    <s v="Male"/>
    <n v="21"/>
    <n v="608"/>
    <n v="983"/>
    <n v="12768"/>
    <n v="20643"/>
    <n v="7875"/>
    <s v="profit"/>
  </r>
  <r>
    <x v="159"/>
    <s v="november"/>
    <s v="Zenith Health Innovations"/>
    <x v="2"/>
    <s v="TV"/>
    <s v="Maharashtra"/>
    <s v="Male"/>
    <n v="30"/>
    <n v="712"/>
    <n v="1311"/>
    <n v="21360"/>
    <n v="39330"/>
    <n v="17970"/>
    <s v="profit"/>
  </r>
  <r>
    <x v="160"/>
    <s v="november"/>
    <s v="Apex Realty Ventures"/>
    <x v="2"/>
    <s v="TV"/>
    <s v="Rajasthan"/>
    <s v="Male"/>
    <n v="24"/>
    <n v="672"/>
    <n v="878"/>
    <n v="16128"/>
    <n v="21072"/>
    <n v="4944"/>
    <s v="profit"/>
  </r>
  <r>
    <x v="161"/>
    <s v="november"/>
    <s v="True Value Ventures"/>
    <x v="2"/>
    <s v="TV"/>
    <s v="Uttar Pradesh"/>
    <s v="Female"/>
    <n v="29"/>
    <n v="520"/>
    <n v="770"/>
    <n v="15080"/>
    <n v="22330"/>
    <n v="7250"/>
    <s v="profit"/>
  </r>
  <r>
    <x v="162"/>
    <s v="november"/>
    <s v="Crystal Clear Designs"/>
    <x v="2"/>
    <s v="TV"/>
    <s v="Maharashtra"/>
    <s v="Male"/>
    <n v="28"/>
    <n v="884"/>
    <n v="1165"/>
    <n v="24752"/>
    <n v="32620"/>
    <n v="7868"/>
    <s v="profit"/>
  </r>
  <r>
    <x v="163"/>
    <s v="january"/>
    <s v="Pinnacle Media Solutions"/>
    <x v="0"/>
    <s v="Car accessories"/>
    <s v="Karnataka"/>
    <s v="Female"/>
    <n v="11"/>
    <n v="562"/>
    <n v="800"/>
    <n v="6182"/>
    <n v="8800"/>
    <n v="2618"/>
    <s v="profit"/>
  </r>
  <r>
    <x v="164"/>
    <s v="november"/>
    <s v="Pinnacle Innovations Co."/>
    <x v="2"/>
    <s v="TV"/>
    <s v="Madhya Pradesh"/>
    <s v="Male"/>
    <n v="25"/>
    <n v="990"/>
    <n v="868"/>
    <n v="24750"/>
    <n v="21700"/>
    <n v="-3050"/>
    <s v="loss"/>
  </r>
  <r>
    <x v="165"/>
    <s v="january"/>
    <s v="Radiant Tech Solutions"/>
    <x v="0"/>
    <s v="Car accessories"/>
    <s v="Maharashtra"/>
    <s v="Female"/>
    <n v="15"/>
    <n v="992"/>
    <n v="1404"/>
    <n v="14880"/>
    <n v="21060"/>
    <n v="6180"/>
    <s v="profit"/>
  </r>
  <r>
    <x v="166"/>
    <s v="november"/>
    <s v="Modern Pathways"/>
    <x v="2"/>
    <s v="TV"/>
    <s v="Maharashtra"/>
    <s v="Male"/>
    <n v="22"/>
    <n v="524"/>
    <n v="1156"/>
    <n v="11528"/>
    <n v="25432"/>
    <n v="13904"/>
    <s v="profit"/>
  </r>
  <r>
    <x v="167"/>
    <s v="january"/>
    <s v="Elite Creative Solutions"/>
    <x v="0"/>
    <s v="Car accessories"/>
    <s v="Chhattisgarh"/>
    <s v="Female"/>
    <n v="11"/>
    <n v="668"/>
    <n v="1096"/>
    <n v="7348"/>
    <n v="12056"/>
    <n v="4708"/>
    <s v="profit"/>
  </r>
  <r>
    <x v="168"/>
    <s v="november"/>
    <s v="Stellar Finance Co."/>
    <x v="2"/>
    <s v="TV"/>
    <s v="Chandigarh"/>
    <s v="Male"/>
    <n v="26"/>
    <n v="997"/>
    <n v="982"/>
    <n v="25922"/>
    <n v="25532"/>
    <n v="-390"/>
    <s v="loss"/>
  </r>
  <r>
    <x v="169"/>
    <s v="november"/>
    <s v="Radiant Spectrum Group"/>
    <x v="2"/>
    <s v="TV"/>
    <s v="Madhya Pradesh"/>
    <s v="Male"/>
    <n v="27"/>
    <n v="922"/>
    <n v="1284"/>
    <n v="24894"/>
    <n v="34668"/>
    <n v="9774"/>
    <s v="profit"/>
  </r>
  <r>
    <x v="170"/>
    <s v="november"/>
    <s v="Harmony Design Ventures"/>
    <x v="2"/>
    <s v="TV"/>
    <s v="Andhra Pradesh"/>
    <s v="Female"/>
    <n v="21"/>
    <n v="978"/>
    <n v="1139"/>
    <n v="20538"/>
    <n v="23919"/>
    <n v="3381"/>
    <s v="profit"/>
  </r>
  <r>
    <x v="171"/>
    <s v="november"/>
    <s v="Elite Edge Products"/>
    <x v="2"/>
    <s v="TV"/>
    <s v="Bihar"/>
    <s v="Female"/>
    <n v="24"/>
    <n v="830"/>
    <n v="1355"/>
    <n v="19920"/>
    <n v="32520"/>
    <n v="12600"/>
    <s v="profit"/>
  </r>
  <r>
    <x v="172"/>
    <s v="november"/>
    <s v="Zenith Consulting Co."/>
    <x v="2"/>
    <s v="Laptop"/>
    <s v="Gujarat"/>
    <s v="Female"/>
    <n v="21"/>
    <n v="751"/>
    <n v="1498"/>
    <n v="15771"/>
    <n v="31458"/>
    <n v="15687"/>
    <s v="profit"/>
  </r>
  <r>
    <x v="173"/>
    <s v="november"/>
    <s v="Apex Wellness Products"/>
    <x v="2"/>
    <s v="Laptop"/>
    <s v="Uttar Pradesh"/>
    <s v="Female"/>
    <n v="26"/>
    <n v="520"/>
    <n v="1261"/>
    <n v="13520"/>
    <n v="32786"/>
    <n v="19266"/>
    <s v="profit"/>
  </r>
  <r>
    <x v="174"/>
    <s v="january"/>
    <s v="Pinnacle Design Solutions"/>
    <x v="1"/>
    <s v="Suit"/>
    <s v="Rajasthan"/>
    <s v="Male"/>
    <n v="56"/>
    <n v="685"/>
    <n v="771"/>
    <n v="38360"/>
    <n v="43176"/>
    <n v="4816"/>
    <s v="profit"/>
  </r>
  <r>
    <x v="175"/>
    <s v="december"/>
    <s v="Pure Harmony Innovations"/>
    <x v="2"/>
    <s v="Laptop"/>
    <s v="Tamil Nadu"/>
    <s v="Female"/>
    <n v="21"/>
    <n v="605"/>
    <n v="1264"/>
    <n v="12705"/>
    <n v="26544"/>
    <n v="13839"/>
    <s v="profit"/>
  </r>
  <r>
    <x v="176"/>
    <s v="december"/>
    <s v="Legacy Media Group"/>
    <x v="2"/>
    <s v="Laptop"/>
    <s v="Tamil Nadu"/>
    <s v="Female"/>
    <n v="20"/>
    <n v="666"/>
    <n v="1087"/>
    <n v="13320"/>
    <n v="21740"/>
    <n v="8420"/>
    <s v="profit"/>
  </r>
  <r>
    <x v="177"/>
    <s v="december"/>
    <s v="Horizon Tech Innovations"/>
    <x v="2"/>
    <s v="Laptop"/>
    <s v="Uttar Pradesh"/>
    <s v="Male"/>
    <n v="23"/>
    <n v="632"/>
    <n v="762"/>
    <n v="14536"/>
    <n v="17526"/>
    <n v="2990"/>
    <s v="profit"/>
  </r>
  <r>
    <x v="178"/>
    <s v="december"/>
    <s v="Crystal Spectrum Consulting"/>
    <x v="2"/>
    <s v="Laptop"/>
    <s v="Jharkhand"/>
    <s v="Male"/>
    <n v="21"/>
    <n v="540"/>
    <n v="812"/>
    <n v="11340"/>
    <n v="17052"/>
    <n v="5712"/>
    <s v="profit"/>
  </r>
  <r>
    <x v="179"/>
    <s v="december"/>
    <s v="Stellar Creative Co."/>
    <x v="2"/>
    <s v="Laptop"/>
    <s v="Kerala"/>
    <s v="Male"/>
    <n v="30"/>
    <n v="557"/>
    <n v="886"/>
    <n v="16710"/>
    <n v="26580"/>
    <n v="9870"/>
    <s v="profit"/>
  </r>
  <r>
    <x v="180"/>
    <s v="january"/>
    <s v="Pure Harmony Solutions"/>
    <x v="0"/>
    <s v="Home décor"/>
    <s v="Uttarakhand"/>
    <s v="Female"/>
    <n v="20"/>
    <n v="803"/>
    <n v="941"/>
    <n v="16060"/>
    <n v="18820"/>
    <n v="2760"/>
    <s v="profit"/>
  </r>
  <r>
    <x v="181"/>
    <s v="december"/>
    <s v="Radiance Media Ventures"/>
    <x v="2"/>
    <s v="Laptop"/>
    <s v="Maharashtra"/>
    <s v="Female"/>
    <n v="24"/>
    <n v="651"/>
    <n v="1386"/>
    <n v="15624"/>
    <n v="33264"/>
    <n v="17640"/>
    <s v="profit"/>
  </r>
  <r>
    <x v="182"/>
    <s v="december"/>
    <s v="Zenith Edge Services"/>
    <x v="2"/>
    <s v="Laptop"/>
    <s v="Uttarakhand"/>
    <s v="Male"/>
    <n v="20"/>
    <n v="565"/>
    <n v="943"/>
    <n v="11300"/>
    <n v="18860"/>
    <n v="7560"/>
    <s v="profit"/>
  </r>
  <r>
    <x v="183"/>
    <s v="february"/>
    <s v="Stellar Consulting Services"/>
    <x v="2"/>
    <s v="Laptop"/>
    <s v="Maharashtra"/>
    <s v="Female"/>
    <n v="22"/>
    <n v="810"/>
    <n v="1201"/>
    <n v="17820"/>
    <n v="26422"/>
    <n v="8602"/>
    <s v="profit"/>
  </r>
  <r>
    <x v="184"/>
    <s v="february"/>
    <s v="Radiant Ventures"/>
    <x v="2"/>
    <s v="Laptop"/>
    <s v="Himachal Pradesh"/>
    <s v="Female"/>
    <n v="23"/>
    <n v="827"/>
    <n v="1185"/>
    <n v="19021"/>
    <n v="27255"/>
    <n v="8234"/>
    <s v="profit"/>
  </r>
  <r>
    <x v="185"/>
    <s v="february"/>
    <s v="Harmony Tech Co."/>
    <x v="2"/>
    <s v="Laptop"/>
    <s v="Uttarakhand"/>
    <s v="Female"/>
    <n v="23"/>
    <n v="570"/>
    <n v="1230"/>
    <n v="13110"/>
    <n v="28290"/>
    <n v="15180"/>
    <s v="profit"/>
  </r>
  <r>
    <x v="186"/>
    <s v="january"/>
    <s v="Zenith Path Solutions"/>
    <x v="0"/>
    <s v="Home décor"/>
    <s v="Madhya Pradesh"/>
    <s v="Female"/>
    <n v="19"/>
    <n v="911"/>
    <n v="1116"/>
    <n v="17309"/>
    <n v="21204"/>
    <n v="3895"/>
    <s v="profit"/>
  </r>
  <r>
    <x v="187"/>
    <s v="february"/>
    <s v="Zenith Creative Ventures"/>
    <x v="2"/>
    <s v="Laptop"/>
    <s v="Assam"/>
    <s v="Male"/>
    <n v="21"/>
    <n v="938"/>
    <n v="1275"/>
    <n v="19698"/>
    <n v="26775"/>
    <n v="7077"/>
    <s v="profit"/>
  </r>
  <r>
    <x v="188"/>
    <s v="february"/>
    <s v="Apex Health Services"/>
    <x v="2"/>
    <s v="Laptop"/>
    <s v="Punjab"/>
    <s v="Male"/>
    <n v="24"/>
    <n v="993"/>
    <n v="987"/>
    <n v="23832"/>
    <n v="23688"/>
    <n v="-144"/>
    <s v="loss"/>
  </r>
  <r>
    <x v="189"/>
    <s v="february"/>
    <s v="Pure Vision Media"/>
    <x v="2"/>
    <s v="Laptop"/>
    <s v="Chhattisgarh"/>
    <s v="Male"/>
    <n v="20"/>
    <n v="534"/>
    <n v="1233"/>
    <n v="10680"/>
    <n v="24660"/>
    <n v="13980"/>
    <s v="profit"/>
  </r>
  <r>
    <x v="190"/>
    <s v="january"/>
    <s v="Legacy Media Solutions"/>
    <x v="0"/>
    <s v="Home décor"/>
    <s v="Jharkhand"/>
    <s v="Male"/>
    <n v="10"/>
    <n v="911"/>
    <n v="1097"/>
    <n v="9110"/>
    <n v="10970"/>
    <n v="1860"/>
    <s v="profit"/>
  </r>
  <r>
    <x v="191"/>
    <s v="february"/>
    <s v="Legacy Innovations Group"/>
    <x v="2"/>
    <s v="Laptop"/>
    <s v="West Bengal"/>
    <s v="Male"/>
    <n v="23"/>
    <n v="761"/>
    <n v="901"/>
    <n v="17503"/>
    <n v="20723"/>
    <n v="3220"/>
    <s v="profit"/>
  </r>
  <r>
    <x v="192"/>
    <s v="february"/>
    <s v="Pinnacle Consulting Co."/>
    <x v="2"/>
    <s v="Laptop"/>
    <s v="West Bengal"/>
    <s v="Male"/>
    <n v="23"/>
    <n v="701"/>
    <n v="1322"/>
    <n v="16123"/>
    <n v="30406"/>
    <n v="14283"/>
    <s v="profit"/>
  </r>
  <r>
    <x v="193"/>
    <s v="february"/>
    <s v="Stellar Finance Group"/>
    <x v="2"/>
    <s v="Laptop"/>
    <s v="Madhya Pradesh"/>
    <s v="Female"/>
    <n v="25"/>
    <n v="541"/>
    <n v="1090"/>
    <n v="13525"/>
    <n v="27250"/>
    <n v="13725"/>
    <s v="profit"/>
  </r>
  <r>
    <x v="194"/>
    <s v="february"/>
    <s v="Harmony Ventures Group"/>
    <x v="2"/>
    <s v="Laptop"/>
    <s v="Gujarat"/>
    <s v="Female"/>
    <n v="28"/>
    <n v="708"/>
    <n v="1358"/>
    <n v="19824"/>
    <n v="38024"/>
    <n v="18200"/>
    <s v="profit"/>
  </r>
  <r>
    <x v="78"/>
    <s v="april"/>
    <s v="Bharat Innovations"/>
    <x v="2"/>
    <s v="Speaker"/>
    <s v="Delhi"/>
    <s v="Male"/>
    <n v="28"/>
    <n v="826"/>
    <n v="929"/>
    <n v="23128"/>
    <n v="26012"/>
    <n v="2884"/>
    <s v="profit"/>
  </r>
  <r>
    <x v="79"/>
    <s v="april"/>
    <s v="Green Leaf Enterprises"/>
    <x v="2"/>
    <s v="Earbuds"/>
    <s v="Maharashtra"/>
    <s v="Male"/>
    <n v="25"/>
    <n v="952"/>
    <n v="1261"/>
    <n v="23800"/>
    <n v="31525"/>
    <n v="7725"/>
    <s v="profit"/>
  </r>
  <r>
    <x v="80"/>
    <s v="april"/>
    <s v="Urban Pulse Technologies"/>
    <x v="2"/>
    <s v="Earbuds"/>
    <s v="West Bengal"/>
    <s v="Male"/>
    <n v="20"/>
    <n v="940"/>
    <n v="1259"/>
    <n v="18800"/>
    <n v="25180"/>
    <n v="6380"/>
    <s v="profit"/>
  </r>
  <r>
    <x v="82"/>
    <s v="april"/>
    <s v="Mystic India Exports"/>
    <x v="2"/>
    <s v="Earbuds"/>
    <s v="Tamil Nadu"/>
    <s v="Male"/>
    <n v="22"/>
    <n v="785"/>
    <n v="1292"/>
    <n v="17270"/>
    <n v="28424"/>
    <n v="11154"/>
    <s v="profit"/>
  </r>
  <r>
    <x v="83"/>
    <s v="april"/>
    <s v="Pure Essence Skincare"/>
    <x v="2"/>
    <s v="Speaker"/>
    <s v="Rajasthan"/>
    <s v="Female"/>
    <n v="21"/>
    <n v="879"/>
    <n v="1019"/>
    <n v="18459"/>
    <n v="21399"/>
    <n v="2940"/>
    <s v="profit"/>
  </r>
  <r>
    <x v="84"/>
    <s v="april"/>
    <s v="Zenith Construction Co."/>
    <x v="2"/>
    <s v="Speaker"/>
    <s v="Gujarat"/>
    <s v="Female"/>
    <n v="28"/>
    <n v="937"/>
    <n v="872"/>
    <n v="26236"/>
    <n v="24416"/>
    <n v="-1820"/>
    <s v="loss"/>
  </r>
  <r>
    <x v="195"/>
    <s v="february"/>
    <s v="Radiant Solutions Co."/>
    <x v="2"/>
    <s v="Laptop"/>
    <s v="Jharkhand"/>
    <s v="Female"/>
    <n v="26"/>
    <n v="751"/>
    <n v="1292"/>
    <n v="19526"/>
    <n v="33592"/>
    <n v="14066"/>
    <s v="profit"/>
  </r>
  <r>
    <x v="85"/>
    <s v="april"/>
    <s v="Radiant Health Systems"/>
    <x v="2"/>
    <s v="Speaker"/>
    <s v="Uttar Pradesh"/>
    <s v="Female"/>
    <n v="22"/>
    <n v="832"/>
    <n v="769"/>
    <n v="18304"/>
    <n v="16918"/>
    <n v="-1386"/>
    <s v="loss"/>
  </r>
  <r>
    <x v="87"/>
    <s v="april"/>
    <s v="Divine Creations"/>
    <x v="2"/>
    <s v="Speaker"/>
    <s v="Uttar Pradesh"/>
    <s v="Female"/>
    <n v="28"/>
    <n v="832"/>
    <n v="1028"/>
    <n v="23296"/>
    <n v="28784"/>
    <n v="5488"/>
    <s v="profit"/>
  </r>
  <r>
    <x v="88"/>
    <s v="april"/>
    <s v="True Path Logistics"/>
    <x v="2"/>
    <s v="Speaker"/>
    <s v="Madhya Pradesh"/>
    <s v="Female"/>
    <n v="22"/>
    <n v="622"/>
    <n v="822"/>
    <n v="13684"/>
    <n v="18084"/>
    <n v="4400"/>
    <s v="profit"/>
  </r>
  <r>
    <x v="196"/>
    <s v="february"/>
    <s v="Modern Travel Solutions"/>
    <x v="1"/>
    <s v="Saree"/>
    <s v="Tamil Nadu"/>
    <s v="Female"/>
    <n v="55"/>
    <n v="856"/>
    <n v="756"/>
    <n v="47080"/>
    <n v="41580"/>
    <n v="-5500"/>
    <s v="loss"/>
  </r>
  <r>
    <x v="90"/>
    <s v="april"/>
    <s v="Prestige Automobiles"/>
    <x v="2"/>
    <s v="TV"/>
    <s v="Uttar Pradesh"/>
    <s v="Male"/>
    <n v="23"/>
    <n v="663"/>
    <n v="1153"/>
    <n v="15249"/>
    <n v="26519"/>
    <n v="11270"/>
    <s v="profit"/>
  </r>
  <r>
    <x v="92"/>
    <s v="april"/>
    <s v="Natural Bliss Beverages"/>
    <x v="2"/>
    <s v="TV"/>
    <s v="Tamil Nadu"/>
    <s v="Male"/>
    <n v="23"/>
    <n v="779"/>
    <n v="1415"/>
    <n v="17917"/>
    <n v="32545"/>
    <n v="14628"/>
    <s v="profit"/>
  </r>
  <r>
    <x v="94"/>
    <s v="april"/>
    <s v="Modern Trends Fashion"/>
    <x v="2"/>
    <s v="TV"/>
    <s v="Uttar Pradesh"/>
    <s v="Female"/>
    <n v="29"/>
    <n v="952"/>
    <n v="1428"/>
    <n v="27608"/>
    <n v="41412"/>
    <n v="13804"/>
    <s v="profit"/>
  </r>
  <r>
    <x v="95"/>
    <s v="april"/>
    <s v="Heritage Crafts"/>
    <x v="2"/>
    <s v="TV"/>
    <s v="Jharkhand"/>
    <s v="Female"/>
    <n v="26"/>
    <n v="983"/>
    <n v="1270"/>
    <n v="25558"/>
    <n v="33020"/>
    <n v="7462"/>
    <s v="profit"/>
  </r>
  <r>
    <x v="96"/>
    <s v="april"/>
    <s v="Future Insights Analytics"/>
    <x v="2"/>
    <s v="TV"/>
    <s v="Kerala"/>
    <s v="Female"/>
    <n v="28"/>
    <n v="814"/>
    <n v="1343"/>
    <n v="22792"/>
    <n v="37604"/>
    <n v="14812"/>
    <s v="profit"/>
  </r>
  <r>
    <x v="97"/>
    <s v="april"/>
    <s v="Emerald Estate Developers"/>
    <x v="2"/>
    <s v="TV"/>
    <s v="Maharashtra"/>
    <s v="Female"/>
    <n v="26"/>
    <n v="835"/>
    <n v="973"/>
    <n v="21710"/>
    <n v="25298"/>
    <n v="3588"/>
    <s v="profit"/>
  </r>
  <r>
    <x v="197"/>
    <s v="february"/>
    <s v="Zenith Tech Solutions"/>
    <x v="1"/>
    <s v="Saree"/>
    <s v="Himachal Pradesh"/>
    <s v="Male"/>
    <n v="88"/>
    <n v="635"/>
    <n v="1370"/>
    <n v="55880"/>
    <n v="120560"/>
    <n v="64680"/>
    <s v="profit"/>
  </r>
  <r>
    <x v="98"/>
    <s v="april"/>
    <s v="Starlight Media Group"/>
    <x v="2"/>
    <s v="TV"/>
    <s v="Himachal Pradesh"/>
    <s v="Female"/>
    <n v="24"/>
    <n v="631"/>
    <n v="1304"/>
    <n v="15144"/>
    <n v="31296"/>
    <n v="16152"/>
    <s v="profit"/>
  </r>
  <r>
    <x v="99"/>
    <s v="may"/>
    <s v="Supreme Electronics"/>
    <x v="2"/>
    <s v="TV"/>
    <s v="Uttarakhand"/>
    <s v="Female"/>
    <n v="24"/>
    <n v="833"/>
    <n v="1280"/>
    <n v="19992"/>
    <n v="30720"/>
    <n v="10728"/>
    <s v="profit"/>
  </r>
  <r>
    <x v="100"/>
    <s v="may"/>
    <s v="Optimum Wellness"/>
    <x v="2"/>
    <s v="TV"/>
    <s v="Assam"/>
    <s v="Male"/>
    <n v="21"/>
    <n v="680"/>
    <n v="1049"/>
    <n v="14280"/>
    <n v="22029"/>
    <n v="7749"/>
    <s v="profit"/>
  </r>
  <r>
    <x v="101"/>
    <s v="may"/>
    <s v="Zenith Books Publishing"/>
    <x v="2"/>
    <s v="TV"/>
    <s v="Punjab"/>
    <s v="Male"/>
    <n v="23"/>
    <n v="667"/>
    <n v="962"/>
    <n v="15341"/>
    <n v="22126"/>
    <n v="6785"/>
    <s v="profit"/>
  </r>
  <r>
    <x v="102"/>
    <s v="may"/>
    <s v="Pinnacle Innovations"/>
    <x v="2"/>
    <s v="TV"/>
    <s v="Chhattisgarh"/>
    <s v="Male"/>
    <n v="24"/>
    <n v="504"/>
    <n v="1283"/>
    <n v="12096"/>
    <n v="30792"/>
    <n v="18696"/>
    <s v="profit"/>
  </r>
  <r>
    <x v="103"/>
    <s v="may"/>
    <s v="Apex Travel Services"/>
    <x v="2"/>
    <s v="TV"/>
    <s v="West Bengal"/>
    <s v="Male"/>
    <n v="26"/>
    <n v="985"/>
    <n v="1407"/>
    <n v="25610"/>
    <n v="36582"/>
    <n v="10972"/>
    <s v="profit"/>
  </r>
  <r>
    <x v="104"/>
    <s v="may"/>
    <s v="Golden Era Realty"/>
    <x v="2"/>
    <s v="TV"/>
    <s v="West Bengal"/>
    <s v="Female"/>
    <n v="27"/>
    <n v="890"/>
    <n v="853"/>
    <n v="24030"/>
    <n v="23031"/>
    <n v="-999"/>
    <s v="loss"/>
  </r>
  <r>
    <x v="106"/>
    <s v="may"/>
    <s v="Radiant Jewelry"/>
    <x v="2"/>
    <s v="Laptop"/>
    <s v="Madhya Pradesh"/>
    <s v="Female"/>
    <n v="21"/>
    <n v="722"/>
    <n v="1247"/>
    <n v="15162"/>
    <n v="26187"/>
    <n v="11025"/>
    <s v="profit"/>
  </r>
  <r>
    <x v="107"/>
    <s v="may"/>
    <s v="Infinity Ventures"/>
    <x v="2"/>
    <s v="Laptop"/>
    <s v="Jharkhand"/>
    <s v="Female"/>
    <n v="22"/>
    <n v="725"/>
    <n v="765"/>
    <n v="15950"/>
    <n v="16830"/>
    <n v="880"/>
    <s v="profit"/>
  </r>
  <r>
    <x v="109"/>
    <s v="may"/>
    <s v="Royal Taste Foods"/>
    <x v="2"/>
    <s v="Laptop"/>
    <s v="West Bengal"/>
    <s v="Female"/>
    <n v="26"/>
    <n v="509"/>
    <n v="1120"/>
    <n v="13234"/>
    <n v="29120"/>
    <n v="15886"/>
    <s v="profit"/>
  </r>
  <r>
    <x v="6"/>
    <s v="april"/>
    <s v="Apex Solutions"/>
    <x v="1"/>
    <s v="Women dress"/>
    <s v="Gujarat"/>
    <s v="Male"/>
    <n v="55"/>
    <n v="906"/>
    <n v="880"/>
    <n v="49830"/>
    <n v="48400"/>
    <n v="-1430"/>
    <s v="loss"/>
  </r>
  <r>
    <x v="110"/>
    <s v="may"/>
    <s v="Harmony Homes"/>
    <x v="2"/>
    <s v="Laptop"/>
    <s v="Karnataka"/>
    <s v="Female"/>
    <n v="28"/>
    <n v="905"/>
    <n v="958"/>
    <n v="25340"/>
    <n v="26824"/>
    <n v="1484"/>
    <s v="profit"/>
  </r>
  <r>
    <x v="111"/>
    <s v="may"/>
    <s v="Urban Edge Consulting"/>
    <x v="2"/>
    <s v="Laptop"/>
    <s v="Delhi"/>
    <s v="Female"/>
    <n v="22"/>
    <n v="866"/>
    <n v="1453"/>
    <n v="19052"/>
    <n v="31966"/>
    <n v="12914"/>
    <s v="profit"/>
  </r>
  <r>
    <x v="112"/>
    <s v="may"/>
    <s v="Prime Tech Innovations"/>
    <x v="2"/>
    <s v="Laptop"/>
    <s v="Maharashtra"/>
    <s v="Female"/>
    <n v="23"/>
    <n v="816"/>
    <n v="1273"/>
    <n v="18768"/>
    <n v="29279"/>
    <n v="10511"/>
    <s v="profit"/>
  </r>
  <r>
    <x v="114"/>
    <s v="may"/>
    <s v="Legacy Designs"/>
    <x v="2"/>
    <s v="Laptop"/>
    <s v="West Bengal"/>
    <s v="Female"/>
    <n v="30"/>
    <n v="738"/>
    <n v="1216"/>
    <n v="22140"/>
    <n v="36480"/>
    <n v="14340"/>
    <s v="profit"/>
  </r>
  <r>
    <x v="115"/>
    <s v="may"/>
    <s v="Virtue Enterprises"/>
    <x v="2"/>
    <s v="Laptop"/>
    <s v="Tamil Nadu"/>
    <s v="Female"/>
    <n v="24"/>
    <n v="653"/>
    <n v="1293"/>
    <n v="15672"/>
    <n v="31032"/>
    <n v="15360"/>
    <s v="profit"/>
  </r>
  <r>
    <x v="12"/>
    <s v="april"/>
    <s v="Metro Tech Solutions"/>
    <x v="2"/>
    <s v="Speaker"/>
    <s v="Maharashtra"/>
    <s v="Female"/>
    <n v="22"/>
    <n v="692"/>
    <n v="906"/>
    <n v="15224"/>
    <n v="19932"/>
    <n v="4708"/>
    <s v="profit"/>
  </r>
  <r>
    <x v="116"/>
    <s v="may"/>
    <s v="Radiant Health Club"/>
    <x v="2"/>
    <s v="Laptop"/>
    <s v="Karnataka"/>
    <s v="Female"/>
    <n v="30"/>
    <n v="583"/>
    <n v="1500"/>
    <n v="17490"/>
    <n v="45000"/>
    <n v="27510"/>
    <s v="profit"/>
  </r>
  <r>
    <x v="118"/>
    <s v="may"/>
    <s v="Bright Horizon Ventures"/>
    <x v="2"/>
    <s v="Laptop"/>
    <s v="Telangana"/>
    <s v="Male"/>
    <n v="26"/>
    <n v="1000"/>
    <n v="765"/>
    <n v="26000"/>
    <n v="19890"/>
    <n v="-6110"/>
    <s v="loss"/>
  </r>
  <r>
    <x v="120"/>
    <s v="may"/>
    <s v="Modern Lifestyle Products"/>
    <x v="2"/>
    <s v="Laptop"/>
    <s v="Gujarat"/>
    <s v="Male"/>
    <n v="27"/>
    <n v="913"/>
    <n v="1197"/>
    <n v="24651"/>
    <n v="32319"/>
    <n v="7668"/>
    <s v="profit"/>
  </r>
  <r>
    <x v="121"/>
    <s v="may"/>
    <s v="Nexus Trading Co."/>
    <x v="2"/>
    <s v="Laptop"/>
    <s v="Maharashtra"/>
    <s v="Male"/>
    <n v="29"/>
    <n v="735"/>
    <n v="1388"/>
    <n v="21315"/>
    <n v="40252"/>
    <n v="18937"/>
    <s v="profit"/>
  </r>
  <r>
    <x v="122"/>
    <s v="july"/>
    <s v="Radiance Health and Wellness"/>
    <x v="2"/>
    <s v="Laptop"/>
    <s v="Uttar Pradesh"/>
    <s v="Male"/>
    <n v="29"/>
    <n v="965"/>
    <n v="1195"/>
    <n v="27985"/>
    <n v="34655"/>
    <n v="6670"/>
    <s v="profit"/>
  </r>
  <r>
    <x v="123"/>
    <s v="july"/>
    <s v="Legacy Auto Works"/>
    <x v="2"/>
    <s v="Laptop"/>
    <s v="Tamil Nadu"/>
    <s v="Male"/>
    <n v="24"/>
    <n v="970"/>
    <n v="1256"/>
    <n v="23280"/>
    <n v="30144"/>
    <n v="6864"/>
    <s v="profit"/>
  </r>
  <r>
    <x v="124"/>
    <s v="july"/>
    <s v="Prime Essence Creations"/>
    <x v="2"/>
    <s v="Laptop"/>
    <s v="Tamil Nadu"/>
    <s v="Male"/>
    <n v="22"/>
    <n v="974"/>
    <n v="1329"/>
    <n v="21428"/>
    <n v="29238"/>
    <n v="7810"/>
    <s v="profit"/>
  </r>
  <r>
    <x v="125"/>
    <s v="july"/>
    <s v="Quantum Ventures"/>
    <x v="2"/>
    <s v="Laptop"/>
    <s v="Rajasthan"/>
    <s v="Male"/>
    <n v="21"/>
    <n v="915"/>
    <n v="1442"/>
    <n v="19215"/>
    <n v="30282"/>
    <n v="11067"/>
    <s v="profit"/>
  </r>
  <r>
    <x v="126"/>
    <s v="july"/>
    <s v="Urban Legends Apparel"/>
    <x v="2"/>
    <s v="Laptop"/>
    <s v="Jharkhand"/>
    <s v="Female"/>
    <n v="27"/>
    <n v="605"/>
    <n v="826"/>
    <n v="16335"/>
    <n v="22302"/>
    <n v="5967"/>
    <s v="profit"/>
  </r>
  <r>
    <x v="22"/>
    <s v="april"/>
    <s v="Elite Marketing Solutions"/>
    <x v="2"/>
    <s v="TV"/>
    <s v="Tamil Nadu"/>
    <s v="Male"/>
    <n v="29"/>
    <n v="893"/>
    <n v="865"/>
    <n v="25897"/>
    <n v="25085"/>
    <n v="-812"/>
    <s v="loss"/>
  </r>
  <r>
    <x v="127"/>
    <s v="july"/>
    <s v="Pure Bliss Beverages"/>
    <x v="2"/>
    <s v="Laptop"/>
    <s v="Kerala"/>
    <s v="Female"/>
    <n v="29"/>
    <n v="689"/>
    <n v="783"/>
    <n v="19981"/>
    <n v="22707"/>
    <n v="2726"/>
    <s v="profit"/>
  </r>
  <r>
    <x v="24"/>
    <s v="april"/>
    <s v="Crystal Clear Solutions"/>
    <x v="2"/>
    <s v="TV"/>
    <s v="Rajasthan"/>
    <s v="Female"/>
    <n v="24"/>
    <n v="859"/>
    <n v="1473"/>
    <n v="20616"/>
    <n v="35352"/>
    <n v="14736"/>
    <s v="profit"/>
  </r>
  <r>
    <x v="128"/>
    <s v="july"/>
    <s v="Noble Heights Builders"/>
    <x v="2"/>
    <s v="Laptop"/>
    <s v="Maharashtra"/>
    <s v="Female"/>
    <n v="25"/>
    <n v="861"/>
    <n v="843"/>
    <n v="21525"/>
    <n v="21075"/>
    <n v="-450"/>
    <s v="loss"/>
  </r>
  <r>
    <x v="130"/>
    <s v="july"/>
    <s v="Radiant Foods"/>
    <x v="2"/>
    <s v="Laptop"/>
    <s v="Himachal Pradesh"/>
    <s v="Female"/>
    <n v="22"/>
    <n v="629"/>
    <n v="1263"/>
    <n v="13838"/>
    <n v="27786"/>
    <n v="13948"/>
    <s v="profit"/>
  </r>
  <r>
    <x v="131"/>
    <s v="july"/>
    <s v="Zenith Financial Services"/>
    <x v="2"/>
    <s v="Laptop"/>
    <s v="Uttarakhand"/>
    <s v="Female"/>
    <n v="22"/>
    <n v="779"/>
    <n v="1301"/>
    <n v="17138"/>
    <n v="28622"/>
    <n v="11484"/>
    <s v="profit"/>
  </r>
  <r>
    <x v="133"/>
    <s v="july"/>
    <s v="Apex Travel Ventures"/>
    <x v="2"/>
    <s v="Laptop"/>
    <s v="Assam"/>
    <s v="Female"/>
    <n v="23"/>
    <n v="730"/>
    <n v="1189"/>
    <n v="16790"/>
    <n v="27347"/>
    <n v="10557"/>
    <s v="profit"/>
  </r>
  <r>
    <x v="134"/>
    <s v="august"/>
    <s v="Future Vision Realty"/>
    <x v="2"/>
    <s v="Laptop"/>
    <s v="Maharashtra"/>
    <s v="Male"/>
    <n v="26"/>
    <n v="847"/>
    <n v="1116"/>
    <n v="22022"/>
    <n v="29016"/>
    <n v="6994"/>
    <s v="profit"/>
  </r>
  <r>
    <x v="135"/>
    <s v="august"/>
    <s v="Urban Pulse Media"/>
    <x v="2"/>
    <s v="Laptop"/>
    <s v="Chandigarh"/>
    <s v="Male"/>
    <n v="24"/>
    <n v="942"/>
    <n v="1313"/>
    <n v="22608"/>
    <n v="31512"/>
    <n v="8904"/>
    <s v="profit"/>
  </r>
  <r>
    <x v="136"/>
    <s v="august"/>
    <s v="True Essence Health"/>
    <x v="2"/>
    <s v="Laptop"/>
    <s v="Madhya Pradesh"/>
    <s v="Female"/>
    <n v="20"/>
    <n v="751"/>
    <n v="861"/>
    <n v="15020"/>
    <n v="17220"/>
    <n v="2200"/>
    <s v="profit"/>
  </r>
  <r>
    <x v="138"/>
    <s v="august"/>
    <s v="Radiant Vision Realty"/>
    <x v="2"/>
    <s v="Laptop"/>
    <s v="Bihar"/>
    <s v="Male"/>
    <n v="28"/>
    <n v="855"/>
    <n v="930"/>
    <n v="23940"/>
    <n v="26040"/>
    <n v="2100"/>
    <s v="profit"/>
  </r>
  <r>
    <x v="139"/>
    <s v="august"/>
    <s v="Harmony Consulting Group"/>
    <x v="2"/>
    <s v="Laptop"/>
    <s v="Gujarat"/>
    <s v="Male"/>
    <n v="22"/>
    <n v="806"/>
    <n v="1391"/>
    <n v="17732"/>
    <n v="30602"/>
    <n v="12870"/>
    <s v="profit"/>
  </r>
  <r>
    <x v="141"/>
    <s v="august"/>
    <s v="Zenith Tech Ventures"/>
    <x v="2"/>
    <s v="Laptop"/>
    <s v="Uttar Pradesh"/>
    <s v="Male"/>
    <n v="30"/>
    <n v="624"/>
    <n v="999"/>
    <n v="18720"/>
    <n v="29970"/>
    <n v="11250"/>
    <s v="profit"/>
  </r>
  <r>
    <x v="142"/>
    <s v="august"/>
    <s v="Stellar Health Services"/>
    <x v="2"/>
    <s v="Laptop"/>
    <s v="Uttar Pradesh"/>
    <s v="Female"/>
    <n v="25"/>
    <n v="533"/>
    <n v="860"/>
    <n v="13325"/>
    <n v="21500"/>
    <n v="8175"/>
    <s v="profit"/>
  </r>
  <r>
    <x v="143"/>
    <s v="august"/>
    <s v="Pure Path Foods"/>
    <x v="2"/>
    <s v="Laptop"/>
    <s v="Tamil Nadu"/>
    <s v="Female"/>
    <n v="20"/>
    <n v="681"/>
    <n v="823"/>
    <n v="13620"/>
    <n v="16460"/>
    <n v="2840"/>
    <s v="profit"/>
  </r>
  <r>
    <x v="144"/>
    <s v="august"/>
    <s v="Bright Horizon Realty"/>
    <x v="2"/>
    <s v="Laptop"/>
    <s v="Rajasthan"/>
    <s v="Female"/>
    <n v="23"/>
    <n v="577"/>
    <n v="1125"/>
    <n v="13271"/>
    <n v="25875"/>
    <n v="12604"/>
    <s v="profit"/>
  </r>
  <r>
    <x v="146"/>
    <s v="october"/>
    <s v="Crystal Clear Consulting"/>
    <x v="2"/>
    <s v="Earbuds"/>
    <s v="Rajasthan"/>
    <s v="Female"/>
    <n v="28"/>
    <n v="537"/>
    <n v="828"/>
    <n v="15036"/>
    <n v="23184"/>
    <n v="8148"/>
    <s v="profit"/>
  </r>
  <r>
    <x v="147"/>
    <s v="october"/>
    <s v="Zenith Innovations"/>
    <x v="2"/>
    <s v="Earbuds"/>
    <s v="Jharkhand"/>
    <s v="Male"/>
    <n v="23"/>
    <n v="746"/>
    <n v="1410"/>
    <n v="17158"/>
    <n v="32430"/>
    <n v="15272"/>
    <s v="profit"/>
  </r>
  <r>
    <x v="148"/>
    <s v="october"/>
    <s v="True Essence Innovations"/>
    <x v="2"/>
    <s v="Speaker"/>
    <s v="Assam"/>
    <s v="Male"/>
    <n v="29"/>
    <n v="895"/>
    <n v="882"/>
    <n v="25955"/>
    <n v="25578"/>
    <n v="-377"/>
    <s v="loss"/>
  </r>
  <r>
    <x v="150"/>
    <s v="november"/>
    <s v="Pinnacle Media Group"/>
    <x v="2"/>
    <s v="Speaker"/>
    <s v="Punjab"/>
    <s v="Male"/>
    <n v="26"/>
    <n v="728"/>
    <n v="1466"/>
    <n v="18928"/>
    <n v="38116"/>
    <n v="19188"/>
    <s v="profit"/>
  </r>
  <r>
    <x v="152"/>
    <s v="november"/>
    <s v="Legacy Design Co."/>
    <x v="2"/>
    <s v="Speaker"/>
    <s v="Chhattisgarh"/>
    <s v="Male"/>
    <n v="22"/>
    <n v="586"/>
    <n v="1206"/>
    <n v="12892"/>
    <n v="26532"/>
    <n v="13640"/>
    <s v="profit"/>
  </r>
  <r>
    <x v="153"/>
    <s v="november"/>
    <s v="Apex Health Products"/>
    <x v="2"/>
    <s v="Speaker"/>
    <s v="West Bengal"/>
    <s v="Female"/>
    <n v="29"/>
    <n v="724"/>
    <n v="858"/>
    <n v="20996"/>
    <n v="24882"/>
    <n v="3886"/>
    <s v="profit"/>
  </r>
  <r>
    <x v="154"/>
    <s v="november"/>
    <s v="Zenith Travel Ventures"/>
    <x v="2"/>
    <s v="Speaker"/>
    <s v="West Bengal"/>
    <s v="Female"/>
    <n v="20"/>
    <n v="941"/>
    <n v="1181"/>
    <n v="18820"/>
    <n v="23620"/>
    <n v="4800"/>
    <s v="profit"/>
  </r>
  <r>
    <x v="155"/>
    <s v="november"/>
    <s v="Pure Path Consulting"/>
    <x v="2"/>
    <s v="Speaker"/>
    <s v="Madhya Pradesh"/>
    <s v="Female"/>
    <n v="22"/>
    <n v="618"/>
    <n v="1373"/>
    <n v="13596"/>
    <n v="30206"/>
    <n v="16610"/>
    <s v="profit"/>
  </r>
  <r>
    <x v="157"/>
    <s v="november"/>
    <s v="Harmony Educational Group"/>
    <x v="2"/>
    <s v="TV"/>
    <s v="Karnataka"/>
    <s v="Male"/>
    <n v="28"/>
    <n v="896"/>
    <n v="1363"/>
    <n v="25088"/>
    <n v="38164"/>
    <n v="13076"/>
    <s v="profit"/>
  </r>
  <r>
    <x v="158"/>
    <s v="november"/>
    <s v="Radiant Design Studio"/>
    <x v="2"/>
    <s v="TV"/>
    <s v="Gujarat"/>
    <s v="Male"/>
    <n v="28"/>
    <n v="986"/>
    <n v="866"/>
    <n v="27608"/>
    <n v="24248"/>
    <n v="-3360"/>
    <s v="loss"/>
  </r>
  <r>
    <x v="159"/>
    <s v="november"/>
    <s v="Zenith Health Innovations"/>
    <x v="2"/>
    <s v="TV"/>
    <s v="Maharashtra"/>
    <s v="Male"/>
    <n v="27"/>
    <n v="951"/>
    <n v="1255"/>
    <n v="25677"/>
    <n v="33885"/>
    <n v="8208"/>
    <s v="profit"/>
  </r>
  <r>
    <x v="49"/>
    <s v="may"/>
    <s v="Absolute Solutions"/>
    <x v="1"/>
    <s v="Saree"/>
    <s v="Gujarat"/>
    <s v="Male"/>
    <n v="63"/>
    <n v="929"/>
    <n v="1320"/>
    <n v="58527"/>
    <n v="83160"/>
    <n v="24633"/>
    <s v="profit"/>
  </r>
  <r>
    <x v="160"/>
    <s v="november"/>
    <s v="Apex Realty Ventures"/>
    <x v="2"/>
    <s v="TV"/>
    <s v="Rajasthan"/>
    <s v="Male"/>
    <n v="22"/>
    <n v="783"/>
    <n v="886"/>
    <n v="17226"/>
    <n v="19492"/>
    <n v="2266"/>
    <s v="profit"/>
  </r>
  <r>
    <x v="161"/>
    <s v="november"/>
    <s v="True Value Ventures"/>
    <x v="2"/>
    <s v="TV"/>
    <s v="Uttar Pradesh"/>
    <s v="Female"/>
    <n v="21"/>
    <n v="547"/>
    <n v="784"/>
    <n v="11487"/>
    <n v="16464"/>
    <n v="4977"/>
    <s v="profit"/>
  </r>
  <r>
    <x v="162"/>
    <s v="november"/>
    <s v="Crystal Clear Designs"/>
    <x v="2"/>
    <s v="TV"/>
    <s v="Maharashtra"/>
    <s v="Male"/>
    <n v="20"/>
    <n v="737"/>
    <n v="932"/>
    <n v="14740"/>
    <n v="18640"/>
    <n v="3900"/>
    <s v="profit"/>
  </r>
  <r>
    <x v="164"/>
    <s v="november"/>
    <s v="Pinnacle Innovations Co."/>
    <x v="2"/>
    <s v="TV"/>
    <s v="Madhya Pradesh"/>
    <s v="Male"/>
    <n v="25"/>
    <n v="924"/>
    <n v="1062"/>
    <n v="23100"/>
    <n v="26550"/>
    <n v="3450"/>
    <s v="profit"/>
  </r>
  <r>
    <x v="166"/>
    <s v="november"/>
    <s v="Modern Pathways"/>
    <x v="2"/>
    <s v="TV"/>
    <s v="Maharashtra"/>
    <s v="Male"/>
    <n v="28"/>
    <n v="665"/>
    <n v="1467"/>
    <n v="18620"/>
    <n v="41076"/>
    <n v="22456"/>
    <s v="profit"/>
  </r>
  <r>
    <x v="168"/>
    <s v="november"/>
    <s v="Stellar Finance Co."/>
    <x v="2"/>
    <s v="TV"/>
    <s v="Chandigarh"/>
    <s v="Male"/>
    <n v="24"/>
    <n v="839"/>
    <n v="1092"/>
    <n v="20136"/>
    <n v="26208"/>
    <n v="6072"/>
    <s v="profit"/>
  </r>
  <r>
    <x v="169"/>
    <s v="november"/>
    <s v="Radiant Spectrum Group"/>
    <x v="2"/>
    <s v="TV"/>
    <s v="Madhya Pradesh"/>
    <s v="Male"/>
    <n v="30"/>
    <n v="790"/>
    <n v="1245"/>
    <n v="23700"/>
    <n v="37350"/>
    <n v="13650"/>
    <s v="profit"/>
  </r>
  <r>
    <x v="170"/>
    <s v="november"/>
    <s v="Harmony Design Ventures"/>
    <x v="2"/>
    <s v="TV"/>
    <s v="Andhra Pradesh"/>
    <s v="Female"/>
    <n v="30"/>
    <n v="651"/>
    <n v="1277"/>
    <n v="19530"/>
    <n v="38310"/>
    <n v="18780"/>
    <s v="profit"/>
  </r>
  <r>
    <x v="58"/>
    <s v="may"/>
    <s v="Synergy Tech Solutions"/>
    <x v="1"/>
    <s v="Saree"/>
    <s v="Bihar"/>
    <s v="Male"/>
    <n v="67"/>
    <n v="796"/>
    <n v="1347"/>
    <n v="53332"/>
    <n v="90249"/>
    <n v="36917"/>
    <s v="profit"/>
  </r>
  <r>
    <x v="171"/>
    <s v="november"/>
    <s v="Elite Edge Products"/>
    <x v="2"/>
    <s v="TV"/>
    <s v="Bihar"/>
    <s v="Female"/>
    <n v="23"/>
    <n v="531"/>
    <n v="1072"/>
    <n v="12213"/>
    <n v="24656"/>
    <n v="12443"/>
    <s v="profit"/>
  </r>
  <r>
    <x v="172"/>
    <s v="november"/>
    <s v="Zenith Consulting Co."/>
    <x v="2"/>
    <s v="Laptop"/>
    <s v="Gujarat"/>
    <s v="Female"/>
    <n v="30"/>
    <n v="591"/>
    <n v="949"/>
    <n v="17730"/>
    <n v="28470"/>
    <n v="10740"/>
    <s v="profit"/>
  </r>
  <r>
    <x v="173"/>
    <s v="november"/>
    <s v="Apex Wellness Products"/>
    <x v="2"/>
    <s v="Laptop"/>
    <s v="Uttar Pradesh"/>
    <s v="Female"/>
    <n v="29"/>
    <n v="621"/>
    <n v="1485"/>
    <n v="18009"/>
    <n v="43065"/>
    <n v="25056"/>
    <s v="profit"/>
  </r>
  <r>
    <x v="175"/>
    <s v="december"/>
    <s v="Pure Harmony Innovations"/>
    <x v="2"/>
    <s v="Laptop"/>
    <s v="Tamil Nadu"/>
    <s v="Female"/>
    <n v="30"/>
    <n v="857"/>
    <n v="1455"/>
    <n v="25710"/>
    <n v="43650"/>
    <n v="17940"/>
    <s v="profit"/>
  </r>
  <r>
    <x v="176"/>
    <s v="december"/>
    <s v="Legacy Media Group"/>
    <x v="2"/>
    <s v="Laptop"/>
    <s v="Tamil Nadu"/>
    <s v="Female"/>
    <n v="20"/>
    <n v="897"/>
    <n v="1024"/>
    <n v="17940"/>
    <n v="20480"/>
    <n v="2540"/>
    <s v="profit"/>
  </r>
  <r>
    <x v="177"/>
    <s v="december"/>
    <s v="Horizon Tech Innovations"/>
    <x v="2"/>
    <s v="Laptop"/>
    <s v="Uttar Pradesh"/>
    <s v="Male"/>
    <n v="22"/>
    <n v="781"/>
    <n v="1423"/>
    <n v="17182"/>
    <n v="31306"/>
    <n v="14124"/>
    <s v="profit"/>
  </r>
  <r>
    <x v="178"/>
    <s v="december"/>
    <s v="Crystal Spectrum Consulting"/>
    <x v="2"/>
    <s v="Laptop"/>
    <s v="Jharkhand"/>
    <s v="Male"/>
    <n v="20"/>
    <n v="854"/>
    <n v="956"/>
    <n v="17080"/>
    <n v="19120"/>
    <n v="2040"/>
    <s v="profit"/>
  </r>
  <r>
    <x v="179"/>
    <s v="december"/>
    <s v="Stellar Creative Co."/>
    <x v="2"/>
    <s v="Laptop"/>
    <s v="Kerala"/>
    <s v="Male"/>
    <n v="26"/>
    <n v="909"/>
    <n v="1206"/>
    <n v="23634"/>
    <n v="31356"/>
    <n v="7722"/>
    <s v="profit"/>
  </r>
  <r>
    <x v="181"/>
    <s v="december"/>
    <s v="Radiance Media Ventures"/>
    <x v="2"/>
    <s v="Laptop"/>
    <s v="Maharashtra"/>
    <s v="Female"/>
    <n v="20"/>
    <n v="976"/>
    <n v="905"/>
    <n v="19520"/>
    <n v="18100"/>
    <n v="-1420"/>
    <s v="loss"/>
  </r>
  <r>
    <x v="182"/>
    <s v="december"/>
    <s v="Zenith Edge Services"/>
    <x v="2"/>
    <s v="Laptop"/>
    <s v="Uttarakhand"/>
    <s v="Male"/>
    <n v="24"/>
    <n v="787"/>
    <n v="1122"/>
    <n v="18888"/>
    <n v="26928"/>
    <n v="8040"/>
    <s v="profit"/>
  </r>
  <r>
    <x v="183"/>
    <s v="february"/>
    <s v="Stellar Consulting Services"/>
    <x v="2"/>
    <s v="Laptop"/>
    <s v="Maharashtra"/>
    <s v="Female"/>
    <n v="23"/>
    <n v="755"/>
    <n v="806"/>
    <n v="17365"/>
    <n v="18538"/>
    <n v="1173"/>
    <s v="profit"/>
  </r>
  <r>
    <x v="184"/>
    <s v="february"/>
    <s v="Radiant Ventures"/>
    <x v="2"/>
    <s v="Laptop"/>
    <s v="Himachal Pradesh"/>
    <s v="Female"/>
    <n v="26"/>
    <n v="573"/>
    <n v="1309"/>
    <n v="14898"/>
    <n v="34034"/>
    <n v="19136"/>
    <s v="profit"/>
  </r>
  <r>
    <x v="185"/>
    <s v="february"/>
    <s v="Harmony Tech Co."/>
    <x v="2"/>
    <s v="Laptop"/>
    <s v="Uttarakhand"/>
    <s v="Female"/>
    <n v="30"/>
    <n v="946"/>
    <n v="1089"/>
    <n v="28380"/>
    <n v="32670"/>
    <n v="4290"/>
    <s v="profit"/>
  </r>
  <r>
    <x v="187"/>
    <s v="february"/>
    <s v="Zenith Creative Ventures"/>
    <x v="2"/>
    <s v="Laptop"/>
    <s v="Assam"/>
    <s v="Male"/>
    <n v="22"/>
    <n v="679"/>
    <n v="1463"/>
    <n v="14938"/>
    <n v="32186"/>
    <n v="17248"/>
    <s v="profit"/>
  </r>
  <r>
    <x v="188"/>
    <s v="february"/>
    <s v="Apex Health Services"/>
    <x v="2"/>
    <s v="Laptop"/>
    <s v="Punjab"/>
    <s v="Male"/>
    <n v="25"/>
    <n v="975"/>
    <n v="935"/>
    <n v="24375"/>
    <n v="23375"/>
    <n v="-1000"/>
    <s v="loss"/>
  </r>
  <r>
    <x v="189"/>
    <s v="february"/>
    <s v="Pure Vision Media"/>
    <x v="2"/>
    <s v="Laptop"/>
    <s v="Chhattisgarh"/>
    <s v="Male"/>
    <n v="24"/>
    <n v="642"/>
    <n v="996"/>
    <n v="15408"/>
    <n v="23904"/>
    <n v="8496"/>
    <s v="profit"/>
  </r>
  <r>
    <x v="63"/>
    <s v="june"/>
    <s v="Radiant Enterprise Solutions"/>
    <x v="0"/>
    <s v="Car accessories"/>
    <s v="West Bengal"/>
    <s v="Female"/>
    <n v="14"/>
    <n v="603"/>
    <n v="1104"/>
    <n v="8442"/>
    <n v="15456"/>
    <n v="7014"/>
    <s v="profit"/>
  </r>
  <r>
    <x v="191"/>
    <s v="february"/>
    <s v="Legacy Innovations Group"/>
    <x v="2"/>
    <s v="Laptop"/>
    <s v="West Bengal"/>
    <s v="Male"/>
    <n v="29"/>
    <n v="598"/>
    <n v="923"/>
    <n v="17342"/>
    <n v="26767"/>
    <n v="9425"/>
    <s v="profit"/>
  </r>
  <r>
    <x v="192"/>
    <s v="february"/>
    <s v="Pinnacle Consulting Co."/>
    <x v="2"/>
    <s v="Laptop"/>
    <s v="West Bengal"/>
    <s v="Male"/>
    <n v="22"/>
    <n v="719"/>
    <n v="1079"/>
    <n v="15818"/>
    <n v="23738"/>
    <n v="7920"/>
    <s v="profit"/>
  </r>
  <r>
    <x v="193"/>
    <s v="february"/>
    <s v="Stellar Finance Group"/>
    <x v="2"/>
    <s v="Laptop"/>
    <s v="Madhya Pradesh"/>
    <s v="Female"/>
    <n v="30"/>
    <n v="716"/>
    <n v="956"/>
    <n v="21480"/>
    <n v="28680"/>
    <n v="7200"/>
    <s v="profit"/>
  </r>
  <r>
    <x v="194"/>
    <s v="february"/>
    <s v="Harmony Ventures Group"/>
    <x v="2"/>
    <s v="Laptop"/>
    <s v="Gujarat"/>
    <s v="Female"/>
    <n v="29"/>
    <n v="623"/>
    <n v="919"/>
    <n v="18067"/>
    <n v="26651"/>
    <n v="8584"/>
    <s v="profit"/>
  </r>
  <r>
    <x v="78"/>
    <s v="april"/>
    <s v="Bharat Innovations"/>
    <x v="2"/>
    <s v="Speaker"/>
    <s v="Delhi"/>
    <s v="Male"/>
    <n v="21"/>
    <n v="553"/>
    <n v="1459"/>
    <n v="11613"/>
    <n v="30639"/>
    <n v="19026"/>
    <s v="profit"/>
  </r>
  <r>
    <x v="64"/>
    <s v="june"/>
    <s v="Infinite Solutions"/>
    <x v="1"/>
    <s v="Saree"/>
    <s v="Maharashtra"/>
    <s v="Female"/>
    <n v="77"/>
    <n v="923"/>
    <n v="1132"/>
    <n v="71071"/>
    <n v="87164"/>
    <n v="16093"/>
    <s v="profit"/>
  </r>
  <r>
    <x v="79"/>
    <s v="april"/>
    <s v="Green Leaf Enterprises"/>
    <x v="2"/>
    <s v="Earbuds"/>
    <s v="Maharashtra"/>
    <s v="Male"/>
    <n v="30"/>
    <n v="719"/>
    <n v="1162"/>
    <n v="21570"/>
    <n v="34860"/>
    <n v="13290"/>
    <s v="profit"/>
  </r>
  <r>
    <x v="80"/>
    <s v="april"/>
    <s v="Urban Pulse Technologies"/>
    <x v="2"/>
    <s v="Earbuds"/>
    <s v="West Bengal"/>
    <s v="Male"/>
    <n v="25"/>
    <n v="980"/>
    <n v="926"/>
    <n v="24500"/>
    <n v="23150"/>
    <n v="-1350"/>
    <s v="loss"/>
  </r>
  <r>
    <x v="82"/>
    <s v="april"/>
    <s v="Mystic India Exports"/>
    <x v="2"/>
    <s v="Earbuds"/>
    <s v="Tamil Nadu"/>
    <s v="Male"/>
    <n v="22"/>
    <n v="718"/>
    <n v="1335"/>
    <n v="15796"/>
    <n v="29370"/>
    <n v="13574"/>
    <s v="profit"/>
  </r>
  <r>
    <x v="83"/>
    <s v="april"/>
    <s v="Pure Essence Skincare"/>
    <x v="2"/>
    <s v="Speaker"/>
    <s v="Rajasthan"/>
    <s v="Female"/>
    <n v="30"/>
    <n v="520"/>
    <n v="1251"/>
    <n v="15600"/>
    <n v="37530"/>
    <n v="21930"/>
    <s v="profit"/>
  </r>
  <r>
    <x v="84"/>
    <s v="april"/>
    <s v="Zenith Construction Co."/>
    <x v="2"/>
    <s v="Speaker"/>
    <s v="Gujarat"/>
    <s v="Female"/>
    <n v="26"/>
    <n v="808"/>
    <n v="1135"/>
    <n v="21008"/>
    <n v="29510"/>
    <n v="8502"/>
    <s v="profit"/>
  </r>
  <r>
    <x v="85"/>
    <s v="april"/>
    <s v="Radiant Health Systems"/>
    <x v="2"/>
    <s v="Speaker"/>
    <s v="Uttar Pradesh"/>
    <s v="Female"/>
    <n v="23"/>
    <n v="504"/>
    <n v="1328"/>
    <n v="11592"/>
    <n v="30544"/>
    <n v="18952"/>
    <s v="profit"/>
  </r>
  <r>
    <x v="87"/>
    <s v="april"/>
    <s v="Divine Creations"/>
    <x v="2"/>
    <s v="Speaker"/>
    <s v="Uttar Pradesh"/>
    <s v="Female"/>
    <n v="28"/>
    <n v="918"/>
    <n v="808"/>
    <n v="25704"/>
    <n v="22624"/>
    <n v="-3080"/>
    <s v="loss"/>
  </r>
  <r>
    <x v="88"/>
    <s v="april"/>
    <s v="True Path Logistics"/>
    <x v="2"/>
    <s v="Speaker"/>
    <s v="Madhya Pradesh"/>
    <s v="Female"/>
    <n v="27"/>
    <n v="966"/>
    <n v="850"/>
    <n v="26082"/>
    <n v="22950"/>
    <n v="-3132"/>
    <s v="loss"/>
  </r>
  <r>
    <x v="90"/>
    <s v="april"/>
    <s v="Prestige Automobiles"/>
    <x v="2"/>
    <s v="TV"/>
    <s v="Uttar Pradesh"/>
    <s v="Male"/>
    <n v="20"/>
    <n v="664"/>
    <n v="924"/>
    <n v="13280"/>
    <n v="18480"/>
    <n v="5200"/>
    <s v="profit"/>
  </r>
  <r>
    <x v="92"/>
    <s v="april"/>
    <s v="Natural Bliss Beverages"/>
    <x v="2"/>
    <s v="TV"/>
    <s v="Tamil Nadu"/>
    <s v="Male"/>
    <n v="26"/>
    <n v="608"/>
    <n v="1125"/>
    <n v="15808"/>
    <n v="29250"/>
    <n v="13442"/>
    <s v="profit"/>
  </r>
  <r>
    <x v="65"/>
    <s v="july"/>
    <s v="Synergy Solutions Group"/>
    <x v="0"/>
    <s v="Home décor"/>
    <s v="Maharashtra"/>
    <s v="Female"/>
    <n v="19"/>
    <n v="860"/>
    <n v="1234"/>
    <n v="16340"/>
    <n v="23446"/>
    <n v="7106"/>
    <s v="profit"/>
  </r>
  <r>
    <x v="94"/>
    <s v="april"/>
    <s v="Modern Trends Fashion"/>
    <x v="2"/>
    <s v="TV"/>
    <s v="Uttar Pradesh"/>
    <s v="Female"/>
    <n v="24"/>
    <n v="826"/>
    <n v="975"/>
    <n v="19824"/>
    <n v="23400"/>
    <n v="3576"/>
    <s v="profit"/>
  </r>
  <r>
    <x v="95"/>
    <s v="april"/>
    <s v="Heritage Crafts"/>
    <x v="2"/>
    <s v="TV"/>
    <s v="Jharkhand"/>
    <s v="Female"/>
    <n v="24"/>
    <n v="877"/>
    <n v="762"/>
    <n v="21048"/>
    <n v="18288"/>
    <n v="-2760"/>
    <s v="loss"/>
  </r>
  <r>
    <x v="96"/>
    <s v="april"/>
    <s v="Future Insights Analytics"/>
    <x v="2"/>
    <s v="TV"/>
    <s v="Kerala"/>
    <s v="Female"/>
    <n v="23"/>
    <n v="736"/>
    <n v="872"/>
    <n v="16928"/>
    <n v="20056"/>
    <n v="3128"/>
    <s v="profit"/>
  </r>
  <r>
    <x v="97"/>
    <s v="april"/>
    <s v="Emerald Estate Developers"/>
    <x v="2"/>
    <s v="TV"/>
    <s v="Maharashtra"/>
    <s v="Female"/>
    <n v="27"/>
    <n v="828"/>
    <n v="1008"/>
    <n v="22356"/>
    <n v="27216"/>
    <n v="4860"/>
    <s v="profit"/>
  </r>
  <r>
    <x v="98"/>
    <s v="april"/>
    <s v="Starlight Media Group"/>
    <x v="2"/>
    <s v="TV"/>
    <s v="Himachal Pradesh"/>
    <s v="Female"/>
    <n v="28"/>
    <n v="901"/>
    <n v="1260"/>
    <n v="25228"/>
    <n v="35280"/>
    <n v="10052"/>
    <s v="profit"/>
  </r>
  <r>
    <x v="99"/>
    <s v="may"/>
    <s v="Supreme Electronics"/>
    <x v="2"/>
    <s v="TV"/>
    <s v="Uttarakhand"/>
    <s v="Female"/>
    <n v="28"/>
    <n v="796"/>
    <n v="1407"/>
    <n v="22288"/>
    <n v="39396"/>
    <n v="17108"/>
    <s v="profit"/>
  </r>
  <r>
    <x v="100"/>
    <s v="may"/>
    <s v="Optimum Wellness"/>
    <x v="2"/>
    <s v="TV"/>
    <s v="Assam"/>
    <s v="Male"/>
    <n v="27"/>
    <n v="794"/>
    <n v="905"/>
    <n v="21438"/>
    <n v="24435"/>
    <n v="2997"/>
    <s v="profit"/>
  </r>
  <r>
    <x v="101"/>
    <s v="may"/>
    <s v="Zenith Books Publishing"/>
    <x v="2"/>
    <s v="TV"/>
    <s v="Punjab"/>
    <s v="Male"/>
    <n v="20"/>
    <n v="812"/>
    <n v="1248"/>
    <n v="16240"/>
    <n v="24960"/>
    <n v="8720"/>
    <s v="profit"/>
  </r>
  <r>
    <x v="102"/>
    <s v="may"/>
    <s v="Pinnacle Innovations"/>
    <x v="2"/>
    <s v="TV"/>
    <s v="Chhattisgarh"/>
    <s v="Male"/>
    <n v="20"/>
    <n v="908"/>
    <n v="1130"/>
    <n v="18160"/>
    <n v="22600"/>
    <n v="4440"/>
    <s v="profit"/>
  </r>
  <r>
    <x v="103"/>
    <s v="may"/>
    <s v="Apex Travel Services"/>
    <x v="2"/>
    <s v="TV"/>
    <s v="West Bengal"/>
    <s v="Male"/>
    <n v="23"/>
    <n v="846"/>
    <n v="1143"/>
    <n v="19458"/>
    <n v="26289"/>
    <n v="6831"/>
    <s v="profit"/>
  </r>
  <r>
    <x v="104"/>
    <s v="may"/>
    <s v="Golden Era Realty"/>
    <x v="2"/>
    <s v="TV"/>
    <s v="West Bengal"/>
    <s v="Female"/>
    <n v="25"/>
    <n v="627"/>
    <n v="1071"/>
    <n v="15675"/>
    <n v="26775"/>
    <n v="11100"/>
    <s v="profit"/>
  </r>
  <r>
    <x v="106"/>
    <s v="may"/>
    <s v="Radiant Jewelry"/>
    <x v="2"/>
    <s v="Laptop"/>
    <s v="Madhya Pradesh"/>
    <s v="Female"/>
    <n v="27"/>
    <n v="817"/>
    <n v="977"/>
    <n v="22059"/>
    <n v="26379"/>
    <n v="4320"/>
    <s v="profit"/>
  </r>
  <r>
    <x v="66"/>
    <s v="july"/>
    <s v="Horizon Tech Solutions"/>
    <x v="2"/>
    <s v="Laptop"/>
    <s v="Uttar Pradesh"/>
    <s v="Female"/>
    <n v="29"/>
    <n v="929"/>
    <n v="1429"/>
    <n v="26941"/>
    <n v="41441"/>
    <n v="14500"/>
    <s v="profit"/>
  </r>
  <r>
    <x v="107"/>
    <s v="may"/>
    <s v="Infinity Ventures"/>
    <x v="2"/>
    <s v="Laptop"/>
    <s v="Jharkhand"/>
    <s v="Female"/>
    <n v="27"/>
    <n v="675"/>
    <n v="1138"/>
    <n v="18225"/>
    <n v="30726"/>
    <n v="12501"/>
    <s v="profit"/>
  </r>
  <r>
    <x v="109"/>
    <s v="may"/>
    <s v="Royal Taste Foods"/>
    <x v="2"/>
    <s v="Laptop"/>
    <s v="West Bengal"/>
    <s v="Female"/>
    <n v="22"/>
    <n v="695"/>
    <n v="830"/>
    <n v="15290"/>
    <n v="18260"/>
    <n v="2970"/>
    <s v="profit"/>
  </r>
  <r>
    <x v="110"/>
    <s v="may"/>
    <s v="Harmony Homes"/>
    <x v="2"/>
    <s v="Laptop"/>
    <s v="Karnataka"/>
    <s v="Female"/>
    <n v="21"/>
    <n v="781"/>
    <n v="816"/>
    <n v="16401"/>
    <n v="17136"/>
    <n v="735"/>
    <s v="profit"/>
  </r>
  <r>
    <x v="111"/>
    <s v="may"/>
    <s v="Urban Edge Consulting"/>
    <x v="2"/>
    <s v="Laptop"/>
    <s v="Delhi"/>
    <s v="Female"/>
    <n v="25"/>
    <n v="517"/>
    <n v="939"/>
    <n v="12925"/>
    <n v="23475"/>
    <n v="10550"/>
    <s v="profit"/>
  </r>
  <r>
    <x v="112"/>
    <s v="may"/>
    <s v="Prime Tech Innovations"/>
    <x v="2"/>
    <s v="Laptop"/>
    <s v="Maharashtra"/>
    <s v="Female"/>
    <n v="24"/>
    <n v="730"/>
    <n v="886"/>
    <n v="17520"/>
    <n v="21264"/>
    <n v="3744"/>
    <s v="profit"/>
  </r>
  <r>
    <x v="114"/>
    <s v="may"/>
    <s v="Legacy Designs"/>
    <x v="2"/>
    <s v="Laptop"/>
    <s v="West Bengal"/>
    <s v="Female"/>
    <n v="23"/>
    <n v="811"/>
    <n v="1142"/>
    <n v="18653"/>
    <n v="26266"/>
    <n v="7613"/>
    <s v="profit"/>
  </r>
  <r>
    <x v="115"/>
    <s v="may"/>
    <s v="Virtue Enterprises"/>
    <x v="2"/>
    <s v="Laptop"/>
    <s v="Tamil Nadu"/>
    <s v="Female"/>
    <n v="21"/>
    <n v="967"/>
    <n v="888"/>
    <n v="20307"/>
    <n v="18648"/>
    <n v="-1659"/>
    <s v="loss"/>
  </r>
  <r>
    <x v="116"/>
    <s v="may"/>
    <s v="Radiant Health Club"/>
    <x v="2"/>
    <s v="Laptop"/>
    <s v="Karnataka"/>
    <s v="Female"/>
    <n v="29"/>
    <n v="655"/>
    <n v="950"/>
    <n v="18995"/>
    <n v="27550"/>
    <n v="8555"/>
    <s v="profit"/>
  </r>
  <r>
    <x v="118"/>
    <s v="may"/>
    <s v="Bright Horizon Ventures"/>
    <x v="2"/>
    <s v="Laptop"/>
    <s v="Telangana"/>
    <s v="Male"/>
    <n v="30"/>
    <n v="616"/>
    <n v="804"/>
    <n v="18480"/>
    <n v="24120"/>
    <n v="5640"/>
    <s v="profit"/>
  </r>
  <r>
    <x v="120"/>
    <s v="may"/>
    <s v="Modern Lifestyle Products"/>
    <x v="2"/>
    <s v="Laptop"/>
    <s v="Gujarat"/>
    <s v="Male"/>
    <n v="30"/>
    <n v="709"/>
    <n v="1209"/>
    <n v="21270"/>
    <n v="36270"/>
    <n v="15000"/>
    <s v="profit"/>
  </r>
  <r>
    <x v="121"/>
    <s v="may"/>
    <s v="Nexus Trading Co."/>
    <x v="2"/>
    <s v="Laptop"/>
    <s v="Maharashtra"/>
    <s v="Male"/>
    <n v="23"/>
    <n v="875"/>
    <n v="843"/>
    <n v="20125"/>
    <n v="19389"/>
    <n v="-736"/>
    <s v="loss"/>
  </r>
  <r>
    <x v="122"/>
    <s v="july"/>
    <s v="Radiance Health and Wellness"/>
    <x v="2"/>
    <s v="Laptop"/>
    <s v="Uttar Pradesh"/>
    <s v="Male"/>
    <n v="26"/>
    <n v="766"/>
    <n v="836"/>
    <n v="19916"/>
    <n v="21736"/>
    <n v="1820"/>
    <s v="profit"/>
  </r>
  <r>
    <x v="123"/>
    <s v="july"/>
    <s v="Legacy Auto Works"/>
    <x v="2"/>
    <s v="Laptop"/>
    <s v="Tamil Nadu"/>
    <s v="Male"/>
    <n v="23"/>
    <n v="589"/>
    <n v="982"/>
    <n v="13547"/>
    <n v="22586"/>
    <n v="9039"/>
    <s v="profit"/>
  </r>
  <r>
    <x v="124"/>
    <s v="july"/>
    <s v="Prime Essence Creations"/>
    <x v="2"/>
    <s v="Laptop"/>
    <s v="Tamil Nadu"/>
    <s v="Male"/>
    <n v="24"/>
    <n v="718"/>
    <n v="1218"/>
    <n v="17232"/>
    <n v="29232"/>
    <n v="12000"/>
    <s v="profit"/>
  </r>
  <r>
    <x v="125"/>
    <s v="july"/>
    <s v="Quantum Ventures"/>
    <x v="2"/>
    <s v="Laptop"/>
    <s v="Rajasthan"/>
    <s v="Male"/>
    <n v="22"/>
    <n v="877"/>
    <n v="1120"/>
    <n v="19294"/>
    <n v="24640"/>
    <n v="5346"/>
    <s v="profit"/>
  </r>
  <r>
    <x v="126"/>
    <s v="july"/>
    <s v="Urban Legends Apparel"/>
    <x v="2"/>
    <s v="Laptop"/>
    <s v="Jharkhand"/>
    <s v="Female"/>
    <n v="23"/>
    <n v="641"/>
    <n v="1445"/>
    <n v="14743"/>
    <n v="33235"/>
    <n v="18492"/>
    <s v="profit"/>
  </r>
  <r>
    <x v="127"/>
    <s v="july"/>
    <s v="Pure Bliss Beverages"/>
    <x v="2"/>
    <s v="Laptop"/>
    <s v="Kerala"/>
    <s v="Female"/>
    <n v="30"/>
    <n v="916"/>
    <n v="1497"/>
    <n v="27480"/>
    <n v="44910"/>
    <n v="17430"/>
    <s v="profit"/>
  </r>
  <r>
    <x v="128"/>
    <s v="july"/>
    <s v="Noble Heights Builders"/>
    <x v="2"/>
    <s v="Laptop"/>
    <s v="Maharashtra"/>
    <s v="Female"/>
    <n v="28"/>
    <n v="588"/>
    <n v="784"/>
    <n v="16464"/>
    <n v="21952"/>
    <n v="5488"/>
    <s v="profit"/>
  </r>
  <r>
    <x v="67"/>
    <s v="august"/>
    <s v="Apex Wellness Solutions"/>
    <x v="1"/>
    <s v="Suit"/>
    <s v="Karnataka"/>
    <s v="Male"/>
    <n v="60"/>
    <n v="642"/>
    <n v="1497"/>
    <n v="38520"/>
    <n v="89820"/>
    <n v="51300"/>
    <s v="profit"/>
  </r>
  <r>
    <x v="130"/>
    <s v="july"/>
    <s v="Radiant Foods"/>
    <x v="2"/>
    <s v="Laptop"/>
    <s v="Himachal Pradesh"/>
    <s v="Female"/>
    <n v="26"/>
    <n v="969"/>
    <n v="1087"/>
    <n v="25194"/>
    <n v="28262"/>
    <n v="3068"/>
    <s v="profit"/>
  </r>
  <r>
    <x v="131"/>
    <s v="july"/>
    <s v="Zenith Financial Services"/>
    <x v="2"/>
    <s v="Laptop"/>
    <s v="Uttarakhand"/>
    <s v="Female"/>
    <n v="25"/>
    <n v="839"/>
    <n v="1233"/>
    <n v="20975"/>
    <n v="30825"/>
    <n v="9850"/>
    <s v="profit"/>
  </r>
  <r>
    <x v="133"/>
    <s v="july"/>
    <s v="Apex Travel Ventures"/>
    <x v="2"/>
    <s v="Laptop"/>
    <s v="Assam"/>
    <s v="Female"/>
    <n v="25"/>
    <n v="536"/>
    <n v="1407"/>
    <n v="13400"/>
    <n v="35175"/>
    <n v="21775"/>
    <s v="profit"/>
  </r>
  <r>
    <x v="134"/>
    <s v="august"/>
    <s v="Future Vision Realty"/>
    <x v="2"/>
    <s v="Laptop"/>
    <s v="Maharashtra"/>
    <s v="Male"/>
    <n v="27"/>
    <n v="966"/>
    <n v="1255"/>
    <n v="26082"/>
    <n v="33885"/>
    <n v="7803"/>
    <s v="profit"/>
  </r>
  <r>
    <x v="68"/>
    <s v="august"/>
    <s v="Radiance Tech Solutions"/>
    <x v="0"/>
    <s v="Home décor"/>
    <s v="Gujarat"/>
    <s v="Female"/>
    <n v="20"/>
    <n v="525"/>
    <n v="1122"/>
    <n v="10500"/>
    <n v="22440"/>
    <n v="11940"/>
    <s v="profit"/>
  </r>
  <r>
    <x v="135"/>
    <s v="august"/>
    <s v="Urban Pulse Media"/>
    <x v="2"/>
    <s v="Laptop"/>
    <s v="Chandigarh"/>
    <s v="Male"/>
    <n v="23"/>
    <n v="694"/>
    <n v="1309"/>
    <n v="15962"/>
    <n v="30107"/>
    <n v="14145"/>
    <s v="profit"/>
  </r>
  <r>
    <x v="136"/>
    <s v="august"/>
    <s v="True Essence Health"/>
    <x v="2"/>
    <s v="Laptop"/>
    <s v="Madhya Pradesh"/>
    <s v="Female"/>
    <n v="22"/>
    <n v="749"/>
    <n v="850"/>
    <n v="16478"/>
    <n v="18700"/>
    <n v="2222"/>
    <s v="profit"/>
  </r>
  <r>
    <x v="138"/>
    <s v="august"/>
    <s v="Radiant Vision Realty"/>
    <x v="2"/>
    <s v="Laptop"/>
    <s v="Bihar"/>
    <s v="Male"/>
    <n v="24"/>
    <n v="845"/>
    <n v="1429"/>
    <n v="20280"/>
    <n v="34296"/>
    <n v="14016"/>
    <s v="profit"/>
  </r>
  <r>
    <x v="139"/>
    <s v="august"/>
    <s v="Harmony Consulting Group"/>
    <x v="2"/>
    <s v="Laptop"/>
    <s v="Gujarat"/>
    <s v="Male"/>
    <n v="29"/>
    <n v="872"/>
    <n v="1351"/>
    <n v="25288"/>
    <n v="39179"/>
    <n v="13891"/>
    <s v="profit"/>
  </r>
  <r>
    <x v="141"/>
    <s v="august"/>
    <s v="Zenith Tech Ventures"/>
    <x v="2"/>
    <s v="Laptop"/>
    <s v="Uttar Pradesh"/>
    <s v="Male"/>
    <n v="27"/>
    <n v="674"/>
    <n v="1119"/>
    <n v="18198"/>
    <n v="30213"/>
    <n v="12015"/>
    <s v="profit"/>
  </r>
  <r>
    <x v="142"/>
    <s v="august"/>
    <s v="Stellar Health Services"/>
    <x v="2"/>
    <s v="Laptop"/>
    <s v="Uttar Pradesh"/>
    <s v="Female"/>
    <n v="27"/>
    <n v="583"/>
    <n v="1379"/>
    <n v="15741"/>
    <n v="37233"/>
    <n v="21492"/>
    <s v="profit"/>
  </r>
  <r>
    <x v="143"/>
    <s v="august"/>
    <s v="Pure Path Foods"/>
    <x v="2"/>
    <s v="Laptop"/>
    <s v="Tamil Nadu"/>
    <s v="Female"/>
    <n v="21"/>
    <n v="929"/>
    <n v="910"/>
    <n v="19509"/>
    <n v="19110"/>
    <n v="-399"/>
    <s v="loss"/>
  </r>
  <r>
    <x v="69"/>
    <s v="august"/>
    <s v="Apex Enterprise Solutions"/>
    <x v="2"/>
    <s v="Laptop"/>
    <s v="Andhra Pradesh"/>
    <s v="Male"/>
    <n v="23"/>
    <n v="884"/>
    <n v="1392"/>
    <n v="20332"/>
    <n v="32016"/>
    <n v="11684"/>
    <s v="profit"/>
  </r>
  <r>
    <x v="144"/>
    <s v="august"/>
    <s v="Bright Horizon Realty"/>
    <x v="2"/>
    <s v="Laptop"/>
    <s v="Rajasthan"/>
    <s v="Female"/>
    <n v="28"/>
    <n v="873"/>
    <n v="809"/>
    <n v="24444"/>
    <n v="22652"/>
    <n v="-1792"/>
    <s v="loss"/>
  </r>
  <r>
    <x v="146"/>
    <s v="october"/>
    <s v="Crystal Clear Consulting"/>
    <x v="2"/>
    <s v="Earbuds"/>
    <s v="Rajasthan"/>
    <s v="Female"/>
    <n v="21"/>
    <n v="541"/>
    <n v="1339"/>
    <n v="11361"/>
    <n v="28119"/>
    <n v="16758"/>
    <s v="profit"/>
  </r>
  <r>
    <x v="147"/>
    <s v="october"/>
    <s v="Zenith Innovations"/>
    <x v="2"/>
    <s v="Earbuds"/>
    <s v="Jharkhand"/>
    <s v="Male"/>
    <n v="22"/>
    <n v="725"/>
    <n v="1268"/>
    <n v="15950"/>
    <n v="27896"/>
    <n v="11946"/>
    <s v="profit"/>
  </r>
  <r>
    <x v="148"/>
    <s v="october"/>
    <s v="True Essence Innovations"/>
    <x v="2"/>
    <s v="Speaker"/>
    <s v="Assam"/>
    <s v="Male"/>
    <n v="21"/>
    <n v="596"/>
    <n v="838"/>
    <n v="12516"/>
    <n v="17598"/>
    <n v="5082"/>
    <s v="profit"/>
  </r>
  <r>
    <x v="150"/>
    <s v="november"/>
    <s v="Pinnacle Media Group"/>
    <x v="2"/>
    <s v="Speaker"/>
    <s v="Punjab"/>
    <s v="Male"/>
    <n v="30"/>
    <n v="910"/>
    <n v="1290"/>
    <n v="27300"/>
    <n v="38700"/>
    <n v="11400"/>
    <s v="profit"/>
  </r>
  <r>
    <x v="70"/>
    <s v="august"/>
    <s v="Prestige Solutions"/>
    <x v="2"/>
    <s v="Laptop"/>
    <s v="Tamil Nadu"/>
    <s v="Female"/>
    <n v="20"/>
    <n v="997"/>
    <n v="784"/>
    <n v="19940"/>
    <n v="15680"/>
    <n v="-4260"/>
    <s v="loss"/>
  </r>
  <r>
    <x v="152"/>
    <s v="november"/>
    <s v="Legacy Design Co."/>
    <x v="2"/>
    <s v="Speaker"/>
    <s v="Chhattisgarh"/>
    <s v="Male"/>
    <n v="25"/>
    <n v="532"/>
    <n v="1358"/>
    <n v="13300"/>
    <n v="33950"/>
    <n v="20650"/>
    <s v="profit"/>
  </r>
  <r>
    <x v="153"/>
    <s v="november"/>
    <s v="Apex Health Products"/>
    <x v="2"/>
    <s v="Speaker"/>
    <s v="West Bengal"/>
    <s v="Female"/>
    <n v="29"/>
    <n v="813"/>
    <n v="1241"/>
    <n v="23577"/>
    <n v="35989"/>
    <n v="12412"/>
    <s v="profit"/>
  </r>
  <r>
    <x v="154"/>
    <s v="november"/>
    <s v="Zenith Travel Ventures"/>
    <x v="2"/>
    <s v="Speaker"/>
    <s v="West Bengal"/>
    <s v="Female"/>
    <n v="28"/>
    <n v="858"/>
    <n v="1127"/>
    <n v="24024"/>
    <n v="31556"/>
    <n v="7532"/>
    <s v="profit"/>
  </r>
  <r>
    <x v="155"/>
    <s v="november"/>
    <s v="Pure Path Consulting"/>
    <x v="2"/>
    <s v="Speaker"/>
    <s v="Madhya Pradesh"/>
    <s v="Female"/>
    <n v="24"/>
    <n v="641"/>
    <n v="1337"/>
    <n v="15384"/>
    <n v="32088"/>
    <n v="16704"/>
    <s v="profit"/>
  </r>
  <r>
    <x v="157"/>
    <s v="november"/>
    <s v="Harmony Educational Group"/>
    <x v="2"/>
    <s v="TV"/>
    <s v="Karnataka"/>
    <s v="Male"/>
    <n v="25"/>
    <n v="709"/>
    <n v="1386"/>
    <n v="17725"/>
    <n v="34650"/>
    <n v="16925"/>
    <s v="profit"/>
  </r>
  <r>
    <x v="158"/>
    <s v="november"/>
    <s v="Radiant Design Studio"/>
    <x v="2"/>
    <s v="TV"/>
    <s v="Gujarat"/>
    <s v="Male"/>
    <n v="25"/>
    <n v="802"/>
    <n v="1126"/>
    <n v="20050"/>
    <n v="28150"/>
    <n v="8100"/>
    <s v="profit"/>
  </r>
  <r>
    <x v="159"/>
    <s v="november"/>
    <s v="Zenith Health Innovations"/>
    <x v="2"/>
    <s v="TV"/>
    <s v="Maharashtra"/>
    <s v="Male"/>
    <n v="23"/>
    <n v="893"/>
    <n v="761"/>
    <n v="20539"/>
    <n v="17503"/>
    <n v="-3036"/>
    <s v="loss"/>
  </r>
  <r>
    <x v="160"/>
    <s v="november"/>
    <s v="Apex Realty Ventures"/>
    <x v="2"/>
    <s v="TV"/>
    <s v="Rajasthan"/>
    <s v="Male"/>
    <n v="29"/>
    <n v="852"/>
    <n v="1452"/>
    <n v="24708"/>
    <n v="42108"/>
    <n v="17400"/>
    <s v="profit"/>
  </r>
  <r>
    <x v="71"/>
    <s v="august"/>
    <s v="Urban Wave Solutions"/>
    <x v="1"/>
    <s v="Saree"/>
    <s v="Punjab"/>
    <s v="Male"/>
    <n v="64"/>
    <n v="580"/>
    <n v="1164"/>
    <n v="37120"/>
    <n v="74496"/>
    <n v="37376"/>
    <s v="profit"/>
  </r>
  <r>
    <x v="161"/>
    <s v="november"/>
    <s v="True Value Ventures"/>
    <x v="2"/>
    <s v="TV"/>
    <s v="Uttar Pradesh"/>
    <s v="Female"/>
    <n v="23"/>
    <n v="747"/>
    <n v="1340"/>
    <n v="17181"/>
    <n v="30820"/>
    <n v="13639"/>
    <s v="profit"/>
  </r>
  <r>
    <x v="162"/>
    <s v="november"/>
    <s v="Crystal Clear Designs"/>
    <x v="2"/>
    <s v="TV"/>
    <s v="Maharashtra"/>
    <s v="Male"/>
    <n v="26"/>
    <n v="625"/>
    <n v="1298"/>
    <n v="16250"/>
    <n v="33748"/>
    <n v="17498"/>
    <s v="profit"/>
  </r>
  <r>
    <x v="164"/>
    <s v="november"/>
    <s v="Pinnacle Innovations Co."/>
    <x v="2"/>
    <s v="TV"/>
    <s v="Madhya Pradesh"/>
    <s v="Male"/>
    <n v="23"/>
    <n v="706"/>
    <n v="988"/>
    <n v="16238"/>
    <n v="22724"/>
    <n v="6486"/>
    <s v="profit"/>
  </r>
  <r>
    <x v="166"/>
    <s v="november"/>
    <s v="Modern Pathways"/>
    <x v="2"/>
    <s v="TV"/>
    <s v="Maharashtra"/>
    <s v="Male"/>
    <n v="28"/>
    <n v="858"/>
    <n v="1113"/>
    <n v="24024"/>
    <n v="31164"/>
    <n v="7140"/>
    <s v="profit"/>
  </r>
  <r>
    <x v="72"/>
    <s v="september"/>
    <s v="Visionary Realty Solutions"/>
    <x v="1"/>
    <s v="Suit"/>
    <s v="Jharkhand"/>
    <s v="Female"/>
    <n v="52"/>
    <n v="893"/>
    <n v="1055"/>
    <n v="46436"/>
    <n v="54860"/>
    <n v="8424"/>
    <s v="profit"/>
  </r>
  <r>
    <x v="168"/>
    <s v="november"/>
    <s v="Stellar Finance Co."/>
    <x v="2"/>
    <s v="TV"/>
    <s v="Chandigarh"/>
    <s v="Male"/>
    <n v="24"/>
    <n v="736"/>
    <n v="1406"/>
    <n v="17664"/>
    <n v="33744"/>
    <n v="16080"/>
    <s v="profit"/>
  </r>
  <r>
    <x v="169"/>
    <s v="november"/>
    <s v="Radiant Spectrum Group"/>
    <x v="2"/>
    <s v="TV"/>
    <s v="Madhya Pradesh"/>
    <s v="Male"/>
    <n v="20"/>
    <n v="599"/>
    <n v="1023"/>
    <n v="11980"/>
    <n v="20460"/>
    <n v="8480"/>
    <s v="profit"/>
  </r>
  <r>
    <x v="170"/>
    <s v="november"/>
    <s v="Harmony Design Ventures"/>
    <x v="2"/>
    <s v="TV"/>
    <s v="Andhra Pradesh"/>
    <s v="Female"/>
    <n v="22"/>
    <n v="524"/>
    <n v="1147"/>
    <n v="11528"/>
    <n v="25234"/>
    <n v="13706"/>
    <s v="profit"/>
  </r>
  <r>
    <x v="171"/>
    <s v="november"/>
    <s v="Elite Edge Products"/>
    <x v="2"/>
    <s v="TV"/>
    <s v="Bihar"/>
    <s v="Female"/>
    <n v="27"/>
    <n v="744"/>
    <n v="1253"/>
    <n v="20088"/>
    <n v="33831"/>
    <n v="13743"/>
    <s v="profit"/>
  </r>
  <r>
    <x v="172"/>
    <s v="november"/>
    <s v="Zenith Consulting Co."/>
    <x v="2"/>
    <s v="Laptop"/>
    <s v="Gujarat"/>
    <s v="Female"/>
    <n v="27"/>
    <n v="826"/>
    <n v="917"/>
    <n v="22302"/>
    <n v="24759"/>
    <n v="2457"/>
    <s v="profit"/>
  </r>
  <r>
    <x v="173"/>
    <s v="november"/>
    <s v="Apex Wellness Products"/>
    <x v="2"/>
    <s v="Laptop"/>
    <s v="Uttar Pradesh"/>
    <s v="Female"/>
    <n v="27"/>
    <n v="573"/>
    <n v="1266"/>
    <n v="15471"/>
    <n v="34182"/>
    <n v="18711"/>
    <s v="profit"/>
  </r>
  <r>
    <x v="175"/>
    <s v="december"/>
    <s v="Pure Harmony Innovations"/>
    <x v="2"/>
    <s v="Laptop"/>
    <s v="Tamil Nadu"/>
    <s v="Female"/>
    <n v="28"/>
    <n v="798"/>
    <n v="1131"/>
    <n v="22344"/>
    <n v="31668"/>
    <n v="9324"/>
    <s v="profit"/>
  </r>
  <r>
    <x v="176"/>
    <s v="december"/>
    <s v="Legacy Media Group"/>
    <x v="2"/>
    <s v="Laptop"/>
    <s v="Tamil Nadu"/>
    <s v="Female"/>
    <n v="25"/>
    <n v="982"/>
    <n v="1479"/>
    <n v="24550"/>
    <n v="36975"/>
    <n v="12425"/>
    <s v="profit"/>
  </r>
  <r>
    <x v="73"/>
    <s v="september"/>
    <s v="Pure Essence Solutions"/>
    <x v="0"/>
    <s v="Home décor"/>
    <s v="Gujarat"/>
    <s v="Female"/>
    <n v="19"/>
    <n v="938"/>
    <n v="1348"/>
    <n v="17822"/>
    <n v="25612"/>
    <n v="7790"/>
    <s v="profit"/>
  </r>
  <r>
    <x v="177"/>
    <s v="december"/>
    <s v="Horizon Tech Innovations"/>
    <x v="2"/>
    <s v="Laptop"/>
    <s v="Uttar Pradesh"/>
    <s v="Male"/>
    <n v="29"/>
    <n v="841"/>
    <n v="854"/>
    <n v="24389"/>
    <n v="24766"/>
    <n v="377"/>
    <s v="profit"/>
  </r>
  <r>
    <x v="178"/>
    <s v="december"/>
    <s v="Crystal Spectrum Consulting"/>
    <x v="2"/>
    <s v="Laptop"/>
    <s v="Jharkhand"/>
    <s v="Male"/>
    <n v="21"/>
    <n v="691"/>
    <n v="1142"/>
    <n v="14511"/>
    <n v="23982"/>
    <n v="9471"/>
    <s v="profit"/>
  </r>
  <r>
    <x v="179"/>
    <s v="december"/>
    <s v="Stellar Creative Co."/>
    <x v="2"/>
    <s v="Laptop"/>
    <s v="Kerala"/>
    <s v="Male"/>
    <n v="24"/>
    <n v="526"/>
    <n v="808"/>
    <n v="12624"/>
    <n v="19392"/>
    <n v="6768"/>
    <s v="profit"/>
  </r>
  <r>
    <x v="181"/>
    <s v="december"/>
    <s v="Radiance Media Ventures"/>
    <x v="2"/>
    <s v="Laptop"/>
    <s v="Maharashtra"/>
    <s v="Female"/>
    <n v="29"/>
    <n v="932"/>
    <n v="1316"/>
    <n v="27028"/>
    <n v="38164"/>
    <n v="11136"/>
    <s v="profit"/>
  </r>
  <r>
    <x v="74"/>
    <s v="september"/>
    <s v="Crystal Health Solutions"/>
    <x v="0"/>
    <s v="Home décor"/>
    <s v="Uttar Pradesh"/>
    <s v="Male"/>
    <n v="17"/>
    <n v="614"/>
    <n v="1273"/>
    <n v="10438"/>
    <n v="21641"/>
    <n v="11203"/>
    <s v="profit"/>
  </r>
  <r>
    <x v="182"/>
    <s v="december"/>
    <s v="Zenith Edge Services"/>
    <x v="2"/>
    <s v="Laptop"/>
    <s v="Uttarakhand"/>
    <s v="Male"/>
    <n v="22"/>
    <n v="603"/>
    <n v="794"/>
    <n v="13266"/>
    <n v="17468"/>
    <n v="4202"/>
    <s v="profit"/>
  </r>
  <r>
    <x v="183"/>
    <s v="february"/>
    <s v="Stellar Consulting Services"/>
    <x v="2"/>
    <s v="Laptop"/>
    <s v="Maharashtra"/>
    <s v="Female"/>
    <n v="30"/>
    <n v="946"/>
    <n v="1109"/>
    <n v="28380"/>
    <n v="33270"/>
    <n v="4890"/>
    <s v="profit"/>
  </r>
  <r>
    <x v="184"/>
    <s v="february"/>
    <s v="Radiant Ventures"/>
    <x v="2"/>
    <s v="Laptop"/>
    <s v="Himachal Pradesh"/>
    <s v="Female"/>
    <n v="24"/>
    <n v="580"/>
    <n v="809"/>
    <n v="13920"/>
    <n v="19416"/>
    <n v="5496"/>
    <s v="profit"/>
  </r>
  <r>
    <x v="185"/>
    <s v="february"/>
    <s v="Harmony Tech Co."/>
    <x v="2"/>
    <s v="Laptop"/>
    <s v="Uttarakhand"/>
    <s v="Female"/>
    <n v="30"/>
    <n v="732"/>
    <n v="944"/>
    <n v="21960"/>
    <n v="28320"/>
    <n v="6360"/>
    <s v="profit"/>
  </r>
  <r>
    <x v="187"/>
    <s v="february"/>
    <s v="Zenith Creative Ventures"/>
    <x v="2"/>
    <s v="Laptop"/>
    <s v="Assam"/>
    <s v="Male"/>
    <n v="20"/>
    <n v="552"/>
    <n v="1261"/>
    <n v="11040"/>
    <n v="25220"/>
    <n v="14180"/>
    <s v="profit"/>
  </r>
  <r>
    <x v="188"/>
    <s v="february"/>
    <s v="Apex Health Services"/>
    <x v="2"/>
    <s v="Laptop"/>
    <s v="Punjab"/>
    <s v="Male"/>
    <n v="21"/>
    <n v="876"/>
    <n v="1452"/>
    <n v="18396"/>
    <n v="30492"/>
    <n v="12096"/>
    <s v="profit"/>
  </r>
  <r>
    <x v="189"/>
    <s v="february"/>
    <s v="Pure Vision Media"/>
    <x v="2"/>
    <s v="Laptop"/>
    <s v="Chhattisgarh"/>
    <s v="Male"/>
    <n v="27"/>
    <n v="636"/>
    <n v="1284"/>
    <n v="17172"/>
    <n v="34668"/>
    <n v="17496"/>
    <s v="profit"/>
  </r>
  <r>
    <x v="191"/>
    <s v="february"/>
    <s v="Legacy Innovations Group"/>
    <x v="2"/>
    <s v="Laptop"/>
    <s v="West Bengal"/>
    <s v="Male"/>
    <n v="21"/>
    <n v="974"/>
    <n v="1363"/>
    <n v="20454"/>
    <n v="28623"/>
    <n v="8169"/>
    <s v="profit"/>
  </r>
  <r>
    <x v="75"/>
    <s v="september"/>
    <s v="Stellar Travel Solutions"/>
    <x v="0"/>
    <s v="Car accessories"/>
    <s v="Uttar Pradesh"/>
    <s v="Female"/>
    <n v="10"/>
    <n v="572"/>
    <n v="801"/>
    <n v="5720"/>
    <n v="8010"/>
    <n v="2290"/>
    <s v="profit"/>
  </r>
  <r>
    <x v="192"/>
    <s v="february"/>
    <s v="Pinnacle Consulting Co."/>
    <x v="2"/>
    <s v="Laptop"/>
    <s v="West Bengal"/>
    <s v="Male"/>
    <n v="30"/>
    <n v="518"/>
    <n v="858"/>
    <n v="15540"/>
    <n v="25740"/>
    <n v="10200"/>
    <s v="profit"/>
  </r>
  <r>
    <x v="76"/>
    <s v="september"/>
    <s v="Pure Harmony Solutions"/>
    <x v="0"/>
    <s v="Car accessories"/>
    <s v="Tamil Nadu"/>
    <s v="Female"/>
    <n v="12"/>
    <n v="674"/>
    <n v="1265"/>
    <n v="8088"/>
    <n v="15180"/>
    <n v="7092"/>
    <s v="profit"/>
  </r>
  <r>
    <x v="193"/>
    <s v="february"/>
    <s v="Stellar Finance Group"/>
    <x v="2"/>
    <s v="Laptop"/>
    <s v="Madhya Pradesh"/>
    <s v="Female"/>
    <n v="21"/>
    <n v="531"/>
    <n v="955"/>
    <n v="11151"/>
    <n v="20055"/>
    <n v="8904"/>
    <s v="profit"/>
  </r>
  <r>
    <x v="194"/>
    <s v="february"/>
    <s v="Harmony Ventures Group"/>
    <x v="2"/>
    <s v="Laptop"/>
    <s v="Gujarat"/>
    <s v="Female"/>
    <n v="26"/>
    <n v="842"/>
    <n v="1074"/>
    <n v="21892"/>
    <n v="27924"/>
    <n v="6032"/>
    <s v="profit"/>
  </r>
  <r>
    <x v="198"/>
    <s v="april"/>
    <s v="Golden Horizon Ventures"/>
    <x v="1"/>
    <s v="Women dress"/>
    <s v="Karnataka"/>
    <s v="Male"/>
    <n v="95"/>
    <n v="936"/>
    <n v="1350"/>
    <n v="88920"/>
    <n v="128250"/>
    <n v="39330"/>
    <s v="profit"/>
  </r>
  <r>
    <x v="199"/>
    <s v="april"/>
    <s v="Eternal Traditions"/>
    <x v="1"/>
    <s v="Women dress"/>
    <s v="Telangana"/>
    <s v="Male"/>
    <n v="84"/>
    <n v="784"/>
    <n v="965"/>
    <n v="65856"/>
    <n v="81060"/>
    <n v="15204"/>
    <s v="profit"/>
  </r>
  <r>
    <x v="200"/>
    <s v="april"/>
    <s v="Harmony Foods"/>
    <x v="1"/>
    <s v="Women dress"/>
    <s v="Maharashtra"/>
    <s v="Male"/>
    <n v="51"/>
    <n v="847"/>
    <n v="972"/>
    <n v="43197"/>
    <n v="49572"/>
    <n v="6375"/>
    <s v="profit"/>
  </r>
  <r>
    <x v="77"/>
    <s v="october"/>
    <s v="Modern Spectrum Solutions"/>
    <x v="1"/>
    <s v="Saree"/>
    <s v="Maharashtra"/>
    <s v="Female"/>
    <n v="52"/>
    <n v="546"/>
    <n v="1482"/>
    <n v="28392"/>
    <n v="77064"/>
    <n v="48672"/>
    <s v="profit"/>
  </r>
  <r>
    <x v="201"/>
    <s v="april"/>
    <s v="Sacred Roots Apparel"/>
    <x v="1"/>
    <s v="Male dress"/>
    <s v="Maharashtra"/>
    <s v="Female"/>
    <n v="68"/>
    <n v="534"/>
    <n v="1085"/>
    <n v="36312"/>
    <n v="73780"/>
    <n v="37468"/>
    <s v="profit"/>
  </r>
  <r>
    <x v="202"/>
    <s v="april"/>
    <s v="Quantum Finance Services"/>
    <x v="1"/>
    <s v="Male dress"/>
    <s v="Chandigarh"/>
    <s v="Female"/>
    <n v="68"/>
    <n v="575"/>
    <n v="1242"/>
    <n v="39100"/>
    <n v="84456"/>
    <n v="45356"/>
    <s v="profit"/>
  </r>
  <r>
    <x v="203"/>
    <s v="april"/>
    <s v="Brilliant Minds Academy"/>
    <x v="1"/>
    <s v="Male dress"/>
    <s v="Madhya Pradesh"/>
    <s v="Female"/>
    <n v="79"/>
    <n v="537"/>
    <n v="850"/>
    <n v="42423"/>
    <n v="67150"/>
    <n v="24727"/>
    <s v="profit"/>
  </r>
  <r>
    <x v="204"/>
    <s v="april"/>
    <s v="Visionary Holdings"/>
    <x v="1"/>
    <s v="Male dress"/>
    <s v="Andhra Pradesh"/>
    <s v="Female"/>
    <n v="65"/>
    <n v="935"/>
    <n v="752"/>
    <n v="60775"/>
    <n v="48880"/>
    <n v="-11895"/>
    <s v="loss"/>
  </r>
  <r>
    <x v="205"/>
    <s v="april"/>
    <s v="Stellar Design Studio"/>
    <x v="1"/>
    <s v="Male dress"/>
    <s v="Bihar"/>
    <s v="Female"/>
    <n v="66"/>
    <n v="709"/>
    <n v="1021"/>
    <n v="46794"/>
    <n v="67386"/>
    <n v="20592"/>
    <s v="profit"/>
  </r>
  <r>
    <x v="206"/>
    <s v="april"/>
    <s v="Classic Cuisines"/>
    <x v="1"/>
    <s v="Male dress"/>
    <s v="Gujarat"/>
    <s v="Male"/>
    <n v="70"/>
    <n v="751"/>
    <n v="1485"/>
    <n v="52570"/>
    <n v="103950"/>
    <n v="51380"/>
    <s v="profit"/>
  </r>
  <r>
    <x v="81"/>
    <s v="october"/>
    <s v="Apex Creative Solutions"/>
    <x v="1"/>
    <s v="Suit"/>
    <s v="West Bengal"/>
    <s v="Male"/>
    <n v="86"/>
    <n v="717"/>
    <n v="1445"/>
    <n v="61662"/>
    <n v="124270"/>
    <n v="62608"/>
    <s v="profit"/>
  </r>
  <r>
    <x v="207"/>
    <s v="april"/>
    <s v="Bold Ventures"/>
    <x v="1"/>
    <s v="Male dress"/>
    <s v="Uttar Pradesh"/>
    <s v="Male"/>
    <n v="75"/>
    <n v="686"/>
    <n v="1254"/>
    <n v="51450"/>
    <n v="94050"/>
    <n v="42600"/>
    <s v="profit"/>
  </r>
  <r>
    <x v="208"/>
    <s v="may"/>
    <s v="Radiance Spa"/>
    <x v="1"/>
    <s v="Saree"/>
    <s v="Rajasthan"/>
    <s v="Male"/>
    <n v="91"/>
    <n v="518"/>
    <n v="1465"/>
    <n v="47138"/>
    <n v="133315"/>
    <n v="86177"/>
    <s v="profit"/>
  </r>
  <r>
    <x v="209"/>
    <s v="may"/>
    <s v="Verve Fitness Studio"/>
    <x v="1"/>
    <s v="Saree"/>
    <s v="Uttar Pradesh"/>
    <s v="Female"/>
    <n v="96"/>
    <n v="791"/>
    <n v="931"/>
    <n v="75936"/>
    <n v="89376"/>
    <n v="13440"/>
    <s v="profit"/>
  </r>
  <r>
    <x v="210"/>
    <s v="may"/>
    <s v="Sparkle Cleaners"/>
    <x v="1"/>
    <s v="Saree"/>
    <s v="Uttar Pradesh"/>
    <s v="Female"/>
    <n v="69"/>
    <n v="864"/>
    <n v="935"/>
    <n v="59616"/>
    <n v="64515"/>
    <n v="4899"/>
    <s v="profit"/>
  </r>
  <r>
    <x v="86"/>
    <s v="october"/>
    <s v="Radiance Solutions Group"/>
    <x v="0"/>
    <s v="Home décor"/>
    <s v="Bihar"/>
    <s v="Female"/>
    <n v="20"/>
    <n v="784"/>
    <n v="1320"/>
    <n v="15680"/>
    <n v="26400"/>
    <n v="10720"/>
    <s v="profit"/>
  </r>
  <r>
    <x v="211"/>
    <s v="may"/>
    <s v="Global Reach Logistics"/>
    <x v="1"/>
    <s v="Saree"/>
    <s v="Maharashtra"/>
    <s v="Female"/>
    <n v="55"/>
    <n v="782"/>
    <n v="1335"/>
    <n v="43010"/>
    <n v="73425"/>
    <n v="30415"/>
    <s v="profit"/>
  </r>
  <r>
    <x v="212"/>
    <s v="may"/>
    <s v="Noble Path Finance"/>
    <x v="1"/>
    <s v="Saree"/>
    <s v="Madhya Pradesh"/>
    <s v="Female"/>
    <n v="71"/>
    <n v="653"/>
    <n v="963"/>
    <n v="46363"/>
    <n v="68373"/>
    <n v="22010"/>
    <s v="profit"/>
  </r>
  <r>
    <x v="89"/>
    <s v="october"/>
    <s v="Modern Edge Solutions"/>
    <x v="0"/>
    <s v="Home décor"/>
    <s v="Uttar Pradesh"/>
    <s v="Female"/>
    <n v="19"/>
    <n v="664"/>
    <n v="1091"/>
    <n v="12616"/>
    <n v="20729"/>
    <n v="8113"/>
    <s v="profit"/>
  </r>
  <r>
    <x v="213"/>
    <s v="may"/>
    <s v="Dynamic Events Management"/>
    <x v="1"/>
    <s v="Saree"/>
    <s v="Maharashtra"/>
    <s v="Female"/>
    <n v="88"/>
    <n v="959"/>
    <n v="985"/>
    <n v="84392"/>
    <n v="86680"/>
    <n v="2288"/>
    <s v="profit"/>
  </r>
  <r>
    <x v="91"/>
    <s v="october"/>
    <s v="Horizon Health Solutions"/>
    <x v="2"/>
    <s v="Speaker"/>
    <s v="Tamil Nadu"/>
    <s v="Female"/>
    <n v="26"/>
    <n v="674"/>
    <n v="857"/>
    <n v="17524"/>
    <n v="22282"/>
    <n v="4758"/>
    <s v="profit"/>
  </r>
  <r>
    <x v="214"/>
    <s v="may"/>
    <s v="Crystal Waters Resort"/>
    <x v="1"/>
    <s v="Saree"/>
    <s v="Chandigarh"/>
    <s v="Female"/>
    <n v="72"/>
    <n v="805"/>
    <n v="826"/>
    <n v="57960"/>
    <n v="59472"/>
    <n v="1512"/>
    <s v="profit"/>
  </r>
  <r>
    <x v="93"/>
    <s v="october"/>
    <s v="Apex Marketing Solutions"/>
    <x v="2"/>
    <s v="Earbuds"/>
    <s v="Uttar Pradesh"/>
    <s v="Male"/>
    <n v="29"/>
    <n v="774"/>
    <n v="793"/>
    <n v="22446"/>
    <n v="22997"/>
    <n v="551"/>
    <s v="profit"/>
  </r>
  <r>
    <x v="215"/>
    <s v="may"/>
    <s v="Excellence Tutors"/>
    <x v="1"/>
    <s v="Saree"/>
    <s v="Madhya Pradesh"/>
    <s v="Female"/>
    <n v="53"/>
    <n v="665"/>
    <n v="1206"/>
    <n v="35245"/>
    <n v="63918"/>
    <n v="28673"/>
    <s v="profit"/>
  </r>
  <r>
    <x v="216"/>
    <s v="may"/>
    <s v="Horizon Builders"/>
    <x v="1"/>
    <s v="Saree"/>
    <s v="Andhra Pradesh"/>
    <s v="Male"/>
    <n v="88"/>
    <n v="607"/>
    <n v="1268"/>
    <n v="53416"/>
    <n v="111584"/>
    <n v="58168"/>
    <s v="profit"/>
  </r>
  <r>
    <x v="217"/>
    <s v="may"/>
    <s v="Classic Heritage Crafts"/>
    <x v="1"/>
    <s v="Saree"/>
    <s v="Gujarat"/>
    <s v="Male"/>
    <n v="99"/>
    <n v="657"/>
    <n v="1033"/>
    <n v="65043"/>
    <n v="102267"/>
    <n v="37224"/>
    <s v="profit"/>
  </r>
  <r>
    <x v="218"/>
    <s v="may"/>
    <s v="Prime Focus Media"/>
    <x v="1"/>
    <s v="Suit"/>
    <s v="Uttar Pradesh"/>
    <s v="Male"/>
    <n v="88"/>
    <n v="977"/>
    <n v="1402"/>
    <n v="85976"/>
    <n v="123376"/>
    <n v="37400"/>
    <s v="profit"/>
  </r>
  <r>
    <x v="219"/>
    <s v="june"/>
    <s v="Noble Nutraceuticals"/>
    <x v="1"/>
    <s v="Suit"/>
    <s v="Uttar Pradesh"/>
    <s v="Female"/>
    <n v="81"/>
    <n v="528"/>
    <n v="872"/>
    <n v="42768"/>
    <n v="70632"/>
    <n v="27864"/>
    <s v="profit"/>
  </r>
  <r>
    <x v="220"/>
    <s v="june"/>
    <s v="Supreme Travel Agency"/>
    <x v="1"/>
    <s v="Suit"/>
    <s v="Tamil Nadu"/>
    <s v="Male"/>
    <n v="74"/>
    <n v="870"/>
    <n v="1490"/>
    <n v="64380"/>
    <n v="110260"/>
    <n v="45880"/>
    <s v="profit"/>
  </r>
  <r>
    <x v="221"/>
    <s v="june"/>
    <s v="Future Vision Tech"/>
    <x v="1"/>
    <s v="Suit"/>
    <s v="Tamil Nadu"/>
    <s v="Male"/>
    <n v="83"/>
    <n v="655"/>
    <n v="1422"/>
    <n v="54365"/>
    <n v="118026"/>
    <n v="63661"/>
    <s v="profit"/>
  </r>
  <r>
    <x v="222"/>
    <s v="june"/>
    <s v="Urban Groove Apparel"/>
    <x v="1"/>
    <s v="Suit"/>
    <s v="Rajasthan"/>
    <s v="Male"/>
    <n v="99"/>
    <n v="649"/>
    <n v="1415"/>
    <n v="64251"/>
    <n v="140085"/>
    <n v="75834"/>
    <s v="profit"/>
  </r>
  <r>
    <x v="223"/>
    <s v="june"/>
    <s v="Echo Real Estate"/>
    <x v="1"/>
    <s v="Suit"/>
    <s v="Uttar Pradesh"/>
    <s v="Male"/>
    <n v="97"/>
    <n v="917"/>
    <n v="844"/>
    <n v="88949"/>
    <n v="81868"/>
    <n v="-7081"/>
    <s v="loss"/>
  </r>
  <r>
    <x v="224"/>
    <s v="june"/>
    <s v="Pinnacle Health Products"/>
    <x v="1"/>
    <s v="Suit"/>
    <s v="Jharkhand"/>
    <s v="Female"/>
    <n v="57"/>
    <n v="793"/>
    <n v="761"/>
    <n v="45201"/>
    <n v="43377"/>
    <n v="-1824"/>
    <s v="loss"/>
  </r>
  <r>
    <x v="225"/>
    <s v="june"/>
    <s v="Apex Auto Care"/>
    <x v="1"/>
    <s v="Suit"/>
    <s v="Kerala"/>
    <s v="Female"/>
    <n v="84"/>
    <n v="931"/>
    <n v="1475"/>
    <n v="78204"/>
    <n v="123900"/>
    <n v="45696"/>
    <s v="profit"/>
  </r>
  <r>
    <x v="105"/>
    <s v="november"/>
    <s v="Radiance Solutions Co."/>
    <x v="1"/>
    <s v="Male dress"/>
    <s v="Jharkhand"/>
    <s v="Female"/>
    <n v="74"/>
    <n v="714"/>
    <n v="1148"/>
    <n v="52836"/>
    <n v="84952"/>
    <n v="32116"/>
    <s v="profit"/>
  </r>
  <r>
    <x v="226"/>
    <s v="june"/>
    <s v="Royal Glow Cosmetics"/>
    <x v="1"/>
    <s v="Suit"/>
    <s v="Maharashtra"/>
    <s v="Female"/>
    <n v="76"/>
    <n v="901"/>
    <n v="1471"/>
    <n v="68476"/>
    <n v="111796"/>
    <n v="43320"/>
    <s v="profit"/>
  </r>
  <r>
    <x v="227"/>
    <s v="june"/>
    <s v="Zenith Culinary Arts"/>
    <x v="1"/>
    <s v="Suit"/>
    <s v="Himachal Pradesh"/>
    <s v="Female"/>
    <n v="93"/>
    <n v="658"/>
    <n v="1303"/>
    <n v="61194"/>
    <n v="121179"/>
    <n v="59985"/>
    <s v="profit"/>
  </r>
  <r>
    <x v="108"/>
    <s v="november"/>
    <s v="Horizon Creative Solutions"/>
    <x v="1"/>
    <s v="Male dress"/>
    <s v="Delhi"/>
    <s v="Female"/>
    <n v="73"/>
    <n v="957"/>
    <n v="814"/>
    <n v="69861"/>
    <n v="59422"/>
    <n v="-10439"/>
    <s v="loss"/>
  </r>
  <r>
    <x v="228"/>
    <s v="june"/>
    <s v="Visionary Tours"/>
    <x v="1"/>
    <s v="Suit"/>
    <s v="Uttarakhand"/>
    <s v="Female"/>
    <n v="68"/>
    <n v="651"/>
    <n v="1061"/>
    <n v="44268"/>
    <n v="72148"/>
    <n v="27880"/>
    <s v="profit"/>
  </r>
  <r>
    <x v="229"/>
    <s v="june"/>
    <s v="Elite Essence Products"/>
    <x v="1"/>
    <s v="Saree"/>
    <s v="West Bengal"/>
    <s v="Male"/>
    <n v="98"/>
    <n v="596"/>
    <n v="1155"/>
    <n v="58408"/>
    <n v="113190"/>
    <n v="54782"/>
    <s v="profit"/>
  </r>
  <r>
    <x v="230"/>
    <s v="june"/>
    <s v="Dynamic Creations"/>
    <x v="1"/>
    <s v="Saree"/>
    <s v="Karnataka"/>
    <s v="Male"/>
    <n v="84"/>
    <n v="911"/>
    <n v="1370"/>
    <n v="76524"/>
    <n v="115080"/>
    <n v="38556"/>
    <s v="profit"/>
  </r>
  <r>
    <x v="231"/>
    <s v="june"/>
    <s v="Quantum Design Studio"/>
    <x v="1"/>
    <s v="Saree"/>
    <s v="Delhi"/>
    <s v="Male"/>
    <n v="81"/>
    <n v="702"/>
    <n v="1494"/>
    <n v="56862"/>
    <n v="121014"/>
    <n v="64152"/>
    <s v="profit"/>
  </r>
  <r>
    <x v="113"/>
    <s v="november"/>
    <s v="Urban Spectrum Solutions"/>
    <x v="2"/>
    <s v="TV"/>
    <s v="Telangana"/>
    <s v="Male"/>
    <n v="24"/>
    <n v="553"/>
    <n v="964"/>
    <n v="13272"/>
    <n v="23136"/>
    <n v="9864"/>
    <s v="profit"/>
  </r>
  <r>
    <x v="232"/>
    <s v="june"/>
    <s v="Apex Construction"/>
    <x v="1"/>
    <s v="Saree"/>
    <s v="West Bengal"/>
    <s v="Female"/>
    <n v="58"/>
    <n v="510"/>
    <n v="1456"/>
    <n v="29580"/>
    <n v="84448"/>
    <n v="54868"/>
    <s v="profit"/>
  </r>
  <r>
    <x v="233"/>
    <s v="june"/>
    <s v="Legacy Innovations"/>
    <x v="1"/>
    <s v="Suit"/>
    <s v="Tamil Nadu"/>
    <s v="Female"/>
    <n v="59"/>
    <n v="506"/>
    <n v="1498"/>
    <n v="29854"/>
    <n v="88382"/>
    <n v="58528"/>
    <s v="profit"/>
  </r>
  <r>
    <x v="234"/>
    <s v="june"/>
    <s v="Pure Harmony Foods"/>
    <x v="1"/>
    <s v="Suit"/>
    <s v="Karnataka"/>
    <s v="Male"/>
    <n v="51"/>
    <n v="868"/>
    <n v="938"/>
    <n v="44268"/>
    <n v="47838"/>
    <n v="3570"/>
    <s v="profit"/>
  </r>
  <r>
    <x v="117"/>
    <s v="november"/>
    <s v="Legacy Wellness Solutions"/>
    <x v="2"/>
    <s v="TV"/>
    <s v="Gujarat"/>
    <s v="Female"/>
    <n v="22"/>
    <n v="688"/>
    <n v="985"/>
    <n v="15136"/>
    <n v="21670"/>
    <n v="6534"/>
    <s v="profit"/>
  </r>
  <r>
    <x v="235"/>
    <s v="june"/>
    <s v="Zenith Security Systems"/>
    <x v="1"/>
    <s v="Suit"/>
    <s v="Telangana"/>
    <s v="Male"/>
    <n v="76"/>
    <n v="602"/>
    <n v="1356"/>
    <n v="45752"/>
    <n v="103056"/>
    <n v="57304"/>
    <s v="profit"/>
  </r>
  <r>
    <x v="119"/>
    <s v="november"/>
    <s v="Horizon Media Solutions"/>
    <x v="2"/>
    <s v="TV"/>
    <s v="Uttar Pradesh"/>
    <s v="Female"/>
    <n v="27"/>
    <n v="933"/>
    <n v="983"/>
    <n v="25191"/>
    <n v="26541"/>
    <n v="1350"/>
    <s v="profit"/>
  </r>
  <r>
    <x v="236"/>
    <s v="june"/>
    <s v="Crystal Clear Beverages"/>
    <x v="1"/>
    <s v="Suit"/>
    <s v="Gujarat"/>
    <s v="Male"/>
    <n v="55"/>
    <n v="928"/>
    <n v="1264"/>
    <n v="51040"/>
    <n v="69520"/>
    <n v="18480"/>
    <s v="profit"/>
  </r>
  <r>
    <x v="237"/>
    <s v="june"/>
    <s v="Metro Line Tech"/>
    <x v="1"/>
    <s v="Suit"/>
    <s v="Maharashtra"/>
    <s v="Male"/>
    <n v="74"/>
    <n v="758"/>
    <n v="765"/>
    <n v="56092"/>
    <n v="56610"/>
    <n v="518"/>
    <s v="profit"/>
  </r>
  <r>
    <x v="238"/>
    <s v="june"/>
    <s v="Urban Pulse Consulting"/>
    <x v="1"/>
    <s v="Suit"/>
    <s v="Rajasthan"/>
    <s v="Male"/>
    <n v="88"/>
    <n v="566"/>
    <n v="1093"/>
    <n v="49808"/>
    <n v="96184"/>
    <n v="46376"/>
    <s v="profit"/>
  </r>
  <r>
    <x v="239"/>
    <s v="july"/>
    <s v="Legacy Design Group"/>
    <x v="1"/>
    <s v="Saree"/>
    <s v="Punjab"/>
    <s v="Female"/>
    <n v="58"/>
    <n v="898"/>
    <n v="1068"/>
    <n v="52084"/>
    <n v="61944"/>
    <n v="9860"/>
    <s v="profit"/>
  </r>
  <r>
    <x v="240"/>
    <s v="july"/>
    <s v="Supreme Wellness"/>
    <x v="1"/>
    <s v="Saree"/>
    <s v="Chhattisgarh"/>
    <s v="Female"/>
    <n v="83"/>
    <n v="943"/>
    <n v="867"/>
    <n v="78269"/>
    <n v="71961"/>
    <n v="-6308"/>
    <s v="loss"/>
  </r>
  <r>
    <x v="241"/>
    <s v="july"/>
    <s v="Harmony Tech Innovations"/>
    <x v="1"/>
    <s v="Saree"/>
    <s v="West Bengal"/>
    <s v="Female"/>
    <n v="85"/>
    <n v="641"/>
    <n v="892"/>
    <n v="54485"/>
    <n v="75820"/>
    <n v="21335"/>
    <s v="profit"/>
  </r>
  <r>
    <x v="242"/>
    <s v="july"/>
    <s v="Stellar Education Services"/>
    <x v="1"/>
    <s v="Saree"/>
    <s v="West Bengal"/>
    <s v="Female"/>
    <n v="57"/>
    <n v="784"/>
    <n v="859"/>
    <n v="44688"/>
    <n v="48963"/>
    <n v="4275"/>
    <s v="profit"/>
  </r>
  <r>
    <x v="243"/>
    <s v="july"/>
    <s v="Visionary Health Products"/>
    <x v="1"/>
    <s v="Saree"/>
    <s v="Madhya Pradesh"/>
    <s v="Female"/>
    <n v="98"/>
    <n v="579"/>
    <n v="1046"/>
    <n v="56742"/>
    <n v="102508"/>
    <n v="45766"/>
    <s v="profit"/>
  </r>
  <r>
    <x v="244"/>
    <s v="july"/>
    <s v="Crystal Innovations"/>
    <x v="1"/>
    <s v="Saree"/>
    <s v="Jharkhand"/>
    <s v="Female"/>
    <n v="98"/>
    <n v="605"/>
    <n v="1155"/>
    <n v="59290"/>
    <n v="113190"/>
    <n v="53900"/>
    <s v="profit"/>
  </r>
  <r>
    <x v="129"/>
    <s v="november"/>
    <s v="Urban Vision Solutions"/>
    <x v="2"/>
    <s v="Laptop"/>
    <s v="Uttar Pradesh"/>
    <s v="Female"/>
    <n v="20"/>
    <n v="989"/>
    <n v="1298"/>
    <n v="19780"/>
    <n v="25960"/>
    <n v="6180"/>
    <s v="profit"/>
  </r>
  <r>
    <x v="245"/>
    <s v="july"/>
    <s v="Future Trends Retail"/>
    <x v="1"/>
    <s v="Saree"/>
    <s v="West Bengal"/>
    <s v="Female"/>
    <n v="63"/>
    <n v="952"/>
    <n v="824"/>
    <n v="59976"/>
    <n v="51912"/>
    <n v="-8064"/>
    <s v="loss"/>
  </r>
  <r>
    <x v="246"/>
    <s v="july"/>
    <s v="Radiant Horizon Ventures"/>
    <x v="1"/>
    <s v="Saree"/>
    <s v="Karnataka"/>
    <s v="Female"/>
    <n v="91"/>
    <n v="938"/>
    <n v="1156"/>
    <n v="85358"/>
    <n v="105196"/>
    <n v="19838"/>
    <s v="profit"/>
  </r>
  <r>
    <x v="132"/>
    <s v="december"/>
    <s v="Pinnacle Travel Solutions"/>
    <x v="2"/>
    <s v="Laptop"/>
    <s v="Rajasthan"/>
    <s v="Male"/>
    <n v="26"/>
    <n v="870"/>
    <n v="1123"/>
    <n v="22620"/>
    <n v="29198"/>
    <n v="6578"/>
    <s v="profit"/>
  </r>
  <r>
    <x v="247"/>
    <s v="july"/>
    <s v="Urban Edge Realty"/>
    <x v="1"/>
    <s v="Saree"/>
    <s v="Delhi"/>
    <s v="Male"/>
    <n v="66"/>
    <n v="512"/>
    <n v="1208"/>
    <n v="33792"/>
    <n v="79728"/>
    <n v="45936"/>
    <s v="profit"/>
  </r>
  <r>
    <x v="248"/>
    <s v="july"/>
    <s v="Prime Focus Innovations"/>
    <x v="1"/>
    <s v="Saree"/>
    <s v="Maharashtra"/>
    <s v="Male"/>
    <n v="88"/>
    <n v="691"/>
    <n v="1394"/>
    <n v="60808"/>
    <n v="122672"/>
    <n v="61864"/>
    <s v="profit"/>
  </r>
  <r>
    <x v="249"/>
    <s v="august"/>
    <s v="Elite Spectrum Consulting"/>
    <x v="1"/>
    <s v="Saree"/>
    <s v="West Bengal"/>
    <s v="Male"/>
    <n v="54"/>
    <n v="518"/>
    <n v="1106"/>
    <n v="27972"/>
    <n v="59724"/>
    <n v="31752"/>
    <s v="profit"/>
  </r>
  <r>
    <x v="250"/>
    <s v="august"/>
    <s v="Dynamic Design Studio"/>
    <x v="1"/>
    <s v="Saree"/>
    <s v="Tamil Nadu"/>
    <s v="Male"/>
    <n v="67"/>
    <n v="780"/>
    <n v="864"/>
    <n v="52260"/>
    <n v="57888"/>
    <n v="5628"/>
    <s v="profit"/>
  </r>
  <r>
    <x v="137"/>
    <s v="december"/>
    <s v="Harmony Health Solutions"/>
    <x v="2"/>
    <s v="Laptop"/>
    <s v="Himachal Pradesh"/>
    <s v="Male"/>
    <n v="23"/>
    <n v="945"/>
    <n v="1268"/>
    <n v="21735"/>
    <n v="29164"/>
    <n v="7429"/>
    <s v="profit"/>
  </r>
  <r>
    <x v="251"/>
    <s v="august"/>
    <s v="Royal Crest Foods"/>
    <x v="1"/>
    <s v="Suit"/>
    <s v="Telangana"/>
    <s v="Female"/>
    <n v="85"/>
    <n v="853"/>
    <n v="1453"/>
    <n v="72505"/>
    <n v="123505"/>
    <n v="51000"/>
    <s v="profit"/>
  </r>
  <r>
    <x v="252"/>
    <s v="august"/>
    <s v="Zenith Travels"/>
    <x v="1"/>
    <s v="Suit"/>
    <s v="Gujarat"/>
    <s v="Female"/>
    <n v="69"/>
    <n v="745"/>
    <n v="1075"/>
    <n v="51405"/>
    <n v="74175"/>
    <n v="22770"/>
    <s v="profit"/>
  </r>
  <r>
    <x v="140"/>
    <s v="december"/>
    <s v="Modern Vision Solutions"/>
    <x v="1"/>
    <s v="Saree"/>
    <s v="Punjab"/>
    <s v="Male"/>
    <n v="78"/>
    <n v="522"/>
    <n v="1064"/>
    <n v="40716"/>
    <n v="82992"/>
    <n v="42276"/>
    <s v="profit"/>
  </r>
  <r>
    <x v="253"/>
    <s v="august"/>
    <s v="Quantum Media Group"/>
    <x v="1"/>
    <s v="Saree"/>
    <s v="Uttar Pradesh"/>
    <s v="Female"/>
    <n v="63"/>
    <n v="525"/>
    <n v="1182"/>
    <n v="33075"/>
    <n v="74466"/>
    <n v="41391"/>
    <s v="profit"/>
  </r>
  <r>
    <x v="254"/>
    <s v="august"/>
    <s v="Legacy Builders"/>
    <x v="1"/>
    <s v="Saree"/>
    <s v="Jharkhand"/>
    <s v="Female"/>
    <n v="73"/>
    <n v="709"/>
    <n v="1344"/>
    <n v="51757"/>
    <n v="98112"/>
    <n v="46355"/>
    <s v="profit"/>
  </r>
  <r>
    <x v="255"/>
    <s v="august"/>
    <s v="Apex Spa &amp; Wellness"/>
    <x v="1"/>
    <s v="Saree"/>
    <s v="Kerala"/>
    <s v="Female"/>
    <n v="74"/>
    <n v="914"/>
    <n v="1031"/>
    <n v="67636"/>
    <n v="76294"/>
    <n v="8658"/>
    <s v="profit"/>
  </r>
  <r>
    <x v="256"/>
    <s v="august"/>
    <s v="Radiant Travel Services"/>
    <x v="1"/>
    <s v="Saree"/>
    <s v="Maharashtra"/>
    <s v="Female"/>
    <n v="84"/>
    <n v="558"/>
    <n v="1477"/>
    <n v="46872"/>
    <n v="124068"/>
    <n v="77196"/>
    <s v="profit"/>
  </r>
  <r>
    <x v="145"/>
    <s v="december"/>
    <s v="Radiant Educational Solutions"/>
    <x v="1"/>
    <s v="Saree"/>
    <s v="Uttar Pradesh"/>
    <s v="Female"/>
    <n v="60"/>
    <n v="642"/>
    <n v="1110"/>
    <n v="38520"/>
    <n v="66600"/>
    <n v="28080"/>
    <s v="profit"/>
  </r>
  <r>
    <x v="257"/>
    <s v="august"/>
    <s v="Modern Trends Consulting"/>
    <x v="1"/>
    <s v="Saree"/>
    <s v="Himachal Pradesh"/>
    <s v="Female"/>
    <n v="99"/>
    <n v="934"/>
    <n v="1318"/>
    <n v="92466"/>
    <n v="130482"/>
    <n v="38016"/>
    <s v="profit"/>
  </r>
  <r>
    <x v="258"/>
    <s v="august"/>
    <s v="Global Horizon Ventures"/>
    <x v="1"/>
    <s v="Saree"/>
    <s v="Uttarakhand"/>
    <s v="Female"/>
    <n v="52"/>
    <n v="576"/>
    <n v="1419"/>
    <n v="29952"/>
    <n v="73788"/>
    <n v="43836"/>
    <s v="profit"/>
  </r>
  <r>
    <x v="259"/>
    <s v="august"/>
    <s v="Elite Enterprises"/>
    <x v="1"/>
    <s v="Saree"/>
    <s v="Assam"/>
    <s v="Male"/>
    <n v="98"/>
    <n v="769"/>
    <n v="1277"/>
    <n v="75362"/>
    <n v="125146"/>
    <n v="49784"/>
    <s v="profit"/>
  </r>
  <r>
    <x v="149"/>
    <s v="december"/>
    <s v="Zenith Creative Solutions"/>
    <x v="1"/>
    <s v="Saree"/>
    <s v="Uttar Pradesh"/>
    <s v="Female"/>
    <n v="86"/>
    <n v="668"/>
    <n v="1278"/>
    <n v="57448"/>
    <n v="109908"/>
    <n v="52460"/>
    <s v="profit"/>
  </r>
  <r>
    <x v="260"/>
    <s v="september"/>
    <s v="Pinnacle Health Innovations"/>
    <x v="1"/>
    <s v="Saree"/>
    <s v="Chhattisgarh"/>
    <s v="Male"/>
    <n v="73"/>
    <n v="627"/>
    <n v="769"/>
    <n v="45771"/>
    <n v="56137"/>
    <n v="10366"/>
    <s v="profit"/>
  </r>
  <r>
    <x v="151"/>
    <s v="december"/>
    <s v="Pure Vision Solutions"/>
    <x v="1"/>
    <s v="Suit"/>
    <s v="Kerala"/>
    <s v="Female"/>
    <n v="57"/>
    <n v="995"/>
    <n v="912"/>
    <n v="56715"/>
    <n v="51984"/>
    <n v="-4731"/>
    <s v="loss"/>
  </r>
  <r>
    <x v="261"/>
    <s v="september"/>
    <s v="Horizon Fashion"/>
    <x v="1"/>
    <s v="Suit"/>
    <s v="West Bengal"/>
    <s v="Male"/>
    <n v="93"/>
    <n v="847"/>
    <n v="1258"/>
    <n v="78771"/>
    <n v="116994"/>
    <n v="38223"/>
    <s v="profit"/>
  </r>
  <r>
    <x v="262"/>
    <s v="september"/>
    <s v="Crystal Essence Beverages"/>
    <x v="1"/>
    <s v="Suit"/>
    <s v="West Bengal"/>
    <s v="Male"/>
    <n v="84"/>
    <n v="522"/>
    <n v="929"/>
    <n v="43848"/>
    <n v="78036"/>
    <n v="34188"/>
    <s v="profit"/>
  </r>
  <r>
    <x v="263"/>
    <s v="september"/>
    <s v="Dynamic Pathways"/>
    <x v="1"/>
    <s v="Suit"/>
    <s v="Madhya Pradesh"/>
    <s v="Female"/>
    <n v="85"/>
    <n v="564"/>
    <n v="1049"/>
    <n v="47940"/>
    <n v="89165"/>
    <n v="41225"/>
    <s v="profit"/>
  </r>
  <r>
    <x v="264"/>
    <s v="september"/>
    <s v="Radiance Apparel"/>
    <x v="1"/>
    <s v="Suit"/>
    <s v="West Bengal"/>
    <s v="Female"/>
    <n v="93"/>
    <n v="579"/>
    <n v="1402"/>
    <n v="53847"/>
    <n v="130386"/>
    <n v="76539"/>
    <s v="profit"/>
  </r>
  <r>
    <x v="156"/>
    <s v="december"/>
    <s v="Harmony Edge Solutions"/>
    <x v="1"/>
    <s v="Suit"/>
    <s v="Punjab"/>
    <s v="Male"/>
    <n v="93"/>
    <n v="886"/>
    <n v="1199"/>
    <n v="82398"/>
    <n v="111507"/>
    <n v="29109"/>
    <s v="profit"/>
  </r>
  <r>
    <x v="265"/>
    <s v="september"/>
    <s v="Zenith Design Group"/>
    <x v="1"/>
    <s v="Suit"/>
    <s v="Karnataka"/>
    <s v="Male"/>
    <n v="56"/>
    <n v="724"/>
    <n v="1391"/>
    <n v="40544"/>
    <n v="77896"/>
    <n v="37352"/>
    <s v="profit"/>
  </r>
  <r>
    <x v="266"/>
    <s v="september"/>
    <s v="Modern Horizons Consulting"/>
    <x v="1"/>
    <s v="Suit"/>
    <s v="Maharashtra"/>
    <s v="Male"/>
    <n v="60"/>
    <n v="783"/>
    <n v="881"/>
    <n v="46980"/>
    <n v="52860"/>
    <n v="5880"/>
    <s v="profit"/>
  </r>
  <r>
    <x v="267"/>
    <s v="september"/>
    <s v="Apex Realty Services"/>
    <x v="1"/>
    <s v="Suit"/>
    <s v="Madhya Pradesh"/>
    <s v="Male"/>
    <n v="81"/>
    <n v="948"/>
    <n v="904"/>
    <n v="76788"/>
    <n v="73224"/>
    <n v="-3564"/>
    <s v="loss"/>
  </r>
  <r>
    <x v="268"/>
    <s v="september"/>
    <s v="Zenith Educational Group"/>
    <x v="1"/>
    <s v="Suit"/>
    <s v="Maharashtra"/>
    <s v="Male"/>
    <n v="80"/>
    <n v="771"/>
    <n v="1090"/>
    <n v="61680"/>
    <n v="87200"/>
    <n v="25520"/>
    <s v="profit"/>
  </r>
  <r>
    <x v="269"/>
    <s v="september"/>
    <s v="True Path Ventures"/>
    <x v="1"/>
    <s v="Suit"/>
    <s v="Chandigarh"/>
    <s v="Female"/>
    <n v="88"/>
    <n v="943"/>
    <n v="1082"/>
    <n v="82984"/>
    <n v="95216"/>
    <n v="12232"/>
    <s v="profit"/>
  </r>
  <r>
    <x v="270"/>
    <s v="september"/>
    <s v="Radiance Media"/>
    <x v="1"/>
    <s v="Suit"/>
    <s v="Madhya Pradesh"/>
    <s v="Male"/>
    <n v="68"/>
    <n v="909"/>
    <n v="1329"/>
    <n v="61812"/>
    <n v="90372"/>
    <n v="28560"/>
    <s v="profit"/>
  </r>
  <r>
    <x v="163"/>
    <s v="january"/>
    <s v="Pinnacle Media Solutions"/>
    <x v="0"/>
    <s v="Car accessories"/>
    <s v="Karnataka"/>
    <s v="Female"/>
    <n v="11"/>
    <n v="676"/>
    <n v="1050"/>
    <n v="7436"/>
    <n v="11550"/>
    <n v="4114"/>
    <s v="profit"/>
  </r>
  <r>
    <x v="271"/>
    <s v="september"/>
    <s v="Legacy Health Systems"/>
    <x v="1"/>
    <s v="Suit"/>
    <s v="Andhra Pradesh"/>
    <s v="Male"/>
    <n v="65"/>
    <n v="568"/>
    <n v="1482"/>
    <n v="36920"/>
    <n v="96330"/>
    <n v="59410"/>
    <s v="profit"/>
  </r>
  <r>
    <x v="165"/>
    <s v="january"/>
    <s v="Radiant Tech Solutions"/>
    <x v="0"/>
    <s v="Car accessories"/>
    <s v="Maharashtra"/>
    <s v="Female"/>
    <n v="13"/>
    <n v="521"/>
    <n v="1433"/>
    <n v="6773"/>
    <n v="18629"/>
    <n v="11856"/>
    <s v="profit"/>
  </r>
  <r>
    <x v="272"/>
    <s v="september"/>
    <s v="Urban Focus Products"/>
    <x v="1"/>
    <s v="Suit"/>
    <s v="Bihar"/>
    <s v="Male"/>
    <n v="58"/>
    <n v="758"/>
    <n v="1241"/>
    <n v="43964"/>
    <n v="71978"/>
    <n v="28014"/>
    <s v="profit"/>
  </r>
  <r>
    <x v="167"/>
    <s v="january"/>
    <s v="Elite Creative Solutions"/>
    <x v="0"/>
    <s v="Car accessories"/>
    <s v="Chhattisgarh"/>
    <s v="Female"/>
    <n v="16"/>
    <n v="887"/>
    <n v="1059"/>
    <n v="14192"/>
    <n v="16944"/>
    <n v="2752"/>
    <s v="profit"/>
  </r>
  <r>
    <x v="273"/>
    <s v="october"/>
    <s v="Visionary Innovations"/>
    <x v="1"/>
    <s v="Saree"/>
    <s v="Jharkhand"/>
    <s v="Female"/>
    <n v="61"/>
    <n v="604"/>
    <n v="1251"/>
    <n v="36844"/>
    <n v="76311"/>
    <n v="39467"/>
    <s v="profit"/>
  </r>
  <r>
    <x v="274"/>
    <s v="october"/>
    <s v="Horizon Design Studio"/>
    <x v="1"/>
    <s v="Saree"/>
    <s v="Kerala"/>
    <s v="Female"/>
    <n v="62"/>
    <n v="641"/>
    <n v="869"/>
    <n v="39742"/>
    <n v="53878"/>
    <n v="14136"/>
    <s v="profit"/>
  </r>
  <r>
    <x v="275"/>
    <s v="october"/>
    <s v="Legacy Tech Products"/>
    <x v="1"/>
    <s v="Saree"/>
    <s v="Himachal Pradesh"/>
    <s v="Female"/>
    <n v="53"/>
    <n v="913"/>
    <n v="1369"/>
    <n v="48389"/>
    <n v="72557"/>
    <n v="24168"/>
    <s v="profit"/>
  </r>
  <r>
    <x v="276"/>
    <s v="october"/>
    <s v="Pinnacle Wellness Services"/>
    <x v="1"/>
    <s v="Saree"/>
    <s v="Uttarakhand"/>
    <s v="Female"/>
    <n v="56"/>
    <n v="840"/>
    <n v="1353"/>
    <n v="47040"/>
    <n v="75768"/>
    <n v="28728"/>
    <s v="profit"/>
  </r>
  <r>
    <x v="277"/>
    <s v="october"/>
    <s v="Urban Insight Consulting"/>
    <x v="1"/>
    <s v="Suit"/>
    <s v="Assam"/>
    <s v="Female"/>
    <n v="85"/>
    <n v="541"/>
    <n v="1331"/>
    <n v="45985"/>
    <n v="113135"/>
    <n v="67150"/>
    <s v="profit"/>
  </r>
  <r>
    <x v="278"/>
    <s v="october"/>
    <s v="Crystal Horizons"/>
    <x v="1"/>
    <s v="Suit"/>
    <s v="Punjab"/>
    <s v="Female"/>
    <n v="56"/>
    <n v="611"/>
    <n v="1240"/>
    <n v="34216"/>
    <n v="69440"/>
    <n v="35224"/>
    <s v="profit"/>
  </r>
  <r>
    <x v="174"/>
    <s v="january"/>
    <s v="Pinnacle Design Solutions"/>
    <x v="1"/>
    <s v="Suit"/>
    <s v="Rajasthan"/>
    <s v="Male"/>
    <n v="90"/>
    <n v="554"/>
    <n v="940"/>
    <n v="49860"/>
    <n v="84600"/>
    <n v="34740"/>
    <s v="profit"/>
  </r>
  <r>
    <x v="279"/>
    <s v="october"/>
    <s v="Radiant Apparel"/>
    <x v="1"/>
    <s v="Suit"/>
    <s v="Chhattisgarh"/>
    <s v="Female"/>
    <n v="91"/>
    <n v="867"/>
    <n v="957"/>
    <n v="78897"/>
    <n v="87087"/>
    <n v="8190"/>
    <s v="profit"/>
  </r>
  <r>
    <x v="280"/>
    <s v="october"/>
    <s v="True Value Products"/>
    <x v="1"/>
    <s v="Suit"/>
    <s v="West Bengal"/>
    <s v="Female"/>
    <n v="95"/>
    <n v="508"/>
    <n v="783"/>
    <n v="48260"/>
    <n v="74385"/>
    <n v="26125"/>
    <s v="profit"/>
  </r>
  <r>
    <x v="281"/>
    <s v="october"/>
    <s v="Zenith Health Products"/>
    <x v="1"/>
    <s v="Suit"/>
    <s v="Madhya Pradesh"/>
    <s v="Male"/>
    <n v="75"/>
    <n v="549"/>
    <n v="1108"/>
    <n v="41175"/>
    <n v="83100"/>
    <n v="41925"/>
    <s v="profit"/>
  </r>
  <r>
    <x v="282"/>
    <s v="october"/>
    <s v="Stellar Wellness Products"/>
    <x v="1"/>
    <s v="Women dress"/>
    <s v="Kerala"/>
    <s v="Male"/>
    <n v="95"/>
    <n v="845"/>
    <n v="1102"/>
    <n v="80275"/>
    <n v="104690"/>
    <n v="24415"/>
    <s v="profit"/>
  </r>
  <r>
    <x v="283"/>
    <s v="october"/>
    <s v="Radiant Consulting Group"/>
    <x v="1"/>
    <s v="Women dress"/>
    <s v="Maharashtra"/>
    <s v="Male"/>
    <n v="86"/>
    <n v="949"/>
    <n v="924"/>
    <n v="81614"/>
    <n v="79464"/>
    <n v="-2150"/>
    <s v="loss"/>
  </r>
  <r>
    <x v="180"/>
    <s v="january"/>
    <s v="Pure Harmony Solutions"/>
    <x v="0"/>
    <s v="Home décor"/>
    <s v="Uttarakhand"/>
    <s v="Female"/>
    <n v="11"/>
    <n v="587"/>
    <n v="1386"/>
    <n v="6457"/>
    <n v="15246"/>
    <n v="8789"/>
    <s v="profit"/>
  </r>
  <r>
    <x v="284"/>
    <s v="october"/>
    <s v="Harmony Ventures Co."/>
    <x v="1"/>
    <s v="Women dress"/>
    <s v="Himachal Pradesh"/>
    <s v="Female"/>
    <n v="73"/>
    <n v="801"/>
    <n v="1092"/>
    <n v="58473"/>
    <n v="79716"/>
    <n v="21243"/>
    <s v="profit"/>
  </r>
  <r>
    <x v="285"/>
    <s v="october"/>
    <s v="Urban Path Technologies"/>
    <x v="1"/>
    <s v="Women dress"/>
    <s v="Uttarakhand"/>
    <s v="Male"/>
    <n v="70"/>
    <n v="699"/>
    <n v="1090"/>
    <n v="48930"/>
    <n v="76300"/>
    <n v="27370"/>
    <s v="profit"/>
  </r>
  <r>
    <x v="286"/>
    <s v="november"/>
    <s v="Modern Vision Ventures"/>
    <x v="1"/>
    <s v="Male dress"/>
    <s v="West Bengal"/>
    <s v="Female"/>
    <n v="67"/>
    <n v="674"/>
    <n v="1413"/>
    <n v="45158"/>
    <n v="94671"/>
    <n v="49513"/>
    <s v="profit"/>
  </r>
  <r>
    <x v="287"/>
    <s v="november"/>
    <s v="Elite Travel Services"/>
    <x v="1"/>
    <s v="Male dress"/>
    <s v="Karnataka"/>
    <s v="Female"/>
    <n v="55"/>
    <n v="599"/>
    <n v="1482"/>
    <n v="32945"/>
    <n v="81510"/>
    <n v="48565"/>
    <s v="profit"/>
  </r>
  <r>
    <x v="288"/>
    <s v="november"/>
    <s v="Crystal Innovations Group"/>
    <x v="1"/>
    <s v="Male dress"/>
    <s v="Maharashtra"/>
    <s v="Female"/>
    <n v="90"/>
    <n v="962"/>
    <n v="1495"/>
    <n v="86580"/>
    <n v="134550"/>
    <n v="47970"/>
    <s v="profit"/>
  </r>
  <r>
    <x v="186"/>
    <s v="january"/>
    <s v="Zenith Path Solutions"/>
    <x v="0"/>
    <s v="Home décor"/>
    <s v="Madhya Pradesh"/>
    <s v="Female"/>
    <n v="18"/>
    <n v="910"/>
    <n v="1065"/>
    <n v="16380"/>
    <n v="19170"/>
    <n v="2790"/>
    <s v="profit"/>
  </r>
  <r>
    <x v="289"/>
    <s v="november"/>
    <s v="Pinnacle Fitness Studio"/>
    <x v="1"/>
    <s v="Male dress"/>
    <s v="West Bengal"/>
    <s v="Female"/>
    <n v="71"/>
    <n v="739"/>
    <n v="1353"/>
    <n v="52469"/>
    <n v="96063"/>
    <n v="43594"/>
    <s v="profit"/>
  </r>
  <r>
    <x v="290"/>
    <s v="november"/>
    <s v="Stellar Travel Agency"/>
    <x v="1"/>
    <s v="Male dress"/>
    <s v="Tamil Nadu"/>
    <s v="Female"/>
    <n v="63"/>
    <n v="691"/>
    <n v="1058"/>
    <n v="43533"/>
    <n v="66654"/>
    <n v="23121"/>
    <s v="profit"/>
  </r>
  <r>
    <x v="291"/>
    <s v="december"/>
    <s v="Apex Travel Ventures"/>
    <x v="1"/>
    <s v="Saree"/>
    <s v="Assam"/>
    <s v="Male"/>
    <n v="99"/>
    <n v="705"/>
    <n v="1356"/>
    <n v="69795"/>
    <n v="134244"/>
    <n v="64449"/>
    <s v="profit"/>
  </r>
  <r>
    <x v="190"/>
    <s v="january"/>
    <s v="Legacy Media Solutions"/>
    <x v="0"/>
    <s v="Home décor"/>
    <s v="Jharkhand"/>
    <s v="Male"/>
    <n v="11"/>
    <n v="543"/>
    <n v="1153"/>
    <n v="5973"/>
    <n v="12683"/>
    <n v="6710"/>
    <s v="profit"/>
  </r>
  <r>
    <x v="292"/>
    <s v="december"/>
    <s v="True Path Consulting"/>
    <x v="1"/>
    <s v="Saree"/>
    <s v="Chhattisgarh"/>
    <s v="Female"/>
    <n v="74"/>
    <n v="922"/>
    <n v="970"/>
    <n v="68228"/>
    <n v="71780"/>
    <n v="3552"/>
    <s v="profit"/>
  </r>
  <r>
    <x v="293"/>
    <s v="december"/>
    <s v="Legacy Finance Group"/>
    <x v="1"/>
    <s v="Saree"/>
    <s v="West Bengal"/>
    <s v="Female"/>
    <n v="72"/>
    <n v="560"/>
    <n v="918"/>
    <n v="40320"/>
    <n v="66096"/>
    <n v="25776"/>
    <s v="profit"/>
  </r>
  <r>
    <x v="294"/>
    <s v="december"/>
    <s v="Pinnacle Design Ventures"/>
    <x v="1"/>
    <s v="Saree"/>
    <s v="Gujarat"/>
    <s v="Female"/>
    <n v="59"/>
    <n v="834"/>
    <n v="951"/>
    <n v="49206"/>
    <n v="56109"/>
    <n v="6903"/>
    <s v="profit"/>
  </r>
  <r>
    <x v="295"/>
    <s v="december"/>
    <s v="Stellar Innovations Co."/>
    <x v="1"/>
    <s v="Saree"/>
    <s v="Uttar Pradesh"/>
    <s v="Female"/>
    <n v="83"/>
    <n v="840"/>
    <n v="828"/>
    <n v="69720"/>
    <n v="68724"/>
    <n v="-996"/>
    <s v="loss"/>
  </r>
  <r>
    <x v="296"/>
    <s v="december"/>
    <s v="Harmony Marketing Co."/>
    <x v="1"/>
    <s v="Saree"/>
    <s v="Tamil Nadu"/>
    <s v="Female"/>
    <n v="64"/>
    <n v="965"/>
    <n v="1357"/>
    <n v="61760"/>
    <n v="86848"/>
    <n v="25088"/>
    <s v="profit"/>
  </r>
  <r>
    <x v="297"/>
    <s v="december"/>
    <s v="Urban Tech Innovations"/>
    <x v="1"/>
    <s v="Saree"/>
    <s v="Tamil Nadu"/>
    <s v="Female"/>
    <n v="59"/>
    <n v="671"/>
    <n v="1410"/>
    <n v="39589"/>
    <n v="83190"/>
    <n v="43601"/>
    <s v="profit"/>
  </r>
  <r>
    <x v="298"/>
    <s v="december"/>
    <s v="Crystal Wellness Group"/>
    <x v="1"/>
    <s v="Saree"/>
    <s v="Rajasthan"/>
    <s v="Female"/>
    <n v="85"/>
    <n v="761"/>
    <n v="926"/>
    <n v="64685"/>
    <n v="78710"/>
    <n v="14025"/>
    <s v="profit"/>
  </r>
  <r>
    <x v="299"/>
    <s v="december"/>
    <s v="Apex Media Co."/>
    <x v="1"/>
    <s v="Saree"/>
    <s v="Jharkhand"/>
    <s v="Female"/>
    <n v="81"/>
    <n v="522"/>
    <n v="1238"/>
    <n v="42282"/>
    <n v="100278"/>
    <n v="57996"/>
    <s v="profit"/>
  </r>
  <r>
    <x v="300"/>
    <s v="december"/>
    <s v="Legacy Health Ventures"/>
    <x v="1"/>
    <s v="Suit"/>
    <s v="Maharashtra"/>
    <s v="Female"/>
    <n v="72"/>
    <n v="943"/>
    <n v="1233"/>
    <n v="67896"/>
    <n v="88776"/>
    <n v="20880"/>
    <s v="profit"/>
  </r>
  <r>
    <x v="301"/>
    <s v="december"/>
    <s v="Pinnacle Spectrum Co."/>
    <x v="1"/>
    <s v="Suit"/>
    <s v="Himachal Pradesh"/>
    <s v="Female"/>
    <n v="67"/>
    <n v="801"/>
    <n v="1220"/>
    <n v="53667"/>
    <n v="81740"/>
    <n v="28073"/>
    <s v="profit"/>
  </r>
  <r>
    <x v="195"/>
    <s v="february"/>
    <s v="Radiant Solutions Co."/>
    <x v="2"/>
    <s v="Laptop"/>
    <s v="Jharkhand"/>
    <s v="Female"/>
    <n v="29"/>
    <n v="725"/>
    <n v="792"/>
    <n v="21025"/>
    <n v="22968"/>
    <n v="1943"/>
    <s v="profit"/>
  </r>
  <r>
    <x v="302"/>
    <s v="december"/>
    <s v="Stellar Travel Products"/>
    <x v="1"/>
    <s v="Suit"/>
    <s v="Uttarakhand"/>
    <s v="Female"/>
    <n v="57"/>
    <n v="647"/>
    <n v="905"/>
    <n v="36879"/>
    <n v="51585"/>
    <n v="14706"/>
    <s v="profit"/>
  </r>
  <r>
    <x v="303"/>
    <s v="december"/>
    <s v="Radiance Finance Services"/>
    <x v="1"/>
    <s v="Suit"/>
    <s v="Assam"/>
    <s v="Female"/>
    <n v="91"/>
    <n v="906"/>
    <n v="925"/>
    <n v="82446"/>
    <n v="84175"/>
    <n v="1729"/>
    <s v="profit"/>
  </r>
  <r>
    <x v="304"/>
    <s v="december"/>
    <s v="Modern Travel Agency"/>
    <x v="1"/>
    <s v="Suit"/>
    <s v="Chhattisgarh"/>
    <s v="Male"/>
    <n v="82"/>
    <n v="955"/>
    <n v="1218"/>
    <n v="78310"/>
    <n v="99876"/>
    <n v="21566"/>
    <s v="profit"/>
  </r>
  <r>
    <x v="196"/>
    <s v="february"/>
    <s v="Modern Travel Solutions"/>
    <x v="1"/>
    <s v="Saree"/>
    <s v="Tamil Nadu"/>
    <s v="Female"/>
    <n v="59"/>
    <n v="725"/>
    <n v="1113"/>
    <n v="42775"/>
    <n v="65667"/>
    <n v="22892"/>
    <s v="profit"/>
  </r>
  <r>
    <x v="305"/>
    <s v="december"/>
    <s v="Crystal Path Consulting"/>
    <x v="1"/>
    <s v="Suit"/>
    <s v="West Bengal"/>
    <s v="Male"/>
    <n v="72"/>
    <n v="829"/>
    <n v="1165"/>
    <n v="59688"/>
    <n v="83880"/>
    <n v="24192"/>
    <s v="profit"/>
  </r>
  <r>
    <x v="306"/>
    <s v="december"/>
    <s v="Zenith Educational Services"/>
    <x v="1"/>
    <s v="Suit"/>
    <s v="West Bengal"/>
    <s v="Male"/>
    <n v="62"/>
    <n v="680"/>
    <n v="912"/>
    <n v="42160"/>
    <n v="56544"/>
    <n v="14384"/>
    <s v="profit"/>
  </r>
  <r>
    <x v="307"/>
    <s v="december"/>
    <s v="Apex Innovations Co."/>
    <x v="1"/>
    <s v="Suit"/>
    <s v="Madhya Pradesh"/>
    <s v="Male"/>
    <n v="67"/>
    <n v="600"/>
    <n v="1328"/>
    <n v="40200"/>
    <n v="88976"/>
    <n v="48776"/>
    <s v="profit"/>
  </r>
  <r>
    <x v="308"/>
    <s v="january"/>
    <s v="Pure Harmony Health"/>
    <x v="1"/>
    <s v="Suit"/>
    <s v="Jharkhand"/>
    <s v="Female"/>
    <n v="97"/>
    <n v="946"/>
    <n v="1297"/>
    <n v="91762"/>
    <n v="125809"/>
    <n v="34047"/>
    <s v="profit"/>
  </r>
  <r>
    <x v="309"/>
    <s v="january"/>
    <s v="Apex Travel Innovations"/>
    <x v="1"/>
    <s v="Saree"/>
    <s v="Gujarat"/>
    <s v="Male"/>
    <n v="62"/>
    <n v="800"/>
    <n v="882"/>
    <n v="49600"/>
    <n v="54684"/>
    <n v="5084"/>
    <s v="profit"/>
  </r>
  <r>
    <x v="310"/>
    <s v="january"/>
    <s v="Modern Health Products"/>
    <x v="1"/>
    <s v="Saree"/>
    <s v="Uttar Pradesh"/>
    <s v="Male"/>
    <n v="65"/>
    <n v="875"/>
    <n v="1361"/>
    <n v="56875"/>
    <n v="88465"/>
    <n v="31590"/>
    <s v="profit"/>
  </r>
  <r>
    <x v="197"/>
    <s v="february"/>
    <s v="Zenith Tech Solutions"/>
    <x v="1"/>
    <s v="Saree"/>
    <s v="Himachal Pradesh"/>
    <s v="Male"/>
    <n v="100"/>
    <n v="831"/>
    <n v="1466"/>
    <n v="83100"/>
    <n v="146600"/>
    <n v="63500"/>
    <s v="profit"/>
  </r>
  <r>
    <x v="311"/>
    <s v="january"/>
    <s v="Harmony Finance Group"/>
    <x v="1"/>
    <s v="Saree"/>
    <s v="Uttar Pradesh"/>
    <s v="Male"/>
    <n v="88"/>
    <n v="823"/>
    <n v="1026"/>
    <n v="72424"/>
    <n v="90288"/>
    <n v="17864"/>
    <s v="profit"/>
  </r>
  <r>
    <x v="312"/>
    <s v="january"/>
    <s v="Pure Vision Consulting"/>
    <x v="1"/>
    <s v="Saree"/>
    <s v="Tamil Nadu"/>
    <s v="Female"/>
    <n v="54"/>
    <n v="664"/>
    <n v="761"/>
    <n v="35856"/>
    <n v="41094"/>
    <n v="5238"/>
    <s v="profit"/>
  </r>
  <r>
    <x v="313"/>
    <s v="january"/>
    <s v="Legacy Spectrum Co."/>
    <x v="1"/>
    <s v="Saree"/>
    <s v="Tamil Nadu"/>
    <s v="Male"/>
    <n v="52"/>
    <n v="538"/>
    <n v="1257"/>
    <n v="27976"/>
    <n v="65364"/>
    <n v="37388"/>
    <s v="profit"/>
  </r>
  <r>
    <x v="314"/>
    <s v="january"/>
    <s v="Stellar Media Services"/>
    <x v="1"/>
    <s v="Suit"/>
    <s v="Uttar Pradesh"/>
    <s v="Male"/>
    <n v="81"/>
    <n v="556"/>
    <n v="1345"/>
    <n v="45036"/>
    <n v="108945"/>
    <n v="63909"/>
    <s v="profit"/>
  </r>
  <r>
    <x v="315"/>
    <s v="january"/>
    <s v="Radiant Innovations Group"/>
    <x v="1"/>
    <s v="Suit"/>
    <s v="Jharkhand"/>
    <s v="Male"/>
    <n v="72"/>
    <n v="608"/>
    <n v="1209"/>
    <n v="43776"/>
    <n v="87048"/>
    <n v="43272"/>
    <s v="profit"/>
  </r>
  <r>
    <x v="316"/>
    <s v="january"/>
    <s v="Horizon Path Ventures"/>
    <x v="1"/>
    <s v="Suit"/>
    <s v="Kerala"/>
    <s v="Female"/>
    <n v="61"/>
    <n v="994"/>
    <n v="886"/>
    <n v="60634"/>
    <n v="54046"/>
    <n v="-6588"/>
    <s v="loss"/>
  </r>
  <r>
    <x v="317"/>
    <s v="january"/>
    <s v="Zenith Tech Co."/>
    <x v="1"/>
    <s v="Suit"/>
    <s v="Maharashtra"/>
    <s v="Female"/>
    <n v="57"/>
    <n v="566"/>
    <n v="830"/>
    <n v="32262"/>
    <n v="47310"/>
    <n v="15048"/>
    <s v="profit"/>
  </r>
  <r>
    <x v="318"/>
    <s v="january"/>
    <s v="Apex Finance Ventures"/>
    <x v="1"/>
    <s v="Suit"/>
    <s v="Himachal Pradesh"/>
    <s v="Female"/>
    <n v="50"/>
    <n v="714"/>
    <n v="1071"/>
    <n v="35700"/>
    <n v="53550"/>
    <n v="17850"/>
    <s v="profit"/>
  </r>
  <r>
    <x v="319"/>
    <s v="february"/>
    <s v="Zenith Wellness Co."/>
    <x v="1"/>
    <s v="Saree"/>
    <s v="Uttar Pradesh"/>
    <s v="Female"/>
    <n v="80"/>
    <n v="636"/>
    <n v="1259"/>
    <n v="50880"/>
    <n v="100720"/>
    <n v="49840"/>
    <s v="profit"/>
  </r>
  <r>
    <x v="320"/>
    <s v="february"/>
    <s v="Apex Design Services"/>
    <x v="1"/>
    <s v="Saree"/>
    <s v="Uttar Pradesh"/>
    <s v="Female"/>
    <n v="50"/>
    <n v="581"/>
    <n v="1380"/>
    <n v="29050"/>
    <n v="69000"/>
    <n v="39950"/>
    <s v="profit"/>
  </r>
  <r>
    <x v="6"/>
    <s v="april"/>
    <s v="Apex Solutions"/>
    <x v="1"/>
    <s v="Women dress"/>
    <s v="Gujarat"/>
    <s v="Male"/>
    <n v="78"/>
    <n v="655"/>
    <n v="790"/>
    <n v="51090"/>
    <n v="61620"/>
    <n v="10530"/>
    <s v="profit"/>
  </r>
  <r>
    <x v="321"/>
    <s v="february"/>
    <s v="Pure Health Ventures"/>
    <x v="1"/>
    <s v="Saree"/>
    <s v="Tamil Nadu"/>
    <s v="Female"/>
    <n v="78"/>
    <n v="964"/>
    <n v="1264"/>
    <n v="75192"/>
    <n v="98592"/>
    <n v="23400"/>
    <s v="profit"/>
  </r>
  <r>
    <x v="322"/>
    <s v="february"/>
    <s v="Legacy Spectrum Group"/>
    <x v="1"/>
    <s v="Saree"/>
    <s v="Rajasthan"/>
    <s v="Male"/>
    <n v="97"/>
    <n v="982"/>
    <n v="1243"/>
    <n v="95254"/>
    <n v="120571"/>
    <n v="25317"/>
    <s v="profit"/>
  </r>
  <r>
    <x v="323"/>
    <s v="february"/>
    <s v="Pinnacle Media Ventures"/>
    <x v="1"/>
    <s v="Saree"/>
    <s v="Uttar Pradesh"/>
    <s v="Male"/>
    <n v="93"/>
    <n v="736"/>
    <n v="864"/>
    <n v="68448"/>
    <n v="80352"/>
    <n v="11904"/>
    <s v="profit"/>
  </r>
  <r>
    <x v="324"/>
    <s v="february"/>
    <s v="Stellar Innovations Group"/>
    <x v="1"/>
    <s v="Saree"/>
    <s v="Jharkhand"/>
    <s v="Male"/>
    <n v="51"/>
    <n v="608"/>
    <n v="1179"/>
    <n v="31008"/>
    <n v="60129"/>
    <n v="29121"/>
    <s v="profit"/>
  </r>
  <r>
    <x v="325"/>
    <s v="february"/>
    <s v="Radiant Educational Co."/>
    <x v="1"/>
    <s v="Saree"/>
    <s v="Kerala"/>
    <s v="Male"/>
    <n v="95"/>
    <n v="642"/>
    <n v="796"/>
    <n v="60990"/>
    <n v="75620"/>
    <n v="14630"/>
    <s v="profit"/>
  </r>
  <r>
    <x v="12"/>
    <s v="april"/>
    <s v="Metro Tech Solutions"/>
    <x v="2"/>
    <s v="Speaker"/>
    <s v="Maharashtra"/>
    <s v="Female"/>
    <n v="22"/>
    <n v="755"/>
    <n v="996"/>
    <n v="16610"/>
    <n v="21912"/>
    <n v="5302"/>
    <s v="profit"/>
  </r>
  <r>
    <x v="326"/>
    <s v="february"/>
    <s v="Harmony Edge Ventures"/>
    <x v="1"/>
    <s v="Saree"/>
    <s v="Maharashtra"/>
    <s v="Female"/>
    <n v="90"/>
    <n v="713"/>
    <n v="1148"/>
    <n v="64170"/>
    <n v="103320"/>
    <n v="39150"/>
    <s v="profit"/>
  </r>
  <r>
    <x v="327"/>
    <s v="february"/>
    <s v="Apex Finance Group"/>
    <x v="1"/>
    <s v="Saree"/>
    <s v="Uttarakhand"/>
    <s v="Male"/>
    <n v="81"/>
    <n v="813"/>
    <n v="1428"/>
    <n v="65853"/>
    <n v="115668"/>
    <n v="49815"/>
    <s v="profit"/>
  </r>
  <r>
    <x v="328"/>
    <s v="february"/>
    <s v="Pure Harmony Media"/>
    <x v="1"/>
    <s v="Saree"/>
    <s v="Assam"/>
    <s v="Male"/>
    <n v="57"/>
    <n v="912"/>
    <n v="1246"/>
    <n v="51984"/>
    <n v="71022"/>
    <n v="19038"/>
    <s v="profit"/>
  </r>
  <r>
    <x v="329"/>
    <s v="february"/>
    <s v="Legacy Health Co."/>
    <x v="1"/>
    <s v="Suit"/>
    <s v="Punjab"/>
    <s v="Male"/>
    <n v="61"/>
    <n v="565"/>
    <n v="1212"/>
    <n v="34465"/>
    <n v="73932"/>
    <n v="39467"/>
    <s v="profit"/>
  </r>
  <r>
    <x v="330"/>
    <s v="february"/>
    <s v="ACCOUNTS EXPERT"/>
    <x v="1"/>
    <s v="CHAIR"/>
    <s v="Punjab"/>
    <s v="Male"/>
    <n v="62"/>
    <n v="805"/>
    <n v="1163"/>
    <n v="49910"/>
    <n v="72106"/>
    <n v="22196"/>
    <s v="profit"/>
  </r>
  <r>
    <x v="198"/>
    <s v="april"/>
    <s v="Golden Horizon Ventures"/>
    <x v="1"/>
    <s v="Women dress"/>
    <s v="Karnataka"/>
    <s v="Male"/>
    <n v="74"/>
    <n v="743"/>
    <n v="1265"/>
    <n v="54982"/>
    <n v="93610"/>
    <n v="38628"/>
    <s v="profit"/>
  </r>
  <r>
    <x v="199"/>
    <s v="april"/>
    <s v="Eternal Traditions"/>
    <x v="1"/>
    <s v="Women dress"/>
    <s v="Telangana"/>
    <s v="Male"/>
    <n v="83"/>
    <n v="594"/>
    <n v="852"/>
    <n v="49302"/>
    <n v="70716"/>
    <n v="21414"/>
    <s v="profit"/>
  </r>
  <r>
    <x v="200"/>
    <s v="april"/>
    <s v="Harmony Foods"/>
    <x v="1"/>
    <s v="Women dress"/>
    <s v="Maharashtra"/>
    <s v="Male"/>
    <n v="70"/>
    <n v="878"/>
    <n v="844"/>
    <n v="61460"/>
    <n v="59080"/>
    <n v="-2380"/>
    <s v="loss"/>
  </r>
  <r>
    <x v="201"/>
    <s v="april"/>
    <s v="Sacred Roots Apparel"/>
    <x v="1"/>
    <s v="Male dress"/>
    <s v="Maharashtra"/>
    <s v="Female"/>
    <n v="57"/>
    <n v="724"/>
    <n v="839"/>
    <n v="41268"/>
    <n v="47823"/>
    <n v="6555"/>
    <s v="profit"/>
  </r>
  <r>
    <x v="22"/>
    <s v="april"/>
    <s v="Elite Marketing Solutions"/>
    <x v="2"/>
    <s v="TV"/>
    <s v="Tamil Nadu"/>
    <s v="Male"/>
    <n v="23"/>
    <n v="627"/>
    <n v="855"/>
    <n v="14421"/>
    <n v="19665"/>
    <n v="5244"/>
    <s v="profit"/>
  </r>
  <r>
    <x v="202"/>
    <s v="april"/>
    <s v="Quantum Finance Services"/>
    <x v="1"/>
    <s v="Male dress"/>
    <s v="Chandigarh"/>
    <s v="Female"/>
    <n v="50"/>
    <n v="537"/>
    <n v="1172"/>
    <n v="26850"/>
    <n v="58600"/>
    <n v="31750"/>
    <s v="profit"/>
  </r>
  <r>
    <x v="24"/>
    <s v="april"/>
    <s v="Crystal Clear Solutions"/>
    <x v="2"/>
    <s v="TV"/>
    <s v="Rajasthan"/>
    <s v="Female"/>
    <n v="23"/>
    <n v="938"/>
    <n v="1336"/>
    <n v="21574"/>
    <n v="30728"/>
    <n v="9154"/>
    <s v="profit"/>
  </r>
  <r>
    <x v="203"/>
    <s v="april"/>
    <s v="Brilliant Minds Academy"/>
    <x v="1"/>
    <s v="Male dress"/>
    <s v="Madhya Pradesh"/>
    <s v="Female"/>
    <n v="67"/>
    <n v="989"/>
    <n v="956"/>
    <n v="66263"/>
    <n v="64052"/>
    <n v="-2211"/>
    <s v="loss"/>
  </r>
  <r>
    <x v="204"/>
    <s v="april"/>
    <s v="Visionary Holdings"/>
    <x v="1"/>
    <s v="Male dress"/>
    <s v="Andhra Pradesh"/>
    <s v="Female"/>
    <n v="83"/>
    <n v="917"/>
    <n v="989"/>
    <n v="76111"/>
    <n v="82087"/>
    <n v="5976"/>
    <s v="profit"/>
  </r>
  <r>
    <x v="205"/>
    <s v="april"/>
    <s v="Stellar Design Studio"/>
    <x v="1"/>
    <s v="Male dress"/>
    <s v="Bihar"/>
    <s v="Female"/>
    <n v="74"/>
    <n v="645"/>
    <n v="879"/>
    <n v="47730"/>
    <n v="65046"/>
    <n v="17316"/>
    <s v="profit"/>
  </r>
  <r>
    <x v="206"/>
    <s v="april"/>
    <s v="Classic Cuisines"/>
    <x v="1"/>
    <s v="Male dress"/>
    <s v="Gujarat"/>
    <s v="Male"/>
    <n v="76"/>
    <n v="943"/>
    <n v="1394"/>
    <n v="71668"/>
    <n v="105944"/>
    <n v="34276"/>
    <s v="profit"/>
  </r>
  <r>
    <x v="207"/>
    <s v="april"/>
    <s v="Bold Ventures"/>
    <x v="1"/>
    <s v="Male dress"/>
    <s v="Uttar Pradesh"/>
    <s v="Male"/>
    <n v="85"/>
    <n v="505"/>
    <n v="1435"/>
    <n v="42925"/>
    <n v="121975"/>
    <n v="79050"/>
    <s v="profit"/>
  </r>
  <r>
    <x v="208"/>
    <s v="may"/>
    <s v="Radiance Spa"/>
    <x v="1"/>
    <s v="Saree"/>
    <s v="Rajasthan"/>
    <s v="Male"/>
    <n v="82"/>
    <n v="928"/>
    <n v="1428"/>
    <n v="76096"/>
    <n v="117096"/>
    <n v="41000"/>
    <s v="profit"/>
  </r>
  <r>
    <x v="209"/>
    <s v="may"/>
    <s v="Verve Fitness Studio"/>
    <x v="1"/>
    <s v="Saree"/>
    <s v="Uttar Pradesh"/>
    <s v="Female"/>
    <n v="72"/>
    <n v="605"/>
    <n v="1081"/>
    <n v="43560"/>
    <n v="77832"/>
    <n v="34272"/>
    <s v="profit"/>
  </r>
  <r>
    <x v="210"/>
    <s v="may"/>
    <s v="Sparkle Cleaners"/>
    <x v="1"/>
    <s v="Saree"/>
    <s v="Uttar Pradesh"/>
    <s v="Female"/>
    <n v="82"/>
    <n v="993"/>
    <n v="823"/>
    <n v="81426"/>
    <n v="67486"/>
    <n v="-13940"/>
    <s v="loss"/>
  </r>
  <r>
    <x v="211"/>
    <s v="may"/>
    <s v="Global Reach Logistics"/>
    <x v="1"/>
    <s v="Saree"/>
    <s v="Maharashtra"/>
    <s v="Female"/>
    <n v="53"/>
    <n v="803"/>
    <n v="1335"/>
    <n v="42559"/>
    <n v="70755"/>
    <n v="28196"/>
    <s v="profit"/>
  </r>
  <r>
    <x v="212"/>
    <s v="may"/>
    <s v="Noble Path Finance"/>
    <x v="1"/>
    <s v="Saree"/>
    <s v="Madhya Pradesh"/>
    <s v="Female"/>
    <n v="87"/>
    <n v="742"/>
    <n v="856"/>
    <n v="64554"/>
    <n v="74472"/>
    <n v="9918"/>
    <s v="profit"/>
  </r>
  <r>
    <x v="213"/>
    <s v="may"/>
    <s v="Dynamic Events Management"/>
    <x v="1"/>
    <s v="Saree"/>
    <s v="Maharashtra"/>
    <s v="Female"/>
    <n v="70"/>
    <n v="605"/>
    <n v="1489"/>
    <n v="42350"/>
    <n v="104230"/>
    <n v="61880"/>
    <s v="profit"/>
  </r>
  <r>
    <x v="214"/>
    <s v="may"/>
    <s v="Crystal Waters Resort"/>
    <x v="1"/>
    <s v="Saree"/>
    <s v="Chandigarh"/>
    <s v="Female"/>
    <n v="94"/>
    <n v="754"/>
    <n v="1354"/>
    <n v="70876"/>
    <n v="127276"/>
    <n v="56400"/>
    <s v="profit"/>
  </r>
  <r>
    <x v="215"/>
    <s v="may"/>
    <s v="Excellence Tutors"/>
    <x v="1"/>
    <s v="Saree"/>
    <s v="Madhya Pradesh"/>
    <s v="Female"/>
    <n v="80"/>
    <n v="622"/>
    <n v="1168"/>
    <n v="49760"/>
    <n v="93440"/>
    <n v="43680"/>
    <s v="profit"/>
  </r>
  <r>
    <x v="216"/>
    <s v="may"/>
    <s v="Horizon Builders"/>
    <x v="1"/>
    <s v="Saree"/>
    <s v="Andhra Pradesh"/>
    <s v="Male"/>
    <n v="88"/>
    <n v="625"/>
    <n v="1324"/>
    <n v="55000"/>
    <n v="116512"/>
    <n v="61512"/>
    <s v="profit"/>
  </r>
  <r>
    <x v="217"/>
    <s v="may"/>
    <s v="Classic Heritage Crafts"/>
    <x v="1"/>
    <s v="Saree"/>
    <s v="Gujarat"/>
    <s v="Male"/>
    <n v="67"/>
    <n v="760"/>
    <n v="1006"/>
    <n v="50920"/>
    <n v="67402"/>
    <n v="16482"/>
    <s v="profit"/>
  </r>
  <r>
    <x v="218"/>
    <s v="may"/>
    <s v="Prime Focus Media"/>
    <x v="1"/>
    <s v="Suit"/>
    <s v="Uttar Pradesh"/>
    <s v="Male"/>
    <n v="75"/>
    <n v="966"/>
    <n v="1355"/>
    <n v="72450"/>
    <n v="101625"/>
    <n v="29175"/>
    <s v="profit"/>
  </r>
  <r>
    <x v="219"/>
    <s v="june"/>
    <s v="Noble Nutraceuticals"/>
    <x v="1"/>
    <s v="Suit"/>
    <s v="Uttar Pradesh"/>
    <s v="Female"/>
    <n v="51"/>
    <n v="749"/>
    <n v="1060"/>
    <n v="38199"/>
    <n v="54060"/>
    <n v="15861"/>
    <s v="profit"/>
  </r>
  <r>
    <x v="220"/>
    <s v="june"/>
    <s v="Supreme Travel Agency"/>
    <x v="1"/>
    <s v="Suit"/>
    <s v="Tamil Nadu"/>
    <s v="Male"/>
    <n v="94"/>
    <n v="721"/>
    <n v="996"/>
    <n v="67774"/>
    <n v="93624"/>
    <n v="25850"/>
    <s v="profit"/>
  </r>
  <r>
    <x v="221"/>
    <s v="june"/>
    <s v="Future Vision Tech"/>
    <x v="1"/>
    <s v="Suit"/>
    <s v="Tamil Nadu"/>
    <s v="Male"/>
    <n v="71"/>
    <n v="869"/>
    <n v="753"/>
    <n v="61699"/>
    <n v="53463"/>
    <n v="-8236"/>
    <s v="loss"/>
  </r>
  <r>
    <x v="222"/>
    <s v="june"/>
    <s v="Urban Groove Apparel"/>
    <x v="1"/>
    <s v="Suit"/>
    <s v="Rajasthan"/>
    <s v="Male"/>
    <n v="52"/>
    <n v="550"/>
    <n v="869"/>
    <n v="28600"/>
    <n v="45188"/>
    <n v="16588"/>
    <s v="profit"/>
  </r>
  <r>
    <x v="223"/>
    <s v="june"/>
    <s v="Echo Real Estate"/>
    <x v="1"/>
    <s v="Suit"/>
    <s v="Uttar Pradesh"/>
    <s v="Male"/>
    <n v="77"/>
    <n v="513"/>
    <n v="871"/>
    <n v="39501"/>
    <n v="67067"/>
    <n v="27566"/>
    <s v="profit"/>
  </r>
  <r>
    <x v="224"/>
    <s v="june"/>
    <s v="Pinnacle Health Products"/>
    <x v="1"/>
    <s v="Suit"/>
    <s v="Jharkhand"/>
    <s v="Female"/>
    <n v="84"/>
    <n v="739"/>
    <n v="1161"/>
    <n v="62076"/>
    <n v="97524"/>
    <n v="35448"/>
    <s v="profit"/>
  </r>
  <r>
    <x v="225"/>
    <s v="june"/>
    <s v="Apex Auto Care"/>
    <x v="1"/>
    <s v="Suit"/>
    <s v="Kerala"/>
    <s v="Female"/>
    <n v="71"/>
    <n v="923"/>
    <n v="996"/>
    <n v="65533"/>
    <n v="70716"/>
    <n v="5183"/>
    <s v="profit"/>
  </r>
  <r>
    <x v="226"/>
    <s v="june"/>
    <s v="Royal Glow Cosmetics"/>
    <x v="1"/>
    <s v="Suit"/>
    <s v="Maharashtra"/>
    <s v="Female"/>
    <n v="59"/>
    <n v="862"/>
    <n v="1233"/>
    <n v="50858"/>
    <n v="72747"/>
    <n v="21889"/>
    <s v="profit"/>
  </r>
  <r>
    <x v="49"/>
    <s v="may"/>
    <s v="Absolute Solutions"/>
    <x v="1"/>
    <s v="Saree"/>
    <s v="Gujarat"/>
    <s v="Male"/>
    <n v="90"/>
    <n v="718"/>
    <n v="1353"/>
    <n v="64620"/>
    <n v="121770"/>
    <n v="57150"/>
    <s v="profit"/>
  </r>
  <r>
    <x v="227"/>
    <s v="june"/>
    <s v="Zenith Culinary Arts"/>
    <x v="1"/>
    <s v="Suit"/>
    <s v="Himachal Pradesh"/>
    <s v="Female"/>
    <n v="77"/>
    <n v="882"/>
    <n v="914"/>
    <n v="67914"/>
    <n v="70378"/>
    <n v="2464"/>
    <s v="profit"/>
  </r>
  <r>
    <x v="228"/>
    <s v="june"/>
    <s v="Visionary Tours"/>
    <x v="1"/>
    <s v="Suit"/>
    <s v="Uttarakhand"/>
    <s v="Female"/>
    <n v="90"/>
    <n v="862"/>
    <n v="902"/>
    <n v="77580"/>
    <n v="81180"/>
    <n v="3600"/>
    <s v="profit"/>
  </r>
  <r>
    <x v="229"/>
    <s v="june"/>
    <s v="Elite Essence Products"/>
    <x v="1"/>
    <s v="Saree"/>
    <s v="West Bengal"/>
    <s v="Male"/>
    <n v="73"/>
    <n v="541"/>
    <n v="1114"/>
    <n v="39493"/>
    <n v="81322"/>
    <n v="41829"/>
    <s v="profit"/>
  </r>
  <r>
    <x v="230"/>
    <s v="june"/>
    <s v="Dynamic Creations"/>
    <x v="1"/>
    <s v="Saree"/>
    <s v="Karnataka"/>
    <s v="Male"/>
    <n v="94"/>
    <n v="772"/>
    <n v="1390"/>
    <n v="72568"/>
    <n v="130660"/>
    <n v="58092"/>
    <s v="profit"/>
  </r>
  <r>
    <x v="231"/>
    <s v="june"/>
    <s v="Quantum Design Studio"/>
    <x v="1"/>
    <s v="Saree"/>
    <s v="Delhi"/>
    <s v="Male"/>
    <n v="66"/>
    <n v="771"/>
    <n v="1419"/>
    <n v="50886"/>
    <n v="93654"/>
    <n v="42768"/>
    <s v="profit"/>
  </r>
  <r>
    <x v="232"/>
    <s v="june"/>
    <s v="Apex Construction"/>
    <x v="1"/>
    <s v="Saree"/>
    <s v="West Bengal"/>
    <s v="Female"/>
    <n v="65"/>
    <n v="762"/>
    <n v="1394"/>
    <n v="49530"/>
    <n v="90610"/>
    <n v="41080"/>
    <s v="profit"/>
  </r>
  <r>
    <x v="233"/>
    <s v="june"/>
    <s v="Legacy Innovations"/>
    <x v="1"/>
    <s v="Suit"/>
    <s v="Tamil Nadu"/>
    <s v="Female"/>
    <n v="78"/>
    <n v="918"/>
    <n v="1469"/>
    <n v="71604"/>
    <n v="114582"/>
    <n v="42978"/>
    <s v="profit"/>
  </r>
  <r>
    <x v="234"/>
    <s v="june"/>
    <s v="Pure Harmony Foods"/>
    <x v="1"/>
    <s v="Suit"/>
    <s v="Karnataka"/>
    <s v="Male"/>
    <n v="76"/>
    <n v="624"/>
    <n v="899"/>
    <n v="47424"/>
    <n v="68324"/>
    <n v="20900"/>
    <s v="profit"/>
  </r>
  <r>
    <x v="58"/>
    <s v="may"/>
    <s v="Synergy Tech Solutions"/>
    <x v="1"/>
    <s v="Saree"/>
    <s v="Bihar"/>
    <s v="Male"/>
    <n v="59"/>
    <n v="716"/>
    <n v="1257"/>
    <n v="42244"/>
    <n v="74163"/>
    <n v="31919"/>
    <s v="profit"/>
  </r>
  <r>
    <x v="235"/>
    <s v="june"/>
    <s v="Zenith Security Systems"/>
    <x v="1"/>
    <s v="Suit"/>
    <s v="Telangana"/>
    <s v="Male"/>
    <n v="99"/>
    <n v="598"/>
    <n v="1404"/>
    <n v="59202"/>
    <n v="138996"/>
    <n v="79794"/>
    <s v="profit"/>
  </r>
  <r>
    <x v="236"/>
    <s v="june"/>
    <s v="Crystal Clear Beverages"/>
    <x v="1"/>
    <s v="Suit"/>
    <s v="Gujarat"/>
    <s v="Male"/>
    <n v="78"/>
    <n v="761"/>
    <n v="1174"/>
    <n v="59358"/>
    <n v="91572"/>
    <n v="32214"/>
    <s v="profit"/>
  </r>
  <r>
    <x v="237"/>
    <s v="june"/>
    <s v="Metro Line Tech"/>
    <x v="1"/>
    <s v="Suit"/>
    <s v="Maharashtra"/>
    <s v="Male"/>
    <n v="96"/>
    <n v="512"/>
    <n v="970"/>
    <n v="49152"/>
    <n v="93120"/>
    <n v="43968"/>
    <s v="profit"/>
  </r>
  <r>
    <x v="238"/>
    <s v="june"/>
    <s v="Urban Pulse Consulting"/>
    <x v="1"/>
    <s v="Suit"/>
    <s v="Rajasthan"/>
    <s v="Male"/>
    <n v="85"/>
    <n v="765"/>
    <n v="1024"/>
    <n v="65025"/>
    <n v="87040"/>
    <n v="22015"/>
    <s v="profit"/>
  </r>
  <r>
    <x v="239"/>
    <s v="july"/>
    <s v="Legacy Design Group"/>
    <x v="1"/>
    <s v="Saree"/>
    <s v="Punjab"/>
    <s v="Female"/>
    <n v="59"/>
    <n v="663"/>
    <n v="872"/>
    <n v="39117"/>
    <n v="51448"/>
    <n v="12331"/>
    <s v="profit"/>
  </r>
  <r>
    <x v="240"/>
    <s v="july"/>
    <s v="Supreme Wellness"/>
    <x v="1"/>
    <s v="Saree"/>
    <s v="Chhattisgarh"/>
    <s v="Female"/>
    <n v="75"/>
    <n v="871"/>
    <n v="1274"/>
    <n v="65325"/>
    <n v="95550"/>
    <n v="30225"/>
    <s v="profit"/>
  </r>
  <r>
    <x v="241"/>
    <s v="july"/>
    <s v="Harmony Tech Innovations"/>
    <x v="1"/>
    <s v="Saree"/>
    <s v="West Bengal"/>
    <s v="Female"/>
    <n v="87"/>
    <n v="869"/>
    <n v="1247"/>
    <n v="75603"/>
    <n v="108489"/>
    <n v="32886"/>
    <s v="profit"/>
  </r>
  <r>
    <x v="242"/>
    <s v="july"/>
    <s v="Stellar Education Services"/>
    <x v="1"/>
    <s v="Saree"/>
    <s v="West Bengal"/>
    <s v="Female"/>
    <n v="100"/>
    <n v="605"/>
    <n v="1249"/>
    <n v="60500"/>
    <n v="124900"/>
    <n v="64400"/>
    <s v="profit"/>
  </r>
  <r>
    <x v="243"/>
    <s v="july"/>
    <s v="Visionary Health Products"/>
    <x v="1"/>
    <s v="Saree"/>
    <s v="Madhya Pradesh"/>
    <s v="Female"/>
    <n v="51"/>
    <n v="798"/>
    <n v="910"/>
    <n v="40698"/>
    <n v="46410"/>
    <n v="5712"/>
    <s v="profit"/>
  </r>
  <r>
    <x v="244"/>
    <s v="july"/>
    <s v="Crystal Innovations"/>
    <x v="1"/>
    <s v="Saree"/>
    <s v="Jharkhand"/>
    <s v="Female"/>
    <n v="52"/>
    <n v="984"/>
    <n v="992"/>
    <n v="51168"/>
    <n v="51584"/>
    <n v="416"/>
    <s v="profit"/>
  </r>
  <r>
    <x v="245"/>
    <s v="july"/>
    <s v="Future Trends Retail"/>
    <x v="1"/>
    <s v="Saree"/>
    <s v="West Bengal"/>
    <s v="Female"/>
    <n v="97"/>
    <n v="565"/>
    <n v="995"/>
    <n v="54805"/>
    <n v="96515"/>
    <n v="41710"/>
    <s v="profit"/>
  </r>
  <r>
    <x v="246"/>
    <s v="july"/>
    <s v="Radiant Horizon Ventures"/>
    <x v="1"/>
    <s v="Saree"/>
    <s v="Karnataka"/>
    <s v="Female"/>
    <n v="58"/>
    <n v="799"/>
    <n v="1273"/>
    <n v="46342"/>
    <n v="73834"/>
    <n v="27492"/>
    <s v="profit"/>
  </r>
  <r>
    <x v="247"/>
    <s v="july"/>
    <s v="Urban Edge Realty"/>
    <x v="1"/>
    <s v="Saree"/>
    <s v="Delhi"/>
    <s v="Male"/>
    <n v="69"/>
    <n v="524"/>
    <n v="893"/>
    <n v="36156"/>
    <n v="61617"/>
    <n v="25461"/>
    <s v="profit"/>
  </r>
  <r>
    <x v="248"/>
    <s v="july"/>
    <s v="Prime Focus Innovations"/>
    <x v="1"/>
    <s v="Saree"/>
    <s v="Maharashtra"/>
    <s v="Male"/>
    <n v="81"/>
    <n v="903"/>
    <n v="1306"/>
    <n v="73143"/>
    <n v="105786"/>
    <n v="32643"/>
    <s v="profit"/>
  </r>
  <r>
    <x v="249"/>
    <s v="august"/>
    <s v="Elite Spectrum Consulting"/>
    <x v="1"/>
    <s v="Saree"/>
    <s v="West Bengal"/>
    <s v="Male"/>
    <n v="89"/>
    <n v="584"/>
    <n v="777"/>
    <n v="51976"/>
    <n v="69153"/>
    <n v="17177"/>
    <s v="profit"/>
  </r>
  <r>
    <x v="250"/>
    <s v="august"/>
    <s v="Dynamic Design Studio"/>
    <x v="1"/>
    <s v="Saree"/>
    <s v="Tamil Nadu"/>
    <s v="Male"/>
    <n v="75"/>
    <n v="906"/>
    <n v="954"/>
    <n v="67950"/>
    <n v="71550"/>
    <n v="3600"/>
    <s v="profit"/>
  </r>
  <r>
    <x v="63"/>
    <s v="june"/>
    <s v="Radiant Enterprise Solutions"/>
    <x v="0"/>
    <s v="Car accessories"/>
    <s v="West Bengal"/>
    <s v="Female"/>
    <n v="17"/>
    <n v="901"/>
    <n v="1283"/>
    <n v="15317"/>
    <n v="21811"/>
    <n v="6494"/>
    <s v="profit"/>
  </r>
  <r>
    <x v="251"/>
    <s v="august"/>
    <s v="Royal Crest Foods"/>
    <x v="1"/>
    <s v="Suit"/>
    <s v="Telangana"/>
    <s v="Female"/>
    <n v="98"/>
    <n v="925"/>
    <n v="904"/>
    <n v="90650"/>
    <n v="88592"/>
    <n v="-2058"/>
    <s v="loss"/>
  </r>
  <r>
    <x v="252"/>
    <s v="august"/>
    <s v="Zenith Travels"/>
    <x v="1"/>
    <s v="Suit"/>
    <s v="Gujarat"/>
    <s v="Female"/>
    <n v="73"/>
    <n v="508"/>
    <n v="1324"/>
    <n v="37084"/>
    <n v="96652"/>
    <n v="59568"/>
    <s v="profit"/>
  </r>
  <r>
    <x v="253"/>
    <s v="august"/>
    <s v="Quantum Media Group"/>
    <x v="1"/>
    <s v="Saree"/>
    <s v="Uttar Pradesh"/>
    <s v="Female"/>
    <n v="87"/>
    <n v="876"/>
    <n v="880"/>
    <n v="76212"/>
    <n v="76560"/>
    <n v="348"/>
    <s v="profit"/>
  </r>
  <r>
    <x v="254"/>
    <s v="august"/>
    <s v="Legacy Builders"/>
    <x v="1"/>
    <s v="Saree"/>
    <s v="Jharkhand"/>
    <s v="Female"/>
    <n v="69"/>
    <n v="993"/>
    <n v="862"/>
    <n v="68517"/>
    <n v="59478"/>
    <n v="-9039"/>
    <s v="loss"/>
  </r>
  <r>
    <x v="255"/>
    <s v="august"/>
    <s v="Apex Spa &amp; Wellness"/>
    <x v="1"/>
    <s v="Saree"/>
    <s v="Kerala"/>
    <s v="Female"/>
    <n v="62"/>
    <n v="781"/>
    <n v="946"/>
    <n v="48422"/>
    <n v="58652"/>
    <n v="10230"/>
    <s v="profit"/>
  </r>
  <r>
    <x v="64"/>
    <s v="june"/>
    <s v="Infinite Solutions"/>
    <x v="1"/>
    <s v="Saree"/>
    <s v="Maharashtra"/>
    <s v="Female"/>
    <n v="83"/>
    <n v="889"/>
    <n v="1075"/>
    <n v="73787"/>
    <n v="89225"/>
    <n v="15438"/>
    <s v="profit"/>
  </r>
  <r>
    <x v="256"/>
    <s v="august"/>
    <s v="Radiant Travel Services"/>
    <x v="1"/>
    <s v="Saree"/>
    <s v="Maharashtra"/>
    <s v="Female"/>
    <n v="63"/>
    <n v="718"/>
    <n v="1047"/>
    <n v="45234"/>
    <n v="65961"/>
    <n v="20727"/>
    <s v="profit"/>
  </r>
  <r>
    <x v="257"/>
    <s v="august"/>
    <s v="Modern Trends Consulting"/>
    <x v="1"/>
    <s v="Saree"/>
    <s v="Himachal Pradesh"/>
    <s v="Female"/>
    <n v="72"/>
    <n v="673"/>
    <n v="1027"/>
    <n v="48456"/>
    <n v="73944"/>
    <n v="25488"/>
    <s v="profit"/>
  </r>
  <r>
    <x v="258"/>
    <s v="august"/>
    <s v="Global Horizon Ventures"/>
    <x v="1"/>
    <s v="Saree"/>
    <s v="Uttarakhand"/>
    <s v="Female"/>
    <n v="76"/>
    <n v="567"/>
    <n v="897"/>
    <n v="43092"/>
    <n v="68172"/>
    <n v="25080"/>
    <s v="profit"/>
  </r>
  <r>
    <x v="259"/>
    <s v="august"/>
    <s v="Elite Enterprises"/>
    <x v="1"/>
    <s v="Saree"/>
    <s v="Assam"/>
    <s v="Male"/>
    <n v="70"/>
    <n v="751"/>
    <n v="1026"/>
    <n v="52570"/>
    <n v="71820"/>
    <n v="19250"/>
    <s v="profit"/>
  </r>
  <r>
    <x v="260"/>
    <s v="september"/>
    <s v="Pinnacle Health Innovations"/>
    <x v="1"/>
    <s v="Saree"/>
    <s v="Chhattisgarh"/>
    <s v="Male"/>
    <n v="56"/>
    <n v="559"/>
    <n v="1151"/>
    <n v="31304"/>
    <n v="64456"/>
    <n v="33152"/>
    <s v="profit"/>
  </r>
  <r>
    <x v="261"/>
    <s v="september"/>
    <s v="Horizon Fashion"/>
    <x v="1"/>
    <s v="Suit"/>
    <s v="West Bengal"/>
    <s v="Male"/>
    <n v="72"/>
    <n v="719"/>
    <n v="911"/>
    <n v="51768"/>
    <n v="65592"/>
    <n v="13824"/>
    <s v="profit"/>
  </r>
  <r>
    <x v="262"/>
    <s v="september"/>
    <s v="Crystal Essence Beverages"/>
    <x v="1"/>
    <s v="Suit"/>
    <s v="West Bengal"/>
    <s v="Male"/>
    <n v="89"/>
    <n v="703"/>
    <n v="795"/>
    <n v="62567"/>
    <n v="70755"/>
    <n v="8188"/>
    <s v="profit"/>
  </r>
  <r>
    <x v="263"/>
    <s v="september"/>
    <s v="Dynamic Pathways"/>
    <x v="1"/>
    <s v="Suit"/>
    <s v="Madhya Pradesh"/>
    <s v="Female"/>
    <n v="77"/>
    <n v="780"/>
    <n v="967"/>
    <n v="60060"/>
    <n v="74459"/>
    <n v="14399"/>
    <s v="profit"/>
  </r>
  <r>
    <x v="264"/>
    <s v="september"/>
    <s v="Radiance Apparel"/>
    <x v="1"/>
    <s v="Suit"/>
    <s v="West Bengal"/>
    <s v="Female"/>
    <n v="54"/>
    <n v="762"/>
    <n v="1186"/>
    <n v="41148"/>
    <n v="64044"/>
    <n v="22896"/>
    <s v="profit"/>
  </r>
  <r>
    <x v="265"/>
    <s v="september"/>
    <s v="Zenith Design Group"/>
    <x v="1"/>
    <s v="Suit"/>
    <s v="Karnataka"/>
    <s v="Male"/>
    <n v="91"/>
    <n v="647"/>
    <n v="1073"/>
    <n v="58877"/>
    <n v="97643"/>
    <n v="38766"/>
    <s v="profit"/>
  </r>
  <r>
    <x v="65"/>
    <s v="july"/>
    <s v="Synergy Solutions Group"/>
    <x v="0"/>
    <s v="Home décor"/>
    <s v="Maharashtra"/>
    <s v="Female"/>
    <n v="14"/>
    <n v="684"/>
    <n v="1483"/>
    <n v="9576"/>
    <n v="20762"/>
    <n v="11186"/>
    <s v="profit"/>
  </r>
  <r>
    <x v="266"/>
    <s v="september"/>
    <s v="Modern Horizons Consulting"/>
    <x v="1"/>
    <s v="Suit"/>
    <s v="Maharashtra"/>
    <s v="Male"/>
    <n v="63"/>
    <n v="720"/>
    <n v="1458"/>
    <n v="45360"/>
    <n v="91854"/>
    <n v="46494"/>
    <s v="profit"/>
  </r>
  <r>
    <x v="267"/>
    <s v="september"/>
    <s v="Apex Realty Services"/>
    <x v="1"/>
    <s v="Suit"/>
    <s v="Madhya Pradesh"/>
    <s v="Male"/>
    <n v="66"/>
    <n v="958"/>
    <n v="1017"/>
    <n v="63228"/>
    <n v="67122"/>
    <n v="3894"/>
    <s v="profit"/>
  </r>
  <r>
    <x v="268"/>
    <s v="september"/>
    <s v="Zenith Educational Group"/>
    <x v="1"/>
    <s v="Suit"/>
    <s v="Maharashtra"/>
    <s v="Male"/>
    <n v="54"/>
    <n v="663"/>
    <n v="943"/>
    <n v="35802"/>
    <n v="50922"/>
    <n v="15120"/>
    <s v="profit"/>
  </r>
  <r>
    <x v="269"/>
    <s v="september"/>
    <s v="True Path Ventures"/>
    <x v="1"/>
    <s v="Suit"/>
    <s v="Chandigarh"/>
    <s v="Female"/>
    <n v="73"/>
    <n v="540"/>
    <n v="1397"/>
    <n v="39420"/>
    <n v="101981"/>
    <n v="62561"/>
    <s v="profit"/>
  </r>
  <r>
    <x v="270"/>
    <s v="september"/>
    <s v="Radiance Media"/>
    <x v="1"/>
    <s v="Suit"/>
    <s v="Madhya Pradesh"/>
    <s v="Male"/>
    <n v="76"/>
    <n v="744"/>
    <n v="1145"/>
    <n v="56544"/>
    <n v="87020"/>
    <n v="30476"/>
    <s v="profit"/>
  </r>
  <r>
    <x v="271"/>
    <s v="september"/>
    <s v="Legacy Health Systems"/>
    <x v="1"/>
    <s v="Suit"/>
    <s v="Andhra Pradesh"/>
    <s v="Male"/>
    <n v="94"/>
    <n v="874"/>
    <n v="895"/>
    <n v="82156"/>
    <n v="84130"/>
    <n v="1974"/>
    <s v="profit"/>
  </r>
  <r>
    <x v="272"/>
    <s v="september"/>
    <s v="Urban Focus Products"/>
    <x v="1"/>
    <s v="Suit"/>
    <s v="Bihar"/>
    <s v="Male"/>
    <n v="97"/>
    <n v="752"/>
    <n v="1286"/>
    <n v="72944"/>
    <n v="124742"/>
    <n v="51798"/>
    <s v="profit"/>
  </r>
  <r>
    <x v="273"/>
    <s v="october"/>
    <s v="Visionary Innovations"/>
    <x v="1"/>
    <s v="Saree"/>
    <s v="Jharkhand"/>
    <s v="Female"/>
    <n v="77"/>
    <n v="951"/>
    <n v="1432"/>
    <n v="73227"/>
    <n v="110264"/>
    <n v="37037"/>
    <s v="profit"/>
  </r>
  <r>
    <x v="274"/>
    <s v="october"/>
    <s v="Horizon Design Studio"/>
    <x v="1"/>
    <s v="Saree"/>
    <s v="Kerala"/>
    <s v="Female"/>
    <n v="52"/>
    <n v="633"/>
    <n v="1226"/>
    <n v="32916"/>
    <n v="63752"/>
    <n v="30836"/>
    <s v="profit"/>
  </r>
  <r>
    <x v="275"/>
    <s v="october"/>
    <s v="Legacy Tech Products"/>
    <x v="1"/>
    <s v="Saree"/>
    <s v="Himachal Pradesh"/>
    <s v="Female"/>
    <n v="80"/>
    <n v="982"/>
    <n v="1224"/>
    <n v="78560"/>
    <n v="97920"/>
    <n v="19360"/>
    <s v="profit"/>
  </r>
  <r>
    <x v="276"/>
    <s v="october"/>
    <s v="Pinnacle Wellness Services"/>
    <x v="1"/>
    <s v="Saree"/>
    <s v="Uttarakhand"/>
    <s v="Female"/>
    <n v="81"/>
    <n v="917"/>
    <n v="1344"/>
    <n v="74277"/>
    <n v="108864"/>
    <n v="34587"/>
    <s v="profit"/>
  </r>
  <r>
    <x v="277"/>
    <s v="october"/>
    <s v="Urban Insight Consulting"/>
    <x v="1"/>
    <s v="Suit"/>
    <s v="Assam"/>
    <s v="Female"/>
    <n v="63"/>
    <n v="747"/>
    <n v="778"/>
    <n v="47061"/>
    <n v="49014"/>
    <n v="1953"/>
    <s v="profit"/>
  </r>
  <r>
    <x v="66"/>
    <s v="july"/>
    <s v="Horizon Tech Solutions"/>
    <x v="2"/>
    <s v="Laptop"/>
    <s v="Uttar Pradesh"/>
    <s v="Female"/>
    <n v="23"/>
    <n v="559"/>
    <n v="1456"/>
    <n v="12857"/>
    <n v="33488"/>
    <n v="20631"/>
    <s v="profit"/>
  </r>
  <r>
    <x v="278"/>
    <s v="october"/>
    <s v="Crystal Horizons"/>
    <x v="1"/>
    <s v="Suit"/>
    <s v="Punjab"/>
    <s v="Female"/>
    <n v="88"/>
    <n v="978"/>
    <n v="1231"/>
    <n v="86064"/>
    <n v="108328"/>
    <n v="22264"/>
    <s v="profit"/>
  </r>
  <r>
    <x v="279"/>
    <s v="october"/>
    <s v="Radiant Apparel"/>
    <x v="1"/>
    <s v="Suit"/>
    <s v="Chhattisgarh"/>
    <s v="Female"/>
    <n v="82"/>
    <n v="652"/>
    <n v="994"/>
    <n v="53464"/>
    <n v="81508"/>
    <n v="28044"/>
    <s v="profit"/>
  </r>
  <r>
    <x v="280"/>
    <s v="october"/>
    <s v="True Value Products"/>
    <x v="1"/>
    <s v="Suit"/>
    <s v="West Bengal"/>
    <s v="Female"/>
    <n v="80"/>
    <n v="841"/>
    <n v="1490"/>
    <n v="67280"/>
    <n v="119200"/>
    <n v="51920"/>
    <s v="profit"/>
  </r>
  <r>
    <x v="281"/>
    <s v="october"/>
    <s v="Zenith Health Products"/>
    <x v="1"/>
    <s v="Suit"/>
    <s v="Madhya Pradesh"/>
    <s v="Male"/>
    <n v="70"/>
    <n v="798"/>
    <n v="1318"/>
    <n v="55860"/>
    <n v="92260"/>
    <n v="36400"/>
    <s v="profit"/>
  </r>
  <r>
    <x v="282"/>
    <s v="october"/>
    <s v="Stellar Wellness Products"/>
    <x v="1"/>
    <s v="Women dress"/>
    <s v="Kerala"/>
    <s v="Male"/>
    <n v="69"/>
    <n v="921"/>
    <n v="1177"/>
    <n v="63549"/>
    <n v="81213"/>
    <n v="17664"/>
    <s v="profit"/>
  </r>
  <r>
    <x v="283"/>
    <s v="october"/>
    <s v="Radiant Consulting Group"/>
    <x v="1"/>
    <s v="Women dress"/>
    <s v="Maharashtra"/>
    <s v="Male"/>
    <n v="60"/>
    <n v="729"/>
    <n v="759"/>
    <n v="43740"/>
    <n v="45540"/>
    <n v="1800"/>
    <s v="profit"/>
  </r>
  <r>
    <x v="284"/>
    <s v="october"/>
    <s v="Harmony Ventures Co."/>
    <x v="1"/>
    <s v="Women dress"/>
    <s v="Himachal Pradesh"/>
    <s v="Female"/>
    <n v="99"/>
    <n v="880"/>
    <n v="1318"/>
    <n v="87120"/>
    <n v="130482"/>
    <n v="43362"/>
    <s v="profit"/>
  </r>
  <r>
    <x v="285"/>
    <s v="october"/>
    <s v="Urban Path Technologies"/>
    <x v="1"/>
    <s v="Women dress"/>
    <s v="Uttarakhand"/>
    <s v="Male"/>
    <n v="88"/>
    <n v="552"/>
    <n v="1422"/>
    <n v="48576"/>
    <n v="125136"/>
    <n v="76560"/>
    <s v="profit"/>
  </r>
  <r>
    <x v="286"/>
    <s v="november"/>
    <s v="Modern Vision Ventures"/>
    <x v="1"/>
    <s v="Male dress"/>
    <s v="West Bengal"/>
    <s v="Female"/>
    <n v="60"/>
    <n v="827"/>
    <n v="762"/>
    <n v="49620"/>
    <n v="45720"/>
    <n v="-3900"/>
    <s v="loss"/>
  </r>
  <r>
    <x v="287"/>
    <s v="november"/>
    <s v="Elite Travel Services"/>
    <x v="1"/>
    <s v="Male dress"/>
    <s v="Karnataka"/>
    <s v="Female"/>
    <n v="64"/>
    <n v="529"/>
    <n v="1195"/>
    <n v="33856"/>
    <n v="76480"/>
    <n v="42624"/>
    <s v="profit"/>
  </r>
  <r>
    <x v="288"/>
    <s v="november"/>
    <s v="Crystal Innovations Group"/>
    <x v="1"/>
    <s v="Male dress"/>
    <s v="Maharashtra"/>
    <s v="Female"/>
    <n v="51"/>
    <n v="859"/>
    <n v="1243"/>
    <n v="43809"/>
    <n v="63393"/>
    <n v="19584"/>
    <s v="profit"/>
  </r>
  <r>
    <x v="289"/>
    <s v="november"/>
    <s v="Pinnacle Fitness Studio"/>
    <x v="1"/>
    <s v="Male dress"/>
    <s v="West Bengal"/>
    <s v="Female"/>
    <n v="68"/>
    <n v="756"/>
    <n v="887"/>
    <n v="51408"/>
    <n v="60316"/>
    <n v="8908"/>
    <s v="profit"/>
  </r>
  <r>
    <x v="290"/>
    <s v="november"/>
    <s v="Stellar Travel Agency"/>
    <x v="1"/>
    <s v="Male dress"/>
    <s v="Tamil Nadu"/>
    <s v="Female"/>
    <n v="87"/>
    <n v="882"/>
    <n v="1211"/>
    <n v="76734"/>
    <n v="105357"/>
    <n v="28623"/>
    <s v="profit"/>
  </r>
  <r>
    <x v="291"/>
    <s v="december"/>
    <s v="Apex Travel Ventures"/>
    <x v="1"/>
    <s v="Saree"/>
    <s v="Assam"/>
    <s v="Male"/>
    <n v="51"/>
    <n v="685"/>
    <n v="1224"/>
    <n v="34935"/>
    <n v="62424"/>
    <n v="27489"/>
    <s v="profit"/>
  </r>
  <r>
    <x v="292"/>
    <s v="december"/>
    <s v="True Path Consulting"/>
    <x v="1"/>
    <s v="Saree"/>
    <s v="Chhattisgarh"/>
    <s v="Female"/>
    <n v="72"/>
    <n v="765"/>
    <n v="1368"/>
    <n v="55080"/>
    <n v="98496"/>
    <n v="43416"/>
    <s v="profit"/>
  </r>
  <r>
    <x v="293"/>
    <s v="december"/>
    <s v="Legacy Finance Group"/>
    <x v="1"/>
    <s v="Saree"/>
    <s v="West Bengal"/>
    <s v="Female"/>
    <n v="54"/>
    <n v="702"/>
    <n v="930"/>
    <n v="37908"/>
    <n v="50220"/>
    <n v="12312"/>
    <s v="profit"/>
  </r>
  <r>
    <x v="294"/>
    <s v="december"/>
    <s v="Pinnacle Design Ventures"/>
    <x v="1"/>
    <s v="Saree"/>
    <s v="Gujarat"/>
    <s v="Female"/>
    <n v="97"/>
    <n v="917"/>
    <n v="1203"/>
    <n v="88949"/>
    <n v="116691"/>
    <n v="27742"/>
    <s v="profit"/>
  </r>
  <r>
    <x v="295"/>
    <s v="december"/>
    <s v="Stellar Innovations Co."/>
    <x v="1"/>
    <s v="Saree"/>
    <s v="Uttar Pradesh"/>
    <s v="Female"/>
    <n v="84"/>
    <n v="516"/>
    <n v="820"/>
    <n v="43344"/>
    <n v="68880"/>
    <n v="25536"/>
    <s v="profit"/>
  </r>
  <r>
    <x v="67"/>
    <s v="august"/>
    <s v="Apex Wellness Solutions"/>
    <x v="1"/>
    <s v="Suit"/>
    <s v="Karnataka"/>
    <s v="Male"/>
    <n v="66"/>
    <n v="715"/>
    <n v="1460"/>
    <n v="47190"/>
    <n v="96360"/>
    <n v="49170"/>
    <s v="profit"/>
  </r>
  <r>
    <x v="296"/>
    <s v="december"/>
    <s v="Harmony Marketing Co."/>
    <x v="1"/>
    <s v="Saree"/>
    <s v="Tamil Nadu"/>
    <s v="Female"/>
    <n v="92"/>
    <n v="789"/>
    <n v="1229"/>
    <n v="72588"/>
    <n v="113068"/>
    <n v="40480"/>
    <s v="profit"/>
  </r>
  <r>
    <x v="297"/>
    <s v="december"/>
    <s v="Urban Tech Innovations"/>
    <x v="1"/>
    <s v="Saree"/>
    <s v="Tamil Nadu"/>
    <s v="Female"/>
    <n v="53"/>
    <n v="962"/>
    <n v="1442"/>
    <n v="50986"/>
    <n v="76426"/>
    <n v="25440"/>
    <s v="profit"/>
  </r>
  <r>
    <x v="298"/>
    <s v="december"/>
    <s v="Crystal Wellness Group"/>
    <x v="1"/>
    <s v="Saree"/>
    <s v="Rajasthan"/>
    <s v="Female"/>
    <n v="81"/>
    <n v="565"/>
    <n v="1224"/>
    <n v="45765"/>
    <n v="99144"/>
    <n v="53379"/>
    <s v="profit"/>
  </r>
  <r>
    <x v="299"/>
    <s v="december"/>
    <s v="Apex Media Co."/>
    <x v="1"/>
    <s v="Saree"/>
    <s v="Jharkhand"/>
    <s v="Female"/>
    <n v="96"/>
    <n v="715"/>
    <n v="1171"/>
    <n v="68640"/>
    <n v="112416"/>
    <n v="43776"/>
    <s v="profit"/>
  </r>
  <r>
    <x v="68"/>
    <s v="august"/>
    <s v="Radiance Tech Solutions"/>
    <x v="0"/>
    <s v="Home décor"/>
    <s v="Gujarat"/>
    <s v="Female"/>
    <n v="10"/>
    <n v="812"/>
    <n v="1112"/>
    <n v="8120"/>
    <n v="11120"/>
    <n v="3000"/>
    <s v="profit"/>
  </r>
  <r>
    <x v="300"/>
    <s v="december"/>
    <s v="Legacy Health Ventures"/>
    <x v="1"/>
    <s v="Suit"/>
    <s v="Maharashtra"/>
    <s v="Female"/>
    <n v="69"/>
    <n v="699"/>
    <n v="835"/>
    <n v="48231"/>
    <n v="57615"/>
    <n v="9384"/>
    <s v="profit"/>
  </r>
  <r>
    <x v="301"/>
    <s v="december"/>
    <s v="Pinnacle Spectrum Co."/>
    <x v="1"/>
    <s v="Suit"/>
    <s v="Himachal Pradesh"/>
    <s v="Female"/>
    <n v="58"/>
    <n v="924"/>
    <n v="990"/>
    <n v="53592"/>
    <n v="57420"/>
    <n v="3828"/>
    <s v="profit"/>
  </r>
  <r>
    <x v="302"/>
    <s v="december"/>
    <s v="Stellar Travel Products"/>
    <x v="1"/>
    <s v="Suit"/>
    <s v="Uttarakhand"/>
    <s v="Female"/>
    <n v="83"/>
    <n v="790"/>
    <n v="1164"/>
    <n v="65570"/>
    <n v="96612"/>
    <n v="31042"/>
    <s v="profit"/>
  </r>
  <r>
    <x v="303"/>
    <s v="december"/>
    <s v="Radiance Finance Services"/>
    <x v="1"/>
    <s v="Suit"/>
    <s v="Assam"/>
    <s v="Female"/>
    <n v="60"/>
    <n v="867"/>
    <n v="854"/>
    <n v="52020"/>
    <n v="51240"/>
    <n v="-780"/>
    <s v="loss"/>
  </r>
  <r>
    <x v="304"/>
    <s v="december"/>
    <s v="Modern Travel Agency"/>
    <x v="1"/>
    <s v="Suit"/>
    <s v="Chhattisgarh"/>
    <s v="Male"/>
    <n v="89"/>
    <n v="702"/>
    <n v="1314"/>
    <n v="62478"/>
    <n v="116946"/>
    <n v="54468"/>
    <s v="profit"/>
  </r>
  <r>
    <x v="305"/>
    <s v="december"/>
    <s v="Crystal Path Consulting"/>
    <x v="1"/>
    <s v="Suit"/>
    <s v="West Bengal"/>
    <s v="Male"/>
    <n v="91"/>
    <n v="805"/>
    <n v="1361"/>
    <n v="73255"/>
    <n v="123851"/>
    <n v="50596"/>
    <s v="profit"/>
  </r>
  <r>
    <x v="306"/>
    <s v="december"/>
    <s v="Zenith Educational Services"/>
    <x v="1"/>
    <s v="Suit"/>
    <s v="West Bengal"/>
    <s v="Male"/>
    <n v="78"/>
    <n v="682"/>
    <n v="962"/>
    <n v="53196"/>
    <n v="75036"/>
    <n v="21840"/>
    <s v="profit"/>
  </r>
  <r>
    <x v="69"/>
    <s v="august"/>
    <s v="Apex Enterprise Solutions"/>
    <x v="2"/>
    <s v="Laptop"/>
    <s v="Andhra Pradesh"/>
    <s v="Male"/>
    <n v="22"/>
    <n v="888"/>
    <n v="1284"/>
    <n v="19536"/>
    <n v="28248"/>
    <n v="8712"/>
    <s v="profit"/>
  </r>
  <r>
    <x v="307"/>
    <s v="december"/>
    <s v="Apex Innovations Co."/>
    <x v="1"/>
    <s v="Suit"/>
    <s v="Madhya Pradesh"/>
    <s v="Male"/>
    <n v="54"/>
    <n v="990"/>
    <n v="970"/>
    <n v="53460"/>
    <n v="52380"/>
    <n v="-1080"/>
    <s v="loss"/>
  </r>
  <r>
    <x v="308"/>
    <s v="january"/>
    <s v="Pure Harmony Health"/>
    <x v="1"/>
    <s v="Suit"/>
    <s v="Jharkhand"/>
    <s v="Female"/>
    <n v="72"/>
    <n v="749"/>
    <n v="1262"/>
    <n v="53928"/>
    <n v="90864"/>
    <n v="36936"/>
    <s v="profit"/>
  </r>
  <r>
    <x v="309"/>
    <s v="january"/>
    <s v="Apex Travel Innovations"/>
    <x v="1"/>
    <s v="Saree"/>
    <s v="Gujarat"/>
    <s v="Male"/>
    <n v="51"/>
    <n v="925"/>
    <n v="750"/>
    <n v="47175"/>
    <n v="38250"/>
    <n v="-8925"/>
    <s v="loss"/>
  </r>
  <r>
    <x v="310"/>
    <s v="january"/>
    <s v="Modern Health Products"/>
    <x v="1"/>
    <s v="Saree"/>
    <s v="Uttar Pradesh"/>
    <s v="Male"/>
    <n v="56"/>
    <n v="782"/>
    <n v="1353"/>
    <n v="43792"/>
    <n v="75768"/>
    <n v="31976"/>
    <s v="profit"/>
  </r>
  <r>
    <x v="311"/>
    <s v="january"/>
    <s v="Harmony Finance Group"/>
    <x v="1"/>
    <s v="Saree"/>
    <s v="Uttar Pradesh"/>
    <s v="Male"/>
    <n v="92"/>
    <n v="978"/>
    <n v="1062"/>
    <n v="89976"/>
    <n v="97704"/>
    <n v="7728"/>
    <s v="profit"/>
  </r>
  <r>
    <x v="70"/>
    <s v="august"/>
    <s v="Prestige Solutions"/>
    <x v="2"/>
    <s v="Laptop"/>
    <s v="Tamil Nadu"/>
    <s v="Female"/>
    <n v="29"/>
    <n v="818"/>
    <n v="999"/>
    <n v="23722"/>
    <n v="28971"/>
    <n v="5249"/>
    <s v="profit"/>
  </r>
  <r>
    <x v="312"/>
    <s v="january"/>
    <s v="Pure Vision Consulting"/>
    <x v="1"/>
    <s v="Saree"/>
    <s v="Tamil Nadu"/>
    <s v="Female"/>
    <n v="75"/>
    <n v="539"/>
    <n v="1068"/>
    <n v="40425"/>
    <n v="80100"/>
    <n v="39675"/>
    <s v="profit"/>
  </r>
  <r>
    <x v="313"/>
    <s v="january"/>
    <s v="Legacy Spectrum Co."/>
    <x v="1"/>
    <s v="Saree"/>
    <s v="Tamil Nadu"/>
    <s v="Male"/>
    <n v="78"/>
    <n v="608"/>
    <n v="1496"/>
    <n v="47424"/>
    <n v="116688"/>
    <n v="69264"/>
    <s v="profit"/>
  </r>
  <r>
    <x v="314"/>
    <s v="january"/>
    <s v="Stellar Media Services"/>
    <x v="1"/>
    <s v="Suit"/>
    <s v="Uttar Pradesh"/>
    <s v="Male"/>
    <n v="66"/>
    <n v="831"/>
    <n v="787"/>
    <n v="54846"/>
    <n v="51942"/>
    <n v="-2904"/>
    <s v="loss"/>
  </r>
  <r>
    <x v="315"/>
    <s v="january"/>
    <s v="Radiant Innovations Group"/>
    <x v="1"/>
    <s v="Suit"/>
    <s v="Jharkhand"/>
    <s v="Male"/>
    <n v="86"/>
    <n v="855"/>
    <n v="930"/>
    <n v="73530"/>
    <n v="79980"/>
    <n v="6450"/>
    <s v="profit"/>
  </r>
  <r>
    <x v="316"/>
    <s v="january"/>
    <s v="Horizon Path Ventures"/>
    <x v="1"/>
    <s v="Suit"/>
    <s v="Kerala"/>
    <s v="Female"/>
    <n v="84"/>
    <n v="948"/>
    <n v="1156"/>
    <n v="79632"/>
    <n v="97104"/>
    <n v="17472"/>
    <s v="profit"/>
  </r>
  <r>
    <x v="317"/>
    <s v="january"/>
    <s v="Zenith Tech Co."/>
    <x v="1"/>
    <s v="Suit"/>
    <s v="Maharashtra"/>
    <s v="Female"/>
    <n v="90"/>
    <n v="962"/>
    <n v="970"/>
    <n v="86580"/>
    <n v="87300"/>
    <n v="720"/>
    <s v="profit"/>
  </r>
  <r>
    <x v="318"/>
    <s v="january"/>
    <s v="Apex Finance Ventures"/>
    <x v="1"/>
    <s v="Suit"/>
    <s v="Himachal Pradesh"/>
    <s v="Female"/>
    <n v="84"/>
    <n v="521"/>
    <n v="1320"/>
    <n v="43764"/>
    <n v="110880"/>
    <n v="67116"/>
    <s v="profit"/>
  </r>
  <r>
    <x v="319"/>
    <s v="february"/>
    <s v="Zenith Wellness Co."/>
    <x v="1"/>
    <s v="Saree"/>
    <s v="Uttar Pradesh"/>
    <s v="Female"/>
    <n v="85"/>
    <n v="938"/>
    <n v="802"/>
    <n v="79730"/>
    <n v="68170"/>
    <n v="-11560"/>
    <s v="loss"/>
  </r>
  <r>
    <x v="71"/>
    <s v="august"/>
    <s v="Urban Wave Solutions"/>
    <x v="1"/>
    <s v="Saree"/>
    <s v="Punjab"/>
    <s v="Male"/>
    <n v="60"/>
    <n v="645"/>
    <n v="936"/>
    <n v="38700"/>
    <n v="56160"/>
    <n v="17460"/>
    <s v="profit"/>
  </r>
  <r>
    <x v="320"/>
    <s v="february"/>
    <s v="Apex Design Services"/>
    <x v="1"/>
    <s v="Saree"/>
    <s v="Uttar Pradesh"/>
    <s v="Female"/>
    <n v="62"/>
    <n v="562"/>
    <n v="884"/>
    <n v="34844"/>
    <n v="54808"/>
    <n v="19964"/>
    <s v="profit"/>
  </r>
  <r>
    <x v="321"/>
    <s v="february"/>
    <s v="Pure Health Ventures"/>
    <x v="1"/>
    <s v="Saree"/>
    <s v="Tamil Nadu"/>
    <s v="Female"/>
    <n v="50"/>
    <n v="887"/>
    <n v="1068"/>
    <n v="44350"/>
    <n v="53400"/>
    <n v="9050"/>
    <s v="profit"/>
  </r>
  <r>
    <x v="322"/>
    <s v="february"/>
    <s v="Legacy Spectrum Group"/>
    <x v="1"/>
    <s v="Saree"/>
    <s v="Rajasthan"/>
    <s v="Male"/>
    <n v="66"/>
    <n v="771"/>
    <n v="1492"/>
    <n v="50886"/>
    <n v="98472"/>
    <n v="47586"/>
    <s v="profit"/>
  </r>
  <r>
    <x v="323"/>
    <s v="february"/>
    <s v="Pinnacle Media Ventures"/>
    <x v="1"/>
    <s v="Saree"/>
    <s v="Uttar Pradesh"/>
    <s v="Male"/>
    <n v="61"/>
    <n v="529"/>
    <n v="1419"/>
    <n v="32269"/>
    <n v="86559"/>
    <n v="54290"/>
    <s v="profit"/>
  </r>
  <r>
    <x v="72"/>
    <s v="september"/>
    <s v="Visionary Realty Solutions"/>
    <x v="1"/>
    <s v="Suit"/>
    <s v="Jharkhand"/>
    <s v="Female"/>
    <n v="68"/>
    <n v="777"/>
    <n v="1433"/>
    <n v="52836"/>
    <n v="97444"/>
    <n v="44608"/>
    <s v="profit"/>
  </r>
  <r>
    <x v="324"/>
    <s v="february"/>
    <s v="Stellar Innovations Group"/>
    <x v="1"/>
    <s v="Saree"/>
    <s v="Jharkhand"/>
    <s v="Male"/>
    <n v="78"/>
    <n v="511"/>
    <n v="1368"/>
    <n v="39858"/>
    <n v="106704"/>
    <n v="66846"/>
    <s v="profit"/>
  </r>
  <r>
    <x v="325"/>
    <s v="february"/>
    <s v="Radiant Educational Co."/>
    <x v="1"/>
    <s v="Saree"/>
    <s v="Kerala"/>
    <s v="Male"/>
    <n v="96"/>
    <n v="790"/>
    <n v="1335"/>
    <n v="75840"/>
    <n v="128160"/>
    <n v="52320"/>
    <s v="profit"/>
  </r>
  <r>
    <x v="326"/>
    <s v="february"/>
    <s v="Harmony Edge Ventures"/>
    <x v="1"/>
    <s v="Saree"/>
    <s v="Maharashtra"/>
    <s v="Female"/>
    <n v="63"/>
    <n v="722"/>
    <n v="1374"/>
    <n v="45486"/>
    <n v="86562"/>
    <n v="41076"/>
    <s v="profit"/>
  </r>
  <r>
    <x v="327"/>
    <s v="february"/>
    <s v="Apex Finance Group"/>
    <x v="1"/>
    <s v="Saree"/>
    <s v="Uttarakhand"/>
    <s v="Male"/>
    <n v="92"/>
    <n v="521"/>
    <n v="1414"/>
    <n v="47932"/>
    <n v="130088"/>
    <n v="82156"/>
    <s v="profit"/>
  </r>
  <r>
    <x v="328"/>
    <s v="february"/>
    <s v="Pure Harmony Media"/>
    <x v="1"/>
    <s v="Saree"/>
    <s v="Assam"/>
    <s v="Male"/>
    <n v="65"/>
    <n v="661"/>
    <n v="1425"/>
    <n v="42965"/>
    <n v="92625"/>
    <n v="49660"/>
    <s v="profit"/>
  </r>
  <r>
    <x v="329"/>
    <s v="february"/>
    <s v="Legacy Health Co."/>
    <x v="1"/>
    <s v="Suit"/>
    <s v="Punjab"/>
    <s v="Male"/>
    <n v="77"/>
    <n v="595"/>
    <n v="1470"/>
    <n v="45815"/>
    <n v="113190"/>
    <n v="67375"/>
    <s v="profit"/>
  </r>
  <r>
    <x v="330"/>
    <s v="february"/>
    <s v="ACCOUNTS EXPERT"/>
    <x v="1"/>
    <s v="CHAIR"/>
    <s v="Punjab"/>
    <s v="Male"/>
    <n v="62"/>
    <n v="774"/>
    <n v="1050"/>
    <n v="47988"/>
    <n v="65100"/>
    <n v="17112"/>
    <s v="profit"/>
  </r>
  <r>
    <x v="198"/>
    <s v="april"/>
    <s v="Golden Horizon Ventures"/>
    <x v="1"/>
    <s v="Women dress"/>
    <s v="Karnataka"/>
    <s v="Male"/>
    <n v="65"/>
    <n v="816"/>
    <n v="1347"/>
    <n v="53040"/>
    <n v="87555"/>
    <n v="34515"/>
    <s v="profit"/>
  </r>
  <r>
    <x v="73"/>
    <s v="september"/>
    <s v="Pure Essence Solutions"/>
    <x v="0"/>
    <s v="Home décor"/>
    <s v="Gujarat"/>
    <s v="Female"/>
    <n v="19"/>
    <n v="576"/>
    <n v="1181"/>
    <n v="10944"/>
    <n v="22439"/>
    <n v="11495"/>
    <s v="profit"/>
  </r>
  <r>
    <x v="199"/>
    <s v="april"/>
    <s v="Eternal Traditions"/>
    <x v="1"/>
    <s v="Women dress"/>
    <s v="Telangana"/>
    <s v="Male"/>
    <n v="100"/>
    <n v="893"/>
    <n v="1460"/>
    <n v="89300"/>
    <n v="146000"/>
    <n v="56700"/>
    <s v="profit"/>
  </r>
  <r>
    <x v="200"/>
    <s v="april"/>
    <s v="Harmony Foods"/>
    <x v="1"/>
    <s v="Women dress"/>
    <s v="Maharashtra"/>
    <s v="Male"/>
    <n v="79"/>
    <n v="632"/>
    <n v="1271"/>
    <n v="49928"/>
    <n v="100409"/>
    <n v="50481"/>
    <s v="profit"/>
  </r>
  <r>
    <x v="201"/>
    <s v="april"/>
    <s v="Sacred Roots Apparel"/>
    <x v="1"/>
    <s v="Male dress"/>
    <s v="Maharashtra"/>
    <s v="Female"/>
    <n v="74"/>
    <n v="859"/>
    <n v="1315"/>
    <n v="63566"/>
    <n v="97310"/>
    <n v="33744"/>
    <s v="profit"/>
  </r>
  <r>
    <x v="202"/>
    <s v="april"/>
    <s v="Quantum Finance Services"/>
    <x v="1"/>
    <s v="Male dress"/>
    <s v="Chandigarh"/>
    <s v="Female"/>
    <n v="77"/>
    <n v="579"/>
    <n v="1178"/>
    <n v="44583"/>
    <n v="90706"/>
    <n v="46123"/>
    <s v="profit"/>
  </r>
  <r>
    <x v="74"/>
    <s v="september"/>
    <s v="Crystal Health Solutions"/>
    <x v="0"/>
    <s v="Home décor"/>
    <s v="Uttar Pradesh"/>
    <s v="Male"/>
    <n v="16"/>
    <n v="689"/>
    <n v="1068"/>
    <n v="11024"/>
    <n v="17088"/>
    <n v="6064"/>
    <s v="profit"/>
  </r>
  <r>
    <x v="203"/>
    <s v="april"/>
    <s v="Brilliant Minds Academy"/>
    <x v="1"/>
    <s v="Male dress"/>
    <s v="Madhya Pradesh"/>
    <s v="Female"/>
    <n v="61"/>
    <n v="865"/>
    <n v="894"/>
    <n v="52765"/>
    <n v="54534"/>
    <n v="1769"/>
    <s v="profit"/>
  </r>
  <r>
    <x v="204"/>
    <s v="april"/>
    <s v="Visionary Holdings"/>
    <x v="1"/>
    <s v="Male dress"/>
    <s v="Andhra Pradesh"/>
    <s v="Female"/>
    <n v="57"/>
    <n v="881"/>
    <n v="1185"/>
    <n v="50217"/>
    <n v="67545"/>
    <n v="17328"/>
    <s v="profit"/>
  </r>
  <r>
    <x v="205"/>
    <s v="april"/>
    <s v="Stellar Design Studio"/>
    <x v="1"/>
    <s v="Male dress"/>
    <s v="Bihar"/>
    <s v="Female"/>
    <n v="57"/>
    <n v="548"/>
    <n v="1306"/>
    <n v="31236"/>
    <n v="74442"/>
    <n v="43206"/>
    <s v="profit"/>
  </r>
  <r>
    <x v="206"/>
    <s v="april"/>
    <s v="Classic Cuisines"/>
    <x v="1"/>
    <s v="Male dress"/>
    <s v="Gujarat"/>
    <s v="Male"/>
    <n v="84"/>
    <n v="702"/>
    <n v="787"/>
    <n v="58968"/>
    <n v="66108"/>
    <n v="7140"/>
    <s v="profit"/>
  </r>
  <r>
    <x v="207"/>
    <s v="april"/>
    <s v="Bold Ventures"/>
    <x v="1"/>
    <s v="Male dress"/>
    <s v="Uttar Pradesh"/>
    <s v="Male"/>
    <n v="76"/>
    <n v="875"/>
    <n v="1268"/>
    <n v="66500"/>
    <n v="96368"/>
    <n v="29868"/>
    <s v="profit"/>
  </r>
  <r>
    <x v="208"/>
    <s v="may"/>
    <s v="Radiance Spa"/>
    <x v="1"/>
    <s v="Saree"/>
    <s v="Rajasthan"/>
    <s v="Male"/>
    <n v="50"/>
    <n v="885"/>
    <n v="927"/>
    <n v="44250"/>
    <n v="46350"/>
    <n v="2100"/>
    <s v="profit"/>
  </r>
  <r>
    <x v="209"/>
    <s v="may"/>
    <s v="Verve Fitness Studio"/>
    <x v="1"/>
    <s v="Saree"/>
    <s v="Uttar Pradesh"/>
    <s v="Female"/>
    <n v="53"/>
    <n v="950"/>
    <n v="875"/>
    <n v="50350"/>
    <n v="46375"/>
    <n v="-3975"/>
    <s v="loss"/>
  </r>
  <r>
    <x v="210"/>
    <s v="may"/>
    <s v="Sparkle Cleaners"/>
    <x v="1"/>
    <s v="Saree"/>
    <s v="Uttar Pradesh"/>
    <s v="Female"/>
    <n v="62"/>
    <n v="623"/>
    <n v="1253"/>
    <n v="38626"/>
    <n v="77686"/>
    <n v="39060"/>
    <s v="profit"/>
  </r>
  <r>
    <x v="75"/>
    <s v="september"/>
    <s v="Stellar Travel Solutions"/>
    <x v="0"/>
    <s v="Car accessories"/>
    <s v="Uttar Pradesh"/>
    <s v="Female"/>
    <n v="18"/>
    <n v="835"/>
    <n v="1234"/>
    <n v="15030"/>
    <n v="22212"/>
    <n v="7182"/>
    <s v="profit"/>
  </r>
  <r>
    <x v="211"/>
    <s v="may"/>
    <s v="Global Reach Logistics"/>
    <x v="1"/>
    <s v="Saree"/>
    <s v="Maharashtra"/>
    <s v="Female"/>
    <n v="72"/>
    <n v="920"/>
    <n v="753"/>
    <n v="66240"/>
    <n v="54216"/>
    <n v="-12024"/>
    <s v="loss"/>
  </r>
  <r>
    <x v="76"/>
    <s v="september"/>
    <s v="Pure Harmony Solutions"/>
    <x v="0"/>
    <s v="Car accessories"/>
    <s v="Tamil Nadu"/>
    <s v="Female"/>
    <n v="13"/>
    <n v="855"/>
    <n v="951"/>
    <n v="11115"/>
    <n v="12363"/>
    <n v="1248"/>
    <s v="profit"/>
  </r>
  <r>
    <x v="212"/>
    <s v="may"/>
    <s v="Noble Path Finance"/>
    <x v="1"/>
    <s v="Saree"/>
    <s v="Madhya Pradesh"/>
    <s v="Female"/>
    <n v="69"/>
    <n v="860"/>
    <n v="1081"/>
    <n v="59340"/>
    <n v="74589"/>
    <n v="15249"/>
    <s v="profit"/>
  </r>
  <r>
    <x v="213"/>
    <s v="may"/>
    <s v="Dynamic Events Management"/>
    <x v="1"/>
    <s v="Saree"/>
    <s v="Maharashtra"/>
    <s v="Female"/>
    <n v="80"/>
    <n v="765"/>
    <n v="924"/>
    <n v="61200"/>
    <n v="73920"/>
    <n v="12720"/>
    <s v="profit"/>
  </r>
  <r>
    <x v="214"/>
    <s v="may"/>
    <s v="Crystal Waters Resort"/>
    <x v="1"/>
    <s v="Saree"/>
    <s v="Chandigarh"/>
    <s v="Female"/>
    <n v="75"/>
    <n v="690"/>
    <n v="817"/>
    <n v="51750"/>
    <n v="61275"/>
    <n v="9525"/>
    <s v="profit"/>
  </r>
  <r>
    <x v="215"/>
    <s v="may"/>
    <s v="Excellence Tutors"/>
    <x v="1"/>
    <s v="Saree"/>
    <s v="Madhya Pradesh"/>
    <s v="Female"/>
    <n v="100"/>
    <n v="795"/>
    <n v="1136"/>
    <n v="79500"/>
    <n v="113600"/>
    <n v="34100"/>
    <s v="profit"/>
  </r>
  <r>
    <x v="216"/>
    <s v="may"/>
    <s v="Horizon Builders"/>
    <x v="1"/>
    <s v="Saree"/>
    <s v="Andhra Pradesh"/>
    <s v="Male"/>
    <n v="85"/>
    <n v="845"/>
    <n v="1155"/>
    <n v="71825"/>
    <n v="98175"/>
    <n v="26350"/>
    <s v="profit"/>
  </r>
  <r>
    <x v="77"/>
    <s v="october"/>
    <s v="Modern Spectrum Solutions"/>
    <x v="1"/>
    <s v="Saree"/>
    <s v="Maharashtra"/>
    <s v="Female"/>
    <n v="79"/>
    <n v="683"/>
    <n v="1444"/>
    <n v="53957"/>
    <n v="114076"/>
    <n v="60119"/>
    <s v="profit"/>
  </r>
  <r>
    <x v="217"/>
    <s v="may"/>
    <s v="Classic Heritage Crafts"/>
    <x v="1"/>
    <s v="Saree"/>
    <s v="Gujarat"/>
    <s v="Male"/>
    <n v="51"/>
    <n v="876"/>
    <n v="1252"/>
    <n v="44676"/>
    <n v="63852"/>
    <n v="19176"/>
    <s v="profit"/>
  </r>
  <r>
    <x v="218"/>
    <s v="may"/>
    <s v="Prime Focus Media"/>
    <x v="1"/>
    <s v="Suit"/>
    <s v="Uttar Pradesh"/>
    <s v="Male"/>
    <n v="55"/>
    <n v="793"/>
    <n v="1045"/>
    <n v="43615"/>
    <n v="57475"/>
    <n v="13860"/>
    <s v="profit"/>
  </r>
  <r>
    <x v="219"/>
    <s v="june"/>
    <s v="Noble Nutraceuticals"/>
    <x v="1"/>
    <s v="Suit"/>
    <s v="Uttar Pradesh"/>
    <s v="Female"/>
    <n v="82"/>
    <n v="641"/>
    <n v="809"/>
    <n v="52562"/>
    <n v="66338"/>
    <n v="13776"/>
    <s v="profit"/>
  </r>
  <r>
    <x v="220"/>
    <s v="june"/>
    <s v="Supreme Travel Agency"/>
    <x v="1"/>
    <s v="Suit"/>
    <s v="Tamil Nadu"/>
    <s v="Male"/>
    <n v="80"/>
    <n v="678"/>
    <n v="1016"/>
    <n v="54240"/>
    <n v="81280"/>
    <n v="27040"/>
    <s v="profit"/>
  </r>
  <r>
    <x v="221"/>
    <s v="june"/>
    <s v="Future Vision Tech"/>
    <x v="1"/>
    <s v="Suit"/>
    <s v="Tamil Nadu"/>
    <s v="Male"/>
    <n v="76"/>
    <n v="585"/>
    <n v="1366"/>
    <n v="44460"/>
    <n v="103816"/>
    <n v="59356"/>
    <s v="profit"/>
  </r>
  <r>
    <x v="222"/>
    <s v="june"/>
    <s v="Urban Groove Apparel"/>
    <x v="1"/>
    <s v="Suit"/>
    <s v="Rajasthan"/>
    <s v="Male"/>
    <n v="93"/>
    <n v="662"/>
    <n v="1319"/>
    <n v="61566"/>
    <n v="122667"/>
    <n v="61101"/>
    <s v="profit"/>
  </r>
  <r>
    <x v="81"/>
    <s v="october"/>
    <s v="Apex Creative Solutions"/>
    <x v="1"/>
    <s v="Suit"/>
    <s v="West Bengal"/>
    <s v="Male"/>
    <n v="67"/>
    <n v="711"/>
    <n v="1280"/>
    <n v="47637"/>
    <n v="85760"/>
    <n v="38123"/>
    <s v="profit"/>
  </r>
  <r>
    <x v="223"/>
    <s v="june"/>
    <s v="Echo Real Estate"/>
    <x v="1"/>
    <s v="Suit"/>
    <s v="Uttar Pradesh"/>
    <s v="Male"/>
    <n v="51"/>
    <n v="744"/>
    <n v="782"/>
    <n v="37944"/>
    <n v="39882"/>
    <n v="1938"/>
    <s v="profit"/>
  </r>
  <r>
    <x v="224"/>
    <s v="june"/>
    <s v="Pinnacle Health Products"/>
    <x v="1"/>
    <s v="Suit"/>
    <s v="Jharkhand"/>
    <s v="Female"/>
    <n v="88"/>
    <n v="820"/>
    <n v="1241"/>
    <n v="72160"/>
    <n v="109208"/>
    <n v="37048"/>
    <s v="profit"/>
  </r>
  <r>
    <x v="225"/>
    <s v="june"/>
    <s v="Apex Auto Care"/>
    <x v="1"/>
    <s v="Suit"/>
    <s v="Kerala"/>
    <s v="Female"/>
    <n v="72"/>
    <n v="937"/>
    <n v="1154"/>
    <n v="67464"/>
    <n v="83088"/>
    <n v="15624"/>
    <s v="profit"/>
  </r>
  <r>
    <x v="226"/>
    <s v="june"/>
    <s v="Royal Glow Cosmetics"/>
    <x v="1"/>
    <s v="Suit"/>
    <s v="Maharashtra"/>
    <s v="Female"/>
    <n v="55"/>
    <n v="685"/>
    <n v="824"/>
    <n v="37675"/>
    <n v="45320"/>
    <n v="7645"/>
    <s v="profit"/>
  </r>
  <r>
    <x v="86"/>
    <s v="october"/>
    <s v="Radiance Solutions Group"/>
    <x v="0"/>
    <s v="Home décor"/>
    <s v="Bihar"/>
    <s v="Female"/>
    <n v="20"/>
    <n v="963"/>
    <n v="865"/>
    <n v="19260"/>
    <n v="17300"/>
    <n v="-1960"/>
    <s v="loss"/>
  </r>
  <r>
    <x v="227"/>
    <s v="june"/>
    <s v="Zenith Culinary Arts"/>
    <x v="1"/>
    <s v="Suit"/>
    <s v="Himachal Pradesh"/>
    <s v="Female"/>
    <n v="55"/>
    <n v="661"/>
    <n v="1133"/>
    <n v="36355"/>
    <n v="62315"/>
    <n v="25960"/>
    <s v="profit"/>
  </r>
  <r>
    <x v="228"/>
    <s v="june"/>
    <s v="Visionary Tours"/>
    <x v="1"/>
    <s v="Suit"/>
    <s v="Uttarakhand"/>
    <s v="Female"/>
    <n v="72"/>
    <n v="804"/>
    <n v="833"/>
    <n v="57888"/>
    <n v="59976"/>
    <n v="2088"/>
    <s v="profit"/>
  </r>
  <r>
    <x v="89"/>
    <s v="october"/>
    <s v="Modern Edge Solutions"/>
    <x v="0"/>
    <s v="Home décor"/>
    <s v="Uttar Pradesh"/>
    <s v="Female"/>
    <n v="14"/>
    <n v="913"/>
    <n v="1155"/>
    <n v="12782"/>
    <n v="16170"/>
    <n v="3388"/>
    <s v="profit"/>
  </r>
  <r>
    <x v="229"/>
    <s v="june"/>
    <s v="Elite Essence Products"/>
    <x v="1"/>
    <s v="Saree"/>
    <s v="West Bengal"/>
    <s v="Male"/>
    <n v="87"/>
    <n v="616"/>
    <n v="1447"/>
    <n v="53592"/>
    <n v="125889"/>
    <n v="72297"/>
    <s v="profit"/>
  </r>
  <r>
    <x v="91"/>
    <s v="october"/>
    <s v="Horizon Health Solutions"/>
    <x v="2"/>
    <s v="Speaker"/>
    <s v="Tamil Nadu"/>
    <s v="Female"/>
    <n v="23"/>
    <n v="616"/>
    <n v="919"/>
    <n v="14168"/>
    <n v="21137"/>
    <n v="6969"/>
    <s v="profit"/>
  </r>
  <r>
    <x v="230"/>
    <s v="june"/>
    <s v="Dynamic Creations"/>
    <x v="1"/>
    <s v="Saree"/>
    <s v="Karnataka"/>
    <s v="Male"/>
    <n v="57"/>
    <n v="724"/>
    <n v="1432"/>
    <n v="41268"/>
    <n v="81624"/>
    <n v="40356"/>
    <s v="profit"/>
  </r>
  <r>
    <x v="93"/>
    <s v="october"/>
    <s v="Apex Marketing Solutions"/>
    <x v="2"/>
    <s v="Earbuds"/>
    <s v="Uttar Pradesh"/>
    <s v="Male"/>
    <n v="28"/>
    <n v="539"/>
    <n v="1106"/>
    <n v="15092"/>
    <n v="30968"/>
    <n v="15876"/>
    <s v="profit"/>
  </r>
  <r>
    <x v="231"/>
    <s v="june"/>
    <s v="Quantum Design Studio"/>
    <x v="1"/>
    <s v="Saree"/>
    <s v="Delhi"/>
    <s v="Male"/>
    <n v="85"/>
    <n v="639"/>
    <n v="1447"/>
    <n v="54315"/>
    <n v="122995"/>
    <n v="68680"/>
    <s v="profit"/>
  </r>
  <r>
    <x v="232"/>
    <s v="june"/>
    <s v="Apex Construction"/>
    <x v="1"/>
    <s v="Saree"/>
    <s v="West Bengal"/>
    <s v="Female"/>
    <n v="81"/>
    <n v="776"/>
    <n v="895"/>
    <n v="62856"/>
    <n v="72495"/>
    <n v="9639"/>
    <s v="profit"/>
  </r>
  <r>
    <x v="233"/>
    <s v="june"/>
    <s v="Legacy Innovations"/>
    <x v="1"/>
    <s v="Suit"/>
    <s v="Tamil Nadu"/>
    <s v="Female"/>
    <n v="86"/>
    <n v="705"/>
    <n v="1483"/>
    <n v="60630"/>
    <n v="127538"/>
    <n v="66908"/>
    <s v="profit"/>
  </r>
  <r>
    <x v="234"/>
    <s v="june"/>
    <s v="Pure Harmony Foods"/>
    <x v="1"/>
    <s v="Suit"/>
    <s v="Karnataka"/>
    <s v="Male"/>
    <n v="80"/>
    <n v="901"/>
    <n v="1109"/>
    <n v="72080"/>
    <n v="88720"/>
    <n v="16640"/>
    <s v="profit"/>
  </r>
  <r>
    <x v="235"/>
    <s v="june"/>
    <s v="Zenith Security Systems"/>
    <x v="1"/>
    <s v="Suit"/>
    <s v="Telangana"/>
    <s v="Male"/>
    <n v="59"/>
    <n v="502"/>
    <n v="1212"/>
    <n v="29618"/>
    <n v="71508"/>
    <n v="41890"/>
    <s v="profit"/>
  </r>
  <r>
    <x v="236"/>
    <s v="june"/>
    <s v="Crystal Clear Beverages"/>
    <x v="1"/>
    <s v="Suit"/>
    <s v="Gujarat"/>
    <s v="Male"/>
    <n v="52"/>
    <n v="556"/>
    <n v="1402"/>
    <n v="28912"/>
    <n v="72904"/>
    <n v="43992"/>
    <s v="profit"/>
  </r>
  <r>
    <x v="237"/>
    <s v="june"/>
    <s v="Metro Line Tech"/>
    <x v="1"/>
    <s v="Suit"/>
    <s v="Maharashtra"/>
    <s v="Male"/>
    <n v="92"/>
    <n v="953"/>
    <n v="790"/>
    <n v="87676"/>
    <n v="72680"/>
    <n v="-14996"/>
    <s v="loss"/>
  </r>
  <r>
    <x v="238"/>
    <s v="june"/>
    <s v="Urban Pulse Consulting"/>
    <x v="1"/>
    <s v="Suit"/>
    <s v="Rajasthan"/>
    <s v="Male"/>
    <n v="96"/>
    <n v="961"/>
    <n v="1174"/>
    <n v="92256"/>
    <n v="112704"/>
    <n v="20448"/>
    <s v="profit"/>
  </r>
  <r>
    <x v="239"/>
    <s v="july"/>
    <s v="Legacy Design Group"/>
    <x v="1"/>
    <s v="Saree"/>
    <s v="Punjab"/>
    <s v="Female"/>
    <n v="79"/>
    <n v="880"/>
    <n v="1403"/>
    <n v="69520"/>
    <n v="110837"/>
    <n v="41317"/>
    <s v="profit"/>
  </r>
  <r>
    <x v="240"/>
    <s v="july"/>
    <s v="Supreme Wellness"/>
    <x v="1"/>
    <s v="Saree"/>
    <s v="Chhattisgarh"/>
    <s v="Female"/>
    <n v="62"/>
    <n v="936"/>
    <n v="1364"/>
    <n v="58032"/>
    <n v="84568"/>
    <n v="26536"/>
    <s v="profit"/>
  </r>
  <r>
    <x v="241"/>
    <s v="july"/>
    <s v="Harmony Tech Innovations"/>
    <x v="1"/>
    <s v="Saree"/>
    <s v="West Bengal"/>
    <s v="Female"/>
    <n v="53"/>
    <n v="791"/>
    <n v="1253"/>
    <n v="41923"/>
    <n v="66409"/>
    <n v="24486"/>
    <s v="profit"/>
  </r>
  <r>
    <x v="105"/>
    <s v="november"/>
    <s v="Radiance Solutions Co."/>
    <x v="1"/>
    <s v="Male dress"/>
    <s v="Jharkhand"/>
    <s v="Female"/>
    <n v="74"/>
    <n v="636"/>
    <n v="955"/>
    <n v="47064"/>
    <n v="70670"/>
    <n v="23606"/>
    <s v="profit"/>
  </r>
  <r>
    <x v="242"/>
    <s v="july"/>
    <s v="Stellar Education Services"/>
    <x v="1"/>
    <s v="Saree"/>
    <s v="West Bengal"/>
    <s v="Female"/>
    <n v="56"/>
    <n v="740"/>
    <n v="1464"/>
    <n v="41440"/>
    <n v="81984"/>
    <n v="40544"/>
    <s v="profit"/>
  </r>
  <r>
    <x v="243"/>
    <s v="july"/>
    <s v="Visionary Health Products"/>
    <x v="1"/>
    <s v="Saree"/>
    <s v="Madhya Pradesh"/>
    <s v="Female"/>
    <n v="63"/>
    <n v="519"/>
    <n v="826"/>
    <n v="32697"/>
    <n v="52038"/>
    <n v="19341"/>
    <s v="profit"/>
  </r>
  <r>
    <x v="108"/>
    <s v="november"/>
    <s v="Horizon Creative Solutions"/>
    <x v="1"/>
    <s v="Male dress"/>
    <s v="Delhi"/>
    <s v="Female"/>
    <n v="83"/>
    <n v="569"/>
    <n v="1232"/>
    <n v="47227"/>
    <n v="102256"/>
    <n v="55029"/>
    <s v="profit"/>
  </r>
  <r>
    <x v="244"/>
    <s v="july"/>
    <s v="Crystal Innovations"/>
    <x v="1"/>
    <s v="Saree"/>
    <s v="Jharkhand"/>
    <s v="Female"/>
    <n v="73"/>
    <n v="857"/>
    <n v="1024"/>
    <n v="62561"/>
    <n v="74752"/>
    <n v="12191"/>
    <s v="profit"/>
  </r>
  <r>
    <x v="245"/>
    <s v="july"/>
    <s v="Future Trends Retail"/>
    <x v="1"/>
    <s v="Saree"/>
    <s v="West Bengal"/>
    <s v="Female"/>
    <n v="67"/>
    <n v="725"/>
    <n v="884"/>
    <n v="48575"/>
    <n v="59228"/>
    <n v="10653"/>
    <s v="profit"/>
  </r>
  <r>
    <x v="246"/>
    <s v="july"/>
    <s v="Radiant Horizon Ventures"/>
    <x v="1"/>
    <s v="Saree"/>
    <s v="Karnataka"/>
    <s v="Female"/>
    <n v="74"/>
    <n v="691"/>
    <n v="871"/>
    <n v="51134"/>
    <n v="64454"/>
    <n v="13320"/>
    <s v="profit"/>
  </r>
  <r>
    <x v="247"/>
    <s v="july"/>
    <s v="Urban Edge Realty"/>
    <x v="1"/>
    <s v="Saree"/>
    <s v="Delhi"/>
    <s v="Male"/>
    <n v="92"/>
    <n v="981"/>
    <n v="1157"/>
    <n v="90252"/>
    <n v="106444"/>
    <n v="16192"/>
    <s v="profit"/>
  </r>
  <r>
    <x v="113"/>
    <s v="november"/>
    <s v="Urban Spectrum Solutions"/>
    <x v="2"/>
    <s v="TV"/>
    <s v="Telangana"/>
    <s v="Male"/>
    <n v="23"/>
    <n v="663"/>
    <n v="1215"/>
    <n v="15249"/>
    <n v="27945"/>
    <n v="12696"/>
    <s v="profit"/>
  </r>
  <r>
    <x v="248"/>
    <s v="july"/>
    <s v="Prime Focus Innovations"/>
    <x v="1"/>
    <s v="Saree"/>
    <s v="Maharashtra"/>
    <s v="Male"/>
    <n v="63"/>
    <n v="547"/>
    <n v="1150"/>
    <n v="34461"/>
    <n v="72450"/>
    <n v="37989"/>
    <s v="profit"/>
  </r>
  <r>
    <x v="249"/>
    <s v="august"/>
    <s v="Elite Spectrum Consulting"/>
    <x v="1"/>
    <s v="Saree"/>
    <s v="West Bengal"/>
    <s v="Male"/>
    <n v="69"/>
    <n v="531"/>
    <n v="1210"/>
    <n v="36639"/>
    <n v="83490"/>
    <n v="46851"/>
    <s v="profit"/>
  </r>
  <r>
    <x v="250"/>
    <s v="august"/>
    <s v="Dynamic Design Studio"/>
    <x v="1"/>
    <s v="Saree"/>
    <s v="Tamil Nadu"/>
    <s v="Male"/>
    <n v="84"/>
    <n v="806"/>
    <n v="1242"/>
    <n v="67704"/>
    <n v="104328"/>
    <n v="36624"/>
    <s v="profit"/>
  </r>
  <r>
    <x v="117"/>
    <s v="november"/>
    <s v="Legacy Wellness Solutions"/>
    <x v="2"/>
    <s v="TV"/>
    <s v="Gujarat"/>
    <s v="Female"/>
    <n v="26"/>
    <n v="878"/>
    <n v="1492"/>
    <n v="22828"/>
    <n v="38792"/>
    <n v="15964"/>
    <s v="profit"/>
  </r>
  <r>
    <x v="251"/>
    <s v="august"/>
    <s v="Royal Crest Foods"/>
    <x v="1"/>
    <s v="Suit"/>
    <s v="Telangana"/>
    <s v="Female"/>
    <n v="71"/>
    <n v="565"/>
    <n v="807"/>
    <n v="40115"/>
    <n v="57297"/>
    <n v="17182"/>
    <s v="profit"/>
  </r>
  <r>
    <x v="119"/>
    <s v="november"/>
    <s v="Horizon Media Solutions"/>
    <x v="2"/>
    <s v="TV"/>
    <s v="Uttar Pradesh"/>
    <s v="Female"/>
    <n v="25"/>
    <n v="547"/>
    <n v="1342"/>
    <n v="13675"/>
    <n v="33550"/>
    <n v="19875"/>
    <s v="profit"/>
  </r>
  <r>
    <x v="252"/>
    <s v="august"/>
    <s v="Zenith Travels"/>
    <x v="1"/>
    <s v="Suit"/>
    <s v="Gujarat"/>
    <s v="Female"/>
    <n v="90"/>
    <n v="634"/>
    <n v="1465"/>
    <n v="57060"/>
    <n v="131850"/>
    <n v="74790"/>
    <s v="profit"/>
  </r>
  <r>
    <x v="253"/>
    <s v="august"/>
    <s v="Quantum Media Group"/>
    <x v="1"/>
    <s v="Saree"/>
    <s v="Uttar Pradesh"/>
    <s v="Female"/>
    <n v="61"/>
    <n v="675"/>
    <n v="770"/>
    <n v="41175"/>
    <n v="46970"/>
    <n v="5795"/>
    <s v="profit"/>
  </r>
  <r>
    <x v="254"/>
    <s v="august"/>
    <s v="Legacy Builders"/>
    <x v="1"/>
    <s v="Saree"/>
    <s v="Jharkhand"/>
    <s v="Female"/>
    <n v="58"/>
    <n v="720"/>
    <n v="1356"/>
    <n v="41760"/>
    <n v="78648"/>
    <n v="36888"/>
    <s v="profit"/>
  </r>
  <r>
    <x v="255"/>
    <s v="august"/>
    <s v="Apex Spa &amp; Wellness"/>
    <x v="1"/>
    <s v="Saree"/>
    <s v="Kerala"/>
    <s v="Female"/>
    <n v="60"/>
    <n v="676"/>
    <n v="768"/>
    <n v="40560"/>
    <n v="46080"/>
    <n v="5520"/>
    <s v="profit"/>
  </r>
  <r>
    <x v="256"/>
    <s v="august"/>
    <s v="Radiant Travel Services"/>
    <x v="1"/>
    <s v="Saree"/>
    <s v="Maharashtra"/>
    <s v="Female"/>
    <n v="91"/>
    <n v="808"/>
    <n v="928"/>
    <n v="73528"/>
    <n v="84448"/>
    <n v="10920"/>
    <s v="profit"/>
  </r>
  <r>
    <x v="257"/>
    <s v="august"/>
    <s v="Modern Trends Consulting"/>
    <x v="1"/>
    <s v="Saree"/>
    <s v="Himachal Pradesh"/>
    <s v="Female"/>
    <n v="99"/>
    <n v="528"/>
    <n v="985"/>
    <n v="52272"/>
    <n v="97515"/>
    <n v="45243"/>
    <s v="profit"/>
  </r>
  <r>
    <x v="258"/>
    <s v="august"/>
    <s v="Global Horizon Ventures"/>
    <x v="1"/>
    <s v="Saree"/>
    <s v="Uttarakhand"/>
    <s v="Female"/>
    <n v="73"/>
    <n v="783"/>
    <n v="903"/>
    <n v="57159"/>
    <n v="65919"/>
    <n v="8760"/>
    <s v="profit"/>
  </r>
  <r>
    <x v="259"/>
    <s v="august"/>
    <s v="Elite Enterprises"/>
    <x v="1"/>
    <s v="Saree"/>
    <s v="Assam"/>
    <s v="Male"/>
    <n v="59"/>
    <n v="638"/>
    <n v="1080"/>
    <n v="37642"/>
    <n v="63720"/>
    <n v="26078"/>
    <s v="profit"/>
  </r>
  <r>
    <x v="260"/>
    <s v="september"/>
    <s v="Pinnacle Health Innovations"/>
    <x v="1"/>
    <s v="Saree"/>
    <s v="Chhattisgarh"/>
    <s v="Male"/>
    <n v="68"/>
    <n v="881"/>
    <n v="1266"/>
    <n v="59908"/>
    <n v="86088"/>
    <n v="26180"/>
    <s v="profit"/>
  </r>
  <r>
    <x v="129"/>
    <s v="november"/>
    <s v="Urban Vision Solutions"/>
    <x v="2"/>
    <s v="Laptop"/>
    <s v="Uttar Pradesh"/>
    <s v="Female"/>
    <n v="22"/>
    <n v="606"/>
    <n v="1459"/>
    <n v="13332"/>
    <n v="32098"/>
    <n v="18766"/>
    <s v="profit"/>
  </r>
  <r>
    <x v="261"/>
    <s v="september"/>
    <s v="Horizon Fashion"/>
    <x v="1"/>
    <s v="Suit"/>
    <s v="West Bengal"/>
    <s v="Male"/>
    <n v="55"/>
    <n v="639"/>
    <n v="1311"/>
    <n v="35145"/>
    <n v="72105"/>
    <n v="36960"/>
    <s v="profit"/>
  </r>
  <r>
    <x v="262"/>
    <s v="september"/>
    <s v="Crystal Essence Beverages"/>
    <x v="1"/>
    <s v="Suit"/>
    <s v="West Bengal"/>
    <s v="Male"/>
    <n v="52"/>
    <n v="718"/>
    <n v="919"/>
    <n v="37336"/>
    <n v="47788"/>
    <n v="10452"/>
    <s v="profit"/>
  </r>
  <r>
    <x v="132"/>
    <s v="december"/>
    <s v="Pinnacle Travel Solutions"/>
    <x v="2"/>
    <s v="Laptop"/>
    <s v="Rajasthan"/>
    <s v="Male"/>
    <n v="28"/>
    <n v="507"/>
    <n v="1379"/>
    <n v="14196"/>
    <n v="38612"/>
    <n v="24416"/>
    <s v="profit"/>
  </r>
  <r>
    <x v="263"/>
    <s v="september"/>
    <s v="Dynamic Pathways"/>
    <x v="1"/>
    <s v="Suit"/>
    <s v="Madhya Pradesh"/>
    <s v="Female"/>
    <n v="95"/>
    <n v="944"/>
    <n v="1263"/>
    <n v="89680"/>
    <n v="119985"/>
    <n v="30305"/>
    <s v="profit"/>
  </r>
  <r>
    <x v="264"/>
    <s v="september"/>
    <s v="Radiance Apparel"/>
    <x v="1"/>
    <s v="Suit"/>
    <s v="West Bengal"/>
    <s v="Female"/>
    <n v="99"/>
    <n v="523"/>
    <n v="1350"/>
    <n v="51777"/>
    <n v="133650"/>
    <n v="81873"/>
    <s v="profit"/>
  </r>
  <r>
    <x v="265"/>
    <s v="september"/>
    <s v="Zenith Design Group"/>
    <x v="1"/>
    <s v="Suit"/>
    <s v="Karnataka"/>
    <s v="Male"/>
    <n v="92"/>
    <n v="814"/>
    <n v="865"/>
    <n v="74888"/>
    <n v="79580"/>
    <n v="4692"/>
    <s v="profit"/>
  </r>
  <r>
    <x v="266"/>
    <s v="september"/>
    <s v="Modern Horizons Consulting"/>
    <x v="1"/>
    <s v="Suit"/>
    <s v="Maharashtra"/>
    <s v="Male"/>
    <n v="62"/>
    <n v="891"/>
    <n v="1170"/>
    <n v="55242"/>
    <n v="72540"/>
    <n v="17298"/>
    <s v="profit"/>
  </r>
  <r>
    <x v="137"/>
    <s v="december"/>
    <s v="Harmony Health Solutions"/>
    <x v="2"/>
    <s v="Laptop"/>
    <s v="Himachal Pradesh"/>
    <s v="Male"/>
    <n v="29"/>
    <n v="989"/>
    <n v="836"/>
    <n v="28681"/>
    <n v="24244"/>
    <n v="-4437"/>
    <s v="loss"/>
  </r>
  <r>
    <x v="267"/>
    <s v="september"/>
    <s v="Apex Realty Services"/>
    <x v="1"/>
    <s v="Suit"/>
    <s v="Madhya Pradesh"/>
    <s v="Male"/>
    <n v="89"/>
    <n v="990"/>
    <n v="1047"/>
    <n v="88110"/>
    <n v="93183"/>
    <n v="5073"/>
    <s v="profit"/>
  </r>
  <r>
    <x v="268"/>
    <s v="september"/>
    <s v="Zenith Educational Group"/>
    <x v="1"/>
    <s v="Suit"/>
    <s v="Maharashtra"/>
    <s v="Male"/>
    <n v="61"/>
    <n v="907"/>
    <n v="1327"/>
    <n v="55327"/>
    <n v="80947"/>
    <n v="25620"/>
    <s v="profit"/>
  </r>
  <r>
    <x v="140"/>
    <s v="december"/>
    <s v="Modern Vision Solutions"/>
    <x v="1"/>
    <s v="Saree"/>
    <s v="Punjab"/>
    <s v="Male"/>
    <n v="55"/>
    <n v="666"/>
    <n v="1358"/>
    <n v="36630"/>
    <n v="74690"/>
    <n v="38060"/>
    <s v="profit"/>
  </r>
  <r>
    <x v="269"/>
    <s v="september"/>
    <s v="True Path Ventures"/>
    <x v="1"/>
    <s v="Suit"/>
    <s v="Chandigarh"/>
    <s v="Female"/>
    <n v="52"/>
    <n v="766"/>
    <n v="1318"/>
    <n v="39832"/>
    <n v="68536"/>
    <n v="28704"/>
    <s v="profit"/>
  </r>
  <r>
    <x v="270"/>
    <s v="september"/>
    <s v="Radiance Media"/>
    <x v="1"/>
    <s v="Suit"/>
    <s v="Madhya Pradesh"/>
    <s v="Male"/>
    <n v="96"/>
    <n v="520"/>
    <n v="1208"/>
    <n v="49920"/>
    <n v="115968"/>
    <n v="66048"/>
    <s v="profit"/>
  </r>
  <r>
    <x v="271"/>
    <s v="september"/>
    <s v="Legacy Health Systems"/>
    <x v="1"/>
    <s v="Suit"/>
    <s v="Andhra Pradesh"/>
    <s v="Male"/>
    <n v="90"/>
    <n v="792"/>
    <n v="818"/>
    <n v="71280"/>
    <n v="73620"/>
    <n v="2340"/>
    <s v="profit"/>
  </r>
  <r>
    <x v="272"/>
    <s v="september"/>
    <s v="Urban Focus Products"/>
    <x v="1"/>
    <s v="Suit"/>
    <s v="Bihar"/>
    <s v="Male"/>
    <n v="98"/>
    <n v="711"/>
    <n v="1190"/>
    <n v="69678"/>
    <n v="116620"/>
    <n v="46942"/>
    <s v="profit"/>
  </r>
  <r>
    <x v="145"/>
    <s v="december"/>
    <s v="Radiant Educational Solutions"/>
    <x v="1"/>
    <s v="Saree"/>
    <s v="Uttar Pradesh"/>
    <s v="Female"/>
    <n v="94"/>
    <n v="616"/>
    <n v="1200"/>
    <n v="57904"/>
    <n v="112800"/>
    <n v="54896"/>
    <s v="profit"/>
  </r>
  <r>
    <x v="273"/>
    <s v="october"/>
    <s v="Visionary Innovations"/>
    <x v="1"/>
    <s v="Saree"/>
    <s v="Jharkhand"/>
    <s v="Female"/>
    <n v="93"/>
    <n v="660"/>
    <n v="880"/>
    <n v="61380"/>
    <n v="81840"/>
    <n v="20460"/>
    <s v="profit"/>
  </r>
  <r>
    <x v="274"/>
    <s v="october"/>
    <s v="Horizon Design Studio"/>
    <x v="1"/>
    <s v="Saree"/>
    <s v="Kerala"/>
    <s v="Female"/>
    <n v="59"/>
    <n v="623"/>
    <n v="1386"/>
    <n v="36757"/>
    <n v="81774"/>
    <n v="45017"/>
    <s v="profit"/>
  </r>
  <r>
    <x v="275"/>
    <s v="october"/>
    <s v="Legacy Tech Products"/>
    <x v="1"/>
    <s v="Saree"/>
    <s v="Himachal Pradesh"/>
    <s v="Female"/>
    <n v="98"/>
    <n v="865"/>
    <n v="1260"/>
    <n v="84770"/>
    <n v="123480"/>
    <n v="38710"/>
    <s v="profit"/>
  </r>
  <r>
    <x v="149"/>
    <s v="december"/>
    <s v="Zenith Creative Solutions"/>
    <x v="1"/>
    <s v="Saree"/>
    <s v="Uttar Pradesh"/>
    <s v="Female"/>
    <n v="67"/>
    <n v="898"/>
    <n v="1133"/>
    <n v="60166"/>
    <n v="75911"/>
    <n v="15745"/>
    <s v="profit"/>
  </r>
  <r>
    <x v="276"/>
    <s v="october"/>
    <s v="Pinnacle Wellness Services"/>
    <x v="1"/>
    <s v="Saree"/>
    <s v="Uttarakhand"/>
    <s v="Female"/>
    <n v="83"/>
    <n v="709"/>
    <n v="1206"/>
    <n v="58847"/>
    <n v="100098"/>
    <n v="41251"/>
    <s v="profit"/>
  </r>
  <r>
    <x v="151"/>
    <s v="december"/>
    <s v="Pure Vision Solutions"/>
    <x v="1"/>
    <s v="Suit"/>
    <s v="Kerala"/>
    <s v="Female"/>
    <n v="72"/>
    <n v="603"/>
    <n v="941"/>
    <n v="43416"/>
    <n v="67752"/>
    <n v="24336"/>
    <s v="profit"/>
  </r>
  <r>
    <x v="277"/>
    <s v="october"/>
    <s v="Urban Insight Consulting"/>
    <x v="1"/>
    <s v="Suit"/>
    <s v="Assam"/>
    <s v="Female"/>
    <n v="69"/>
    <n v="657"/>
    <n v="1493"/>
    <n v="45333"/>
    <n v="103017"/>
    <n v="57684"/>
    <s v="profit"/>
  </r>
  <r>
    <x v="278"/>
    <s v="october"/>
    <s v="Crystal Horizons"/>
    <x v="1"/>
    <s v="Suit"/>
    <s v="Punjab"/>
    <s v="Female"/>
    <n v="81"/>
    <n v="709"/>
    <n v="1180"/>
    <n v="57429"/>
    <n v="95580"/>
    <n v="38151"/>
    <s v="profit"/>
  </r>
  <r>
    <x v="279"/>
    <s v="october"/>
    <s v="Radiant Apparel"/>
    <x v="1"/>
    <s v="Suit"/>
    <s v="Chhattisgarh"/>
    <s v="Female"/>
    <n v="61"/>
    <n v="547"/>
    <n v="1060"/>
    <n v="33367"/>
    <n v="64660"/>
    <n v="31293"/>
    <s v="profit"/>
  </r>
  <r>
    <x v="280"/>
    <s v="october"/>
    <s v="True Value Products"/>
    <x v="1"/>
    <s v="Suit"/>
    <s v="West Bengal"/>
    <s v="Female"/>
    <n v="57"/>
    <n v="734"/>
    <n v="979"/>
    <n v="41838"/>
    <n v="55803"/>
    <n v="13965"/>
    <s v="profit"/>
  </r>
  <r>
    <x v="156"/>
    <s v="december"/>
    <s v="Harmony Edge Solutions"/>
    <x v="1"/>
    <s v="Suit"/>
    <s v="Punjab"/>
    <s v="Male"/>
    <n v="97"/>
    <n v="500"/>
    <n v="1417"/>
    <n v="48500"/>
    <n v="137449"/>
    <n v="88949"/>
    <s v="profit"/>
  </r>
  <r>
    <x v="281"/>
    <s v="october"/>
    <s v="Zenith Health Products"/>
    <x v="1"/>
    <s v="Suit"/>
    <s v="Madhya Pradesh"/>
    <s v="Male"/>
    <n v="60"/>
    <n v="937"/>
    <n v="948"/>
    <n v="56220"/>
    <n v="56880"/>
    <n v="660"/>
    <s v="profit"/>
  </r>
  <r>
    <x v="282"/>
    <s v="october"/>
    <s v="Stellar Wellness Products"/>
    <x v="1"/>
    <s v="Women dress"/>
    <s v="Kerala"/>
    <s v="Male"/>
    <n v="71"/>
    <n v="777"/>
    <n v="1034"/>
    <n v="55167"/>
    <n v="73414"/>
    <n v="18247"/>
    <s v="profit"/>
  </r>
  <r>
    <x v="283"/>
    <s v="october"/>
    <s v="Radiant Consulting Group"/>
    <x v="1"/>
    <s v="Women dress"/>
    <s v="Maharashtra"/>
    <s v="Male"/>
    <n v="52"/>
    <n v="509"/>
    <n v="764"/>
    <n v="26468"/>
    <n v="39728"/>
    <n v="13260"/>
    <s v="profit"/>
  </r>
  <r>
    <x v="284"/>
    <s v="october"/>
    <s v="Harmony Ventures Co."/>
    <x v="1"/>
    <s v="Women dress"/>
    <s v="Himachal Pradesh"/>
    <s v="Female"/>
    <n v="66"/>
    <n v="701"/>
    <n v="1204"/>
    <n v="46266"/>
    <n v="79464"/>
    <n v="33198"/>
    <s v="profit"/>
  </r>
  <r>
    <x v="285"/>
    <s v="october"/>
    <s v="Urban Path Technologies"/>
    <x v="1"/>
    <s v="Women dress"/>
    <s v="Uttarakhand"/>
    <s v="Male"/>
    <n v="97"/>
    <n v="654"/>
    <n v="839"/>
    <n v="63438"/>
    <n v="81383"/>
    <n v="17945"/>
    <s v="profit"/>
  </r>
  <r>
    <x v="286"/>
    <s v="november"/>
    <s v="Modern Vision Ventures"/>
    <x v="1"/>
    <s v="Male dress"/>
    <s v="West Bengal"/>
    <s v="Female"/>
    <n v="63"/>
    <n v="833"/>
    <n v="1040"/>
    <n v="52479"/>
    <n v="65520"/>
    <n v="13041"/>
    <s v="profit"/>
  </r>
  <r>
    <x v="163"/>
    <s v="january"/>
    <s v="Pinnacle Media Solutions"/>
    <x v="0"/>
    <s v="Car accessories"/>
    <s v="Karnataka"/>
    <s v="Female"/>
    <n v="12"/>
    <n v="864"/>
    <n v="953"/>
    <n v="10368"/>
    <n v="11436"/>
    <n v="1068"/>
    <s v="profit"/>
  </r>
  <r>
    <x v="287"/>
    <s v="november"/>
    <s v="Elite Travel Services"/>
    <x v="1"/>
    <s v="Male dress"/>
    <s v="Karnataka"/>
    <s v="Female"/>
    <n v="74"/>
    <n v="743"/>
    <n v="974"/>
    <n v="54982"/>
    <n v="72076"/>
    <n v="17094"/>
    <s v="profit"/>
  </r>
  <r>
    <x v="165"/>
    <s v="january"/>
    <s v="Radiant Tech Solutions"/>
    <x v="0"/>
    <s v="Car accessories"/>
    <s v="Maharashtra"/>
    <s v="Female"/>
    <n v="13"/>
    <n v="839"/>
    <n v="1025"/>
    <n v="10907"/>
    <n v="13325"/>
    <n v="2418"/>
    <s v="profit"/>
  </r>
  <r>
    <x v="288"/>
    <s v="november"/>
    <s v="Crystal Innovations Group"/>
    <x v="1"/>
    <s v="Male dress"/>
    <s v="Maharashtra"/>
    <s v="Female"/>
    <n v="86"/>
    <n v="593"/>
    <n v="1425"/>
    <n v="50998"/>
    <n v="122550"/>
    <n v="71552"/>
    <s v="profit"/>
  </r>
  <r>
    <x v="167"/>
    <s v="january"/>
    <s v="Elite Creative Solutions"/>
    <x v="0"/>
    <s v="Car accessories"/>
    <s v="Chhattisgarh"/>
    <s v="Female"/>
    <n v="11"/>
    <n v="944"/>
    <n v="949"/>
    <n v="10384"/>
    <n v="10439"/>
    <n v="55"/>
    <s v="profit"/>
  </r>
  <r>
    <x v="289"/>
    <s v="november"/>
    <s v="Pinnacle Fitness Studio"/>
    <x v="1"/>
    <s v="Male dress"/>
    <s v="West Bengal"/>
    <s v="Female"/>
    <n v="92"/>
    <n v="609"/>
    <n v="792"/>
    <n v="56028"/>
    <n v="72864"/>
    <n v="16836"/>
    <s v="profit"/>
  </r>
  <r>
    <x v="290"/>
    <s v="november"/>
    <s v="Stellar Travel Agency"/>
    <x v="1"/>
    <s v="Male dress"/>
    <s v="Tamil Nadu"/>
    <s v="Female"/>
    <n v="96"/>
    <n v="674"/>
    <n v="1178"/>
    <n v="64704"/>
    <n v="113088"/>
    <n v="48384"/>
    <s v="profit"/>
  </r>
  <r>
    <x v="291"/>
    <s v="december"/>
    <s v="Apex Travel Ventures"/>
    <x v="1"/>
    <s v="Saree"/>
    <s v="Assam"/>
    <s v="Male"/>
    <n v="65"/>
    <n v="804"/>
    <n v="876"/>
    <n v="52260"/>
    <n v="56940"/>
    <n v="4680"/>
    <s v="profit"/>
  </r>
  <r>
    <x v="292"/>
    <s v="december"/>
    <s v="True Path Consulting"/>
    <x v="1"/>
    <s v="Saree"/>
    <s v="Chhattisgarh"/>
    <s v="Female"/>
    <n v="83"/>
    <n v="541"/>
    <n v="1072"/>
    <n v="44903"/>
    <n v="88976"/>
    <n v="44073"/>
    <s v="profit"/>
  </r>
  <r>
    <x v="293"/>
    <s v="december"/>
    <s v="Legacy Finance Group"/>
    <x v="1"/>
    <s v="Saree"/>
    <s v="West Bengal"/>
    <s v="Female"/>
    <n v="89"/>
    <n v="545"/>
    <n v="978"/>
    <n v="48505"/>
    <n v="87042"/>
    <n v="38537"/>
    <s v="profit"/>
  </r>
  <r>
    <x v="294"/>
    <s v="december"/>
    <s v="Pinnacle Design Ventures"/>
    <x v="1"/>
    <s v="Saree"/>
    <s v="Gujarat"/>
    <s v="Female"/>
    <n v="80"/>
    <n v="671"/>
    <n v="1251"/>
    <n v="53680"/>
    <n v="100080"/>
    <n v="46400"/>
    <s v="profit"/>
  </r>
  <r>
    <x v="174"/>
    <s v="january"/>
    <s v="Pinnacle Design Solutions"/>
    <x v="1"/>
    <s v="Suit"/>
    <s v="Rajasthan"/>
    <s v="Male"/>
    <n v="82"/>
    <n v="822"/>
    <n v="1445"/>
    <n v="67404"/>
    <n v="118490"/>
    <n v="51086"/>
    <s v="profit"/>
  </r>
  <r>
    <x v="295"/>
    <s v="december"/>
    <s v="Stellar Innovations Co."/>
    <x v="1"/>
    <s v="Saree"/>
    <s v="Uttar Pradesh"/>
    <s v="Female"/>
    <n v="68"/>
    <n v="815"/>
    <n v="808"/>
    <n v="55420"/>
    <n v="54944"/>
    <n v="-476"/>
    <s v="loss"/>
  </r>
  <r>
    <x v="296"/>
    <s v="december"/>
    <s v="Harmony Marketing Co."/>
    <x v="1"/>
    <s v="Saree"/>
    <s v="Tamil Nadu"/>
    <s v="Female"/>
    <n v="88"/>
    <n v="674"/>
    <n v="891"/>
    <n v="59312"/>
    <n v="78408"/>
    <n v="19096"/>
    <s v="profit"/>
  </r>
  <r>
    <x v="297"/>
    <s v="december"/>
    <s v="Urban Tech Innovations"/>
    <x v="1"/>
    <s v="Saree"/>
    <s v="Tamil Nadu"/>
    <s v="Female"/>
    <n v="64"/>
    <n v="665"/>
    <n v="783"/>
    <n v="42560"/>
    <n v="50112"/>
    <n v="7552"/>
    <s v="profit"/>
  </r>
  <r>
    <x v="298"/>
    <s v="december"/>
    <s v="Crystal Wellness Group"/>
    <x v="1"/>
    <s v="Saree"/>
    <s v="Rajasthan"/>
    <s v="Female"/>
    <n v="81"/>
    <n v="801"/>
    <n v="846"/>
    <n v="64881"/>
    <n v="68526"/>
    <n v="3645"/>
    <s v="profit"/>
  </r>
  <r>
    <x v="299"/>
    <s v="december"/>
    <s v="Apex Media Co."/>
    <x v="1"/>
    <s v="Saree"/>
    <s v="Jharkhand"/>
    <s v="Female"/>
    <n v="74"/>
    <n v="734"/>
    <n v="886"/>
    <n v="54316"/>
    <n v="65564"/>
    <n v="11248"/>
    <s v="profit"/>
  </r>
  <r>
    <x v="180"/>
    <s v="january"/>
    <s v="Pure Harmony Solutions"/>
    <x v="0"/>
    <s v="Home décor"/>
    <s v="Uttarakhand"/>
    <s v="Female"/>
    <n v="10"/>
    <n v="519"/>
    <n v="1420"/>
    <n v="5190"/>
    <n v="14200"/>
    <n v="9010"/>
    <s v="profit"/>
  </r>
  <r>
    <x v="300"/>
    <s v="december"/>
    <s v="Legacy Health Ventures"/>
    <x v="1"/>
    <s v="Suit"/>
    <s v="Maharashtra"/>
    <s v="Female"/>
    <n v="94"/>
    <n v="564"/>
    <n v="941"/>
    <n v="53016"/>
    <n v="88454"/>
    <n v="35438"/>
    <s v="profit"/>
  </r>
  <r>
    <x v="301"/>
    <s v="december"/>
    <s v="Pinnacle Spectrum Co."/>
    <x v="1"/>
    <s v="Suit"/>
    <s v="Himachal Pradesh"/>
    <s v="Female"/>
    <n v="50"/>
    <n v="545"/>
    <n v="1050"/>
    <n v="27250"/>
    <n v="52500"/>
    <n v="25250"/>
    <s v="profit"/>
  </r>
  <r>
    <x v="302"/>
    <s v="december"/>
    <s v="Stellar Travel Products"/>
    <x v="1"/>
    <s v="Suit"/>
    <s v="Uttarakhand"/>
    <s v="Female"/>
    <n v="60"/>
    <n v="783"/>
    <n v="1422"/>
    <n v="46980"/>
    <n v="85320"/>
    <n v="38340"/>
    <s v="profit"/>
  </r>
  <r>
    <x v="303"/>
    <s v="december"/>
    <s v="Radiance Finance Services"/>
    <x v="1"/>
    <s v="Suit"/>
    <s v="Assam"/>
    <s v="Female"/>
    <n v="63"/>
    <n v="746"/>
    <n v="1075"/>
    <n v="46998"/>
    <n v="67725"/>
    <n v="20727"/>
    <s v="profit"/>
  </r>
  <r>
    <x v="304"/>
    <s v="december"/>
    <s v="Modern Travel Agency"/>
    <x v="1"/>
    <s v="Suit"/>
    <s v="Chhattisgarh"/>
    <s v="Male"/>
    <n v="86"/>
    <n v="834"/>
    <n v="1372"/>
    <n v="71724"/>
    <n v="117992"/>
    <n v="46268"/>
    <s v="profit"/>
  </r>
  <r>
    <x v="186"/>
    <s v="january"/>
    <s v="Zenith Path Solutions"/>
    <x v="0"/>
    <s v="Home décor"/>
    <s v="Madhya Pradesh"/>
    <s v="Female"/>
    <n v="17"/>
    <n v="922"/>
    <n v="899"/>
    <n v="15674"/>
    <n v="15283"/>
    <n v="-391"/>
    <s v="loss"/>
  </r>
  <r>
    <x v="305"/>
    <s v="december"/>
    <s v="Crystal Path Consulting"/>
    <x v="1"/>
    <s v="Suit"/>
    <s v="West Bengal"/>
    <s v="Male"/>
    <n v="51"/>
    <n v="944"/>
    <n v="1062"/>
    <n v="48144"/>
    <n v="54162"/>
    <n v="6018"/>
    <s v="profit"/>
  </r>
  <r>
    <x v="306"/>
    <s v="december"/>
    <s v="Zenith Educational Services"/>
    <x v="1"/>
    <s v="Suit"/>
    <s v="West Bengal"/>
    <s v="Male"/>
    <n v="75"/>
    <n v="547"/>
    <n v="1203"/>
    <n v="41025"/>
    <n v="90225"/>
    <n v="49200"/>
    <s v="profit"/>
  </r>
  <r>
    <x v="307"/>
    <s v="december"/>
    <s v="Apex Innovations Co."/>
    <x v="1"/>
    <s v="Suit"/>
    <s v="Madhya Pradesh"/>
    <s v="Male"/>
    <n v="64"/>
    <n v="918"/>
    <n v="907"/>
    <n v="58752"/>
    <n v="58048"/>
    <n v="-704"/>
    <s v="loss"/>
  </r>
  <r>
    <x v="190"/>
    <s v="january"/>
    <s v="Legacy Media Solutions"/>
    <x v="0"/>
    <s v="Home décor"/>
    <s v="Jharkhand"/>
    <s v="Male"/>
    <n v="12"/>
    <n v="519"/>
    <n v="1212"/>
    <n v="6228"/>
    <n v="14544"/>
    <n v="8316"/>
    <s v="profit"/>
  </r>
  <r>
    <x v="308"/>
    <s v="january"/>
    <s v="Pure Harmony Health"/>
    <x v="1"/>
    <s v="Suit"/>
    <s v="Jharkhand"/>
    <s v="Female"/>
    <n v="74"/>
    <n v="965"/>
    <n v="906"/>
    <n v="71410"/>
    <n v="67044"/>
    <n v="-4366"/>
    <s v="loss"/>
  </r>
  <r>
    <x v="309"/>
    <s v="january"/>
    <s v="Apex Travel Innovations"/>
    <x v="1"/>
    <s v="Saree"/>
    <s v="Gujarat"/>
    <s v="Male"/>
    <n v="100"/>
    <n v="667"/>
    <n v="1109"/>
    <n v="66700"/>
    <n v="110900"/>
    <n v="44200"/>
    <s v="profit"/>
  </r>
  <r>
    <x v="310"/>
    <s v="january"/>
    <s v="Modern Health Products"/>
    <x v="1"/>
    <s v="Saree"/>
    <s v="Uttar Pradesh"/>
    <s v="Male"/>
    <n v="60"/>
    <n v="509"/>
    <n v="954"/>
    <n v="30540"/>
    <n v="57240"/>
    <n v="26700"/>
    <s v="profit"/>
  </r>
  <r>
    <x v="311"/>
    <s v="january"/>
    <s v="Harmony Finance Group"/>
    <x v="1"/>
    <s v="Saree"/>
    <s v="Uttar Pradesh"/>
    <s v="Male"/>
    <n v="93"/>
    <n v="814"/>
    <n v="832"/>
    <n v="75702"/>
    <n v="77376"/>
    <n v="1674"/>
    <s v="profit"/>
  </r>
  <r>
    <x v="312"/>
    <s v="january"/>
    <s v="Pure Vision Consulting"/>
    <x v="1"/>
    <s v="Saree"/>
    <s v="Tamil Nadu"/>
    <s v="Female"/>
    <n v="86"/>
    <n v="567"/>
    <n v="1491"/>
    <n v="48762"/>
    <n v="128226"/>
    <n v="79464"/>
    <s v="profit"/>
  </r>
  <r>
    <x v="313"/>
    <s v="january"/>
    <s v="Legacy Spectrum Co."/>
    <x v="1"/>
    <s v="Saree"/>
    <s v="Tamil Nadu"/>
    <s v="Male"/>
    <n v="54"/>
    <n v="674"/>
    <n v="787"/>
    <n v="36396"/>
    <n v="42498"/>
    <n v="6102"/>
    <s v="profit"/>
  </r>
  <r>
    <x v="314"/>
    <s v="january"/>
    <s v="Stellar Media Services"/>
    <x v="1"/>
    <s v="Suit"/>
    <s v="Uttar Pradesh"/>
    <s v="Male"/>
    <n v="98"/>
    <n v="950"/>
    <n v="1426"/>
    <n v="93100"/>
    <n v="139748"/>
    <n v="46648"/>
    <s v="profit"/>
  </r>
  <r>
    <x v="315"/>
    <s v="january"/>
    <s v="Radiant Innovations Group"/>
    <x v="1"/>
    <s v="Suit"/>
    <s v="Jharkhand"/>
    <s v="Male"/>
    <n v="82"/>
    <n v="916"/>
    <n v="1461"/>
    <n v="75112"/>
    <n v="119802"/>
    <n v="44690"/>
    <s v="profit"/>
  </r>
  <r>
    <x v="316"/>
    <s v="january"/>
    <s v="Horizon Path Ventures"/>
    <x v="1"/>
    <s v="Suit"/>
    <s v="Kerala"/>
    <s v="Female"/>
    <n v="66"/>
    <n v="710"/>
    <n v="1034"/>
    <n v="46860"/>
    <n v="68244"/>
    <n v="21384"/>
    <s v="profit"/>
  </r>
  <r>
    <x v="317"/>
    <s v="january"/>
    <s v="Zenith Tech Co."/>
    <x v="1"/>
    <s v="Suit"/>
    <s v="Maharashtra"/>
    <s v="Female"/>
    <n v="77"/>
    <n v="922"/>
    <n v="1400"/>
    <n v="70994"/>
    <n v="107800"/>
    <n v="36806"/>
    <s v="profit"/>
  </r>
  <r>
    <x v="195"/>
    <s v="february"/>
    <s v="Radiant Solutions Co."/>
    <x v="2"/>
    <s v="Laptop"/>
    <s v="Jharkhand"/>
    <s v="Female"/>
    <n v="22"/>
    <n v="745"/>
    <n v="1153"/>
    <n v="16390"/>
    <n v="25366"/>
    <n v="8976"/>
    <s v="profit"/>
  </r>
  <r>
    <x v="318"/>
    <s v="january"/>
    <s v="Apex Finance Ventures"/>
    <x v="1"/>
    <s v="Suit"/>
    <s v="Himachal Pradesh"/>
    <s v="Female"/>
    <n v="93"/>
    <n v="887"/>
    <n v="993"/>
    <n v="82491"/>
    <n v="92349"/>
    <n v="9858"/>
    <s v="profit"/>
  </r>
  <r>
    <x v="319"/>
    <s v="february"/>
    <s v="Zenith Wellness Co."/>
    <x v="1"/>
    <s v="Saree"/>
    <s v="Uttar Pradesh"/>
    <s v="Female"/>
    <n v="78"/>
    <n v="709"/>
    <n v="1494"/>
    <n v="55302"/>
    <n v="116532"/>
    <n v="61230"/>
    <s v="profit"/>
  </r>
  <r>
    <x v="320"/>
    <s v="february"/>
    <s v="Apex Design Services"/>
    <x v="1"/>
    <s v="Saree"/>
    <s v="Uttar Pradesh"/>
    <s v="Female"/>
    <n v="87"/>
    <n v="714"/>
    <n v="926"/>
    <n v="62118"/>
    <n v="80562"/>
    <n v="18444"/>
    <s v="profit"/>
  </r>
  <r>
    <x v="196"/>
    <s v="february"/>
    <s v="Modern Travel Solutions"/>
    <x v="1"/>
    <s v="Saree"/>
    <s v="Tamil Nadu"/>
    <s v="Female"/>
    <n v="90"/>
    <n v="983"/>
    <n v="924"/>
    <n v="88470"/>
    <n v="83160"/>
    <n v="-5310"/>
    <s v="loss"/>
  </r>
  <r>
    <x v="321"/>
    <s v="february"/>
    <s v="Pure Health Ventures"/>
    <x v="1"/>
    <s v="Saree"/>
    <s v="Tamil Nadu"/>
    <s v="Female"/>
    <n v="78"/>
    <n v="789"/>
    <n v="1064"/>
    <n v="61542"/>
    <n v="82992"/>
    <n v="21450"/>
    <s v="profit"/>
  </r>
  <r>
    <x v="322"/>
    <s v="february"/>
    <s v="Legacy Spectrum Group"/>
    <x v="1"/>
    <s v="Saree"/>
    <s v="Rajasthan"/>
    <s v="Male"/>
    <n v="74"/>
    <n v="835"/>
    <n v="1096"/>
    <n v="61790"/>
    <n v="81104"/>
    <n v="19314"/>
    <s v="profit"/>
  </r>
  <r>
    <x v="323"/>
    <s v="february"/>
    <s v="Pinnacle Media Ventures"/>
    <x v="1"/>
    <s v="Saree"/>
    <s v="Uttar Pradesh"/>
    <s v="Male"/>
    <n v="94"/>
    <n v="952"/>
    <n v="1425"/>
    <n v="89488"/>
    <n v="133950"/>
    <n v="44462"/>
    <s v="profit"/>
  </r>
  <r>
    <x v="324"/>
    <s v="february"/>
    <s v="Stellar Innovations Group"/>
    <x v="1"/>
    <s v="Saree"/>
    <s v="Jharkhand"/>
    <s v="Male"/>
    <n v="55"/>
    <n v="558"/>
    <n v="1203"/>
    <n v="30690"/>
    <n v="66165"/>
    <n v="35475"/>
    <s v="profit"/>
  </r>
  <r>
    <x v="325"/>
    <s v="february"/>
    <s v="Radiant Educational Co."/>
    <x v="1"/>
    <s v="Saree"/>
    <s v="Kerala"/>
    <s v="Male"/>
    <n v="56"/>
    <n v="562"/>
    <n v="1341"/>
    <n v="31472"/>
    <n v="75096"/>
    <n v="43624"/>
    <s v="profit"/>
  </r>
  <r>
    <x v="326"/>
    <s v="february"/>
    <s v="Harmony Edge Ventures"/>
    <x v="1"/>
    <s v="Saree"/>
    <s v="Maharashtra"/>
    <s v="Female"/>
    <n v="94"/>
    <n v="513"/>
    <n v="1318"/>
    <n v="48222"/>
    <n v="123892"/>
    <n v="75670"/>
    <s v="profit"/>
  </r>
  <r>
    <x v="197"/>
    <s v="february"/>
    <s v="Zenith Tech Solutions"/>
    <x v="1"/>
    <s v="Saree"/>
    <s v="Himachal Pradesh"/>
    <s v="Male"/>
    <n v="76"/>
    <n v="526"/>
    <n v="1260"/>
    <n v="39976"/>
    <n v="95760"/>
    <n v="55784"/>
    <s v="profit"/>
  </r>
  <r>
    <x v="327"/>
    <s v="february"/>
    <s v="Apex Finance Group"/>
    <x v="1"/>
    <s v="Saree"/>
    <s v="Uttarakhand"/>
    <s v="Male"/>
    <n v="61"/>
    <n v="545"/>
    <n v="915"/>
    <n v="33245"/>
    <n v="55815"/>
    <n v="22570"/>
    <s v="profit"/>
  </r>
  <r>
    <x v="328"/>
    <s v="february"/>
    <s v="Pure Harmony Media"/>
    <x v="1"/>
    <s v="Saree"/>
    <s v="Assam"/>
    <s v="Male"/>
    <n v="99"/>
    <n v="943"/>
    <n v="823"/>
    <n v="93357"/>
    <n v="81477"/>
    <n v="-11880"/>
    <s v="loss"/>
  </r>
  <r>
    <x v="329"/>
    <s v="february"/>
    <s v="Legacy Health Co."/>
    <x v="1"/>
    <s v="Suit"/>
    <s v="Punjab"/>
    <s v="Male"/>
    <n v="84"/>
    <n v="738"/>
    <n v="1080"/>
    <n v="61992"/>
    <n v="90720"/>
    <n v="28728"/>
    <s v="profi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Reliance Enterprises"/>
    <x v="0"/>
    <x v="0"/>
    <x v="0"/>
    <n v="0"/>
  </r>
  <r>
    <s v="Tata Solutions"/>
    <x v="1"/>
    <x v="1"/>
    <x v="1"/>
    <n v="94138"/>
  </r>
  <r>
    <s v="Infosys Technologies"/>
    <x v="0"/>
    <x v="0"/>
    <x v="0"/>
    <n v="72679"/>
  </r>
  <r>
    <s v="Wipro Digital"/>
    <x v="0"/>
    <x v="0"/>
    <x v="0"/>
    <n v="130238"/>
  </r>
  <r>
    <s v="Adani Industries"/>
    <x v="1"/>
    <x v="1"/>
    <x v="0"/>
    <n v="108636"/>
  </r>
  <r>
    <s v="Mahindra Innovations"/>
    <x v="2"/>
    <x v="2"/>
    <x v="1"/>
    <n v="108005"/>
  </r>
  <r>
    <s v="HDFC Finance"/>
    <x v="2"/>
    <x v="0"/>
    <x v="1"/>
    <n v="141259"/>
  </r>
  <r>
    <s v="Flipkart Retail"/>
    <x v="2"/>
    <x v="0"/>
    <x v="1"/>
    <n v="86739"/>
  </r>
  <r>
    <s v="Byju’s EdTech"/>
    <x v="0"/>
    <x v="2"/>
    <x v="0"/>
    <n v="95170"/>
  </r>
  <r>
    <s v="Zomato Services"/>
    <x v="1"/>
    <x v="1"/>
    <x v="1"/>
    <n v="50655"/>
  </r>
  <r>
    <s v="Reliance Enterprises"/>
    <x v="1"/>
    <x v="1"/>
    <x v="0"/>
    <n v="76361"/>
  </r>
  <r>
    <s v="Tata Solutions"/>
    <x v="1"/>
    <x v="3"/>
    <x v="0"/>
    <n v="59986"/>
  </r>
  <r>
    <s v="Infosys Technologies"/>
    <x v="0"/>
    <x v="3"/>
    <x v="1"/>
    <n v="96489"/>
  </r>
  <r>
    <s v="Wipro Digital"/>
    <x v="0"/>
    <x v="3"/>
    <x v="1"/>
    <n v="96845"/>
  </r>
  <r>
    <s v="Adani Industries"/>
    <x v="2"/>
    <x v="0"/>
    <x v="0"/>
    <n v="147430"/>
  </r>
  <r>
    <s v="Mahindra Innovations"/>
    <x v="2"/>
    <x v="0"/>
    <x v="0"/>
    <n v="116547"/>
  </r>
  <r>
    <s v="HDFC Finance"/>
    <x v="0"/>
    <x v="1"/>
    <x v="0"/>
    <n v="50478"/>
  </r>
  <r>
    <s v="Flipkart Retail"/>
    <x v="1"/>
    <x v="2"/>
    <x v="1"/>
    <n v="131028"/>
  </r>
  <r>
    <s v="Byju’s EdTech"/>
    <x v="0"/>
    <x v="2"/>
    <x v="1"/>
    <n v="136265"/>
  </r>
  <r>
    <s v="Zomato Services"/>
    <x v="0"/>
    <x v="0"/>
    <x v="1"/>
    <n v="143860"/>
  </r>
  <r>
    <s v="Reliance Enterprises"/>
    <x v="1"/>
    <x v="1"/>
    <x v="0"/>
    <n v="57757"/>
  </r>
  <r>
    <s v="Tata Solutions"/>
    <x v="2"/>
    <x v="3"/>
    <x v="0"/>
    <n v="122231"/>
  </r>
  <r>
    <s v="Infosys Technologies"/>
    <x v="2"/>
    <x v="3"/>
    <x v="1"/>
    <n v="127292"/>
  </r>
  <r>
    <s v="Wipro Digital"/>
    <x v="2"/>
    <x v="2"/>
    <x v="1"/>
    <n v="50194"/>
  </r>
  <r>
    <s v="Adani Industries"/>
    <x v="0"/>
    <x v="1"/>
    <x v="0"/>
    <n v="76180"/>
  </r>
  <r>
    <s v="Mahindra Innovations"/>
    <x v="1"/>
    <x v="1"/>
    <x v="0"/>
    <n v="112323"/>
  </r>
  <r>
    <s v="HDFC Finance"/>
    <x v="1"/>
    <x v="3"/>
    <x v="1"/>
    <n v="61988"/>
  </r>
  <r>
    <s v="Flipkart Retail"/>
    <x v="1"/>
    <x v="3"/>
    <x v="1"/>
    <n v="142292"/>
  </r>
  <r>
    <s v="Byju’s EdTech"/>
    <x v="0"/>
    <x v="0"/>
    <x v="0"/>
    <n v="135328"/>
  </r>
  <r>
    <s v="Zomato Services"/>
    <x v="0"/>
    <x v="0"/>
    <x v="0"/>
    <n v="85819"/>
  </r>
  <r>
    <s v="Accounts Expert"/>
    <x v="0"/>
    <x v="4"/>
    <x v="0"/>
    <n v="856945"/>
  </r>
  <r>
    <s v="Tata Solutions"/>
    <x v="2"/>
    <x v="0"/>
    <x v="1"/>
    <n v="103228"/>
  </r>
  <r>
    <s v="Infosys Technologies"/>
    <x v="0"/>
    <x v="1"/>
    <x v="0"/>
    <n v="56765"/>
  </r>
  <r>
    <s v="Wipro Digital"/>
    <x v="1"/>
    <x v="2"/>
    <x v="0"/>
    <n v="122853"/>
  </r>
  <r>
    <s v="Adani Industries"/>
    <x v="0"/>
    <x v="2"/>
    <x v="1"/>
    <n v="59918"/>
  </r>
  <r>
    <s v="Mahindra Innovations"/>
    <x v="0"/>
    <x v="0"/>
    <x v="1"/>
    <n v="59303"/>
  </r>
  <r>
    <s v="HDFC Finance"/>
    <x v="1"/>
    <x v="1"/>
    <x v="0"/>
    <n v="105850"/>
  </r>
  <r>
    <s v="Flipkart Retail"/>
    <x v="2"/>
    <x v="3"/>
    <x v="1"/>
    <n v="146177"/>
  </r>
  <r>
    <s v="Byju’s EdTech"/>
    <x v="2"/>
    <x v="2"/>
    <x v="0"/>
    <n v="56078"/>
  </r>
  <r>
    <s v="Zomato Services"/>
    <x v="2"/>
    <x v="2"/>
    <x v="1"/>
    <n v="109136"/>
  </r>
  <r>
    <s v="Reliance Enterprises"/>
    <x v="0"/>
    <x v="0"/>
    <x v="1"/>
    <n v="76997"/>
  </r>
  <r>
    <s v="Tata Solutions"/>
    <x v="1"/>
    <x v="0"/>
    <x v="1"/>
    <n v="148442"/>
  </r>
  <r>
    <s v="Infosys Technologies"/>
    <x v="1"/>
    <x v="1"/>
    <x v="1"/>
    <n v="129500"/>
  </r>
  <r>
    <s v="Wipro Digital"/>
    <x v="1"/>
    <x v="3"/>
    <x v="0"/>
    <n v="133884"/>
  </r>
  <r>
    <s v="Adani Industries"/>
    <x v="0"/>
    <x v="3"/>
    <x v="0"/>
    <n v="106065"/>
  </r>
  <r>
    <s v="Mahindra Innovations"/>
    <x v="0"/>
    <x v="3"/>
    <x v="0"/>
    <n v="82337"/>
  </r>
  <r>
    <s v="HDFC Finance"/>
    <x v="2"/>
    <x v="1"/>
    <x v="1"/>
    <n v="73197"/>
  </r>
  <r>
    <s v="Flipkart Retail"/>
    <x v="2"/>
    <x v="0"/>
    <x v="1"/>
    <n v="119829"/>
  </r>
  <r>
    <s v="Byju’s EdTech"/>
    <x v="2"/>
    <x v="0"/>
    <x v="1"/>
    <n v="92926"/>
  </r>
  <r>
    <s v="Zomato Services"/>
    <x v="0"/>
    <x v="2"/>
    <x v="0"/>
    <n v="88313"/>
  </r>
  <r>
    <s v="Pts Cad Expert"/>
    <x v="1"/>
    <x v="4"/>
    <x v="1"/>
    <n v="45986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x v="0"/>
    <s v="june"/>
    <s v="Horizon Wellness"/>
    <s v="Decor"/>
    <x v="0"/>
    <s v="Assam"/>
    <s v="Female"/>
    <n v="17"/>
    <n v="938"/>
    <n v="938"/>
    <n v="15946"/>
    <n v="15946"/>
    <n v="0"/>
    <s v="loss"/>
  </r>
  <r>
    <x v="1"/>
    <s v="june"/>
    <s v="True Value Electronics"/>
    <s v="Decor"/>
    <x v="0"/>
    <s v="Punjab"/>
    <s v="Female"/>
    <n v="18"/>
    <n v="920"/>
    <n v="1360"/>
    <n v="16560"/>
    <n v="24480"/>
    <n v="7920"/>
    <s v="profit"/>
  </r>
  <r>
    <x v="2"/>
    <s v="june"/>
    <s v="Harmony Homes Realty"/>
    <s v="Decor"/>
    <x v="0"/>
    <s v="Chhattisgarh"/>
    <s v="Female"/>
    <n v="20"/>
    <n v="731"/>
    <n v="1186"/>
    <n v="14620"/>
    <n v="23720"/>
    <n v="9100"/>
    <s v="profit"/>
  </r>
  <r>
    <x v="3"/>
    <s v="june"/>
    <s v="Stellar Advertising"/>
    <s v="Decor"/>
    <x v="0"/>
    <s v="West Bengal"/>
    <s v="Female"/>
    <n v="17"/>
    <n v="750"/>
    <n v="793"/>
    <n v="12750"/>
    <n v="13481"/>
    <n v="731"/>
    <s v="profit"/>
  </r>
  <r>
    <x v="4"/>
    <s v="june"/>
    <s v="Modern Trends Retail"/>
    <s v="Decor"/>
    <x v="0"/>
    <s v="Madhya Pradesh"/>
    <s v="Male"/>
    <n v="14"/>
    <n v="906"/>
    <n v="1327"/>
    <n v="12684"/>
    <n v="18578"/>
    <n v="5894"/>
    <s v="profit"/>
  </r>
  <r>
    <x v="5"/>
    <s v="june"/>
    <s v="Global Spectrum Consulting"/>
    <s v="Decor"/>
    <x v="0"/>
    <s v="Jharkhand"/>
    <s v="Male"/>
    <n v="20"/>
    <n v="699"/>
    <n v="1400"/>
    <n v="13980"/>
    <n v="28000"/>
    <n v="14020"/>
    <s v="profit"/>
  </r>
  <r>
    <x v="6"/>
    <s v="april"/>
    <s v="Apex Solutions"/>
    <s v="Fashion "/>
    <x v="1"/>
    <s v="Gujarat"/>
    <s v="Male"/>
    <n v="55"/>
    <n v="637"/>
    <n v="1143"/>
    <n v="35035"/>
    <n v="62865"/>
    <n v="27830"/>
    <s v="profit"/>
  </r>
  <r>
    <x v="7"/>
    <s v="june"/>
    <s v="Radiant Vision Studios"/>
    <s v="Decor"/>
    <x v="2"/>
    <s v="Gujarat"/>
    <s v="Female"/>
    <n v="17"/>
    <n v="537"/>
    <n v="1350"/>
    <n v="9129"/>
    <n v="22950"/>
    <n v="13821"/>
    <s v="profit"/>
  </r>
  <r>
    <x v="8"/>
    <s v="june"/>
    <s v="Noble Travel Services"/>
    <s v="Decor"/>
    <x v="2"/>
    <s v="Uttar Pradesh"/>
    <s v="Female"/>
    <n v="20"/>
    <n v="875"/>
    <n v="911"/>
    <n v="17500"/>
    <n v="18220"/>
    <n v="720"/>
    <s v="profit"/>
  </r>
  <r>
    <x v="9"/>
    <s v="july"/>
    <s v="Bright Future Academy"/>
    <s v="Decor"/>
    <x v="2"/>
    <s v="Uttar Pradesh"/>
    <s v="Female"/>
    <n v="13"/>
    <n v="917"/>
    <n v="1315"/>
    <n v="11921"/>
    <n v="17095"/>
    <n v="5174"/>
    <s v="profit"/>
  </r>
  <r>
    <x v="10"/>
    <s v="july"/>
    <s v="Visionary Health Systems"/>
    <s v="Decor"/>
    <x v="2"/>
    <s v="Madhya Pradesh"/>
    <s v="Female"/>
    <n v="12"/>
    <n v="980"/>
    <n v="1462"/>
    <n v="11760"/>
    <n v="17544"/>
    <n v="5784"/>
    <s v="profit"/>
  </r>
  <r>
    <x v="11"/>
    <s v="july"/>
    <s v="Apex Retailers"/>
    <s v="Decor"/>
    <x v="2"/>
    <s v="Maharashtra"/>
    <s v="Female"/>
    <n v="12"/>
    <n v="734"/>
    <n v="1181"/>
    <n v="8808"/>
    <n v="14172"/>
    <n v="5364"/>
    <s v="profit"/>
  </r>
  <r>
    <x v="12"/>
    <s v="april"/>
    <s v="Metro Tech Solutions"/>
    <s v="Electronic"/>
    <x v="3"/>
    <s v="Maharashtra"/>
    <s v="Female"/>
    <n v="29"/>
    <n v="951"/>
    <n v="1268"/>
    <n v="27579"/>
    <n v="36772"/>
    <n v="9193"/>
    <s v="profit"/>
  </r>
  <r>
    <x v="13"/>
    <s v="july"/>
    <s v="Prestige Property Developers"/>
    <s v="Decor"/>
    <x v="2"/>
    <s v="Chandigarh"/>
    <s v="Female"/>
    <n v="12"/>
    <n v="913"/>
    <n v="1170"/>
    <n v="10956"/>
    <n v="14040"/>
    <n v="3084"/>
    <s v="profit"/>
  </r>
  <r>
    <x v="14"/>
    <s v="july"/>
    <s v="Classic Trends Fashion"/>
    <s v="Decor"/>
    <x v="2"/>
    <s v="Madhya Pradesh"/>
    <s v="Male"/>
    <n v="20"/>
    <n v="833"/>
    <n v="877"/>
    <n v="16660"/>
    <n v="17540"/>
    <n v="880"/>
    <s v="profit"/>
  </r>
  <r>
    <x v="15"/>
    <s v="july"/>
    <s v="Harmony Ventures"/>
    <s v="Decor"/>
    <x v="2"/>
    <s v="Andhra Pradesh"/>
    <s v="Male"/>
    <n v="17"/>
    <n v="748"/>
    <n v="1138"/>
    <n v="12716"/>
    <n v="19346"/>
    <n v="6630"/>
    <s v="profit"/>
  </r>
  <r>
    <x v="16"/>
    <s v="july"/>
    <s v="Stellar Realty"/>
    <s v="Decor"/>
    <x v="2"/>
    <s v="Bihar"/>
    <s v="Male"/>
    <n v="20"/>
    <n v="517"/>
    <n v="1405"/>
    <n v="10340"/>
    <n v="28100"/>
    <n v="17760"/>
    <s v="profit"/>
  </r>
  <r>
    <x v="17"/>
    <s v="july"/>
    <s v="Future Path Technologies"/>
    <s v="Decor"/>
    <x v="2"/>
    <s v="Gujarat"/>
    <s v="Male"/>
    <n v="18"/>
    <n v="674"/>
    <n v="775"/>
    <n v="12132"/>
    <n v="13950"/>
    <n v="1818"/>
    <s v="profit"/>
  </r>
  <r>
    <x v="18"/>
    <s v="july"/>
    <s v="Elite Edge Services"/>
    <s v="Decor"/>
    <x v="2"/>
    <s v="Uttar Pradesh"/>
    <s v="Female"/>
    <n v="17"/>
    <n v="641"/>
    <n v="765"/>
    <n v="10897"/>
    <n v="13005"/>
    <n v="2108"/>
    <s v="profit"/>
  </r>
  <r>
    <x v="19"/>
    <s v="august"/>
    <s v="Modern Harmony Products"/>
    <s v="Decor"/>
    <x v="2"/>
    <s v="Maharashtra"/>
    <s v="Female"/>
    <n v="10"/>
    <n v="754"/>
    <n v="982"/>
    <n v="7540"/>
    <n v="9820"/>
    <n v="2280"/>
    <s v="profit"/>
  </r>
  <r>
    <x v="20"/>
    <s v="august"/>
    <s v="Horizon Builders &amp; Developers"/>
    <s v="Decor"/>
    <x v="2"/>
    <s v="Rajasthan"/>
    <s v="Female"/>
    <n v="14"/>
    <n v="815"/>
    <n v="1341"/>
    <n v="11410"/>
    <n v="18774"/>
    <n v="7364"/>
    <s v="profit"/>
  </r>
  <r>
    <x v="21"/>
    <s v="august"/>
    <s v="Legacy Apparel"/>
    <s v="Decor"/>
    <x v="2"/>
    <s v="Uttar Pradesh"/>
    <s v="Female"/>
    <n v="18"/>
    <n v="704"/>
    <n v="930"/>
    <n v="12672"/>
    <n v="16740"/>
    <n v="4068"/>
    <s v="profit"/>
  </r>
  <r>
    <x v="22"/>
    <s v="april"/>
    <s v="Elite Marketing Solutions"/>
    <s v="Electronic"/>
    <x v="4"/>
    <s v="Tamil Nadu"/>
    <s v="Male"/>
    <n v="25"/>
    <n v="958"/>
    <n v="942"/>
    <n v="23950"/>
    <n v="23550"/>
    <n v="-400"/>
    <s v="loss"/>
  </r>
  <r>
    <x v="23"/>
    <s v="august"/>
    <s v="Pinnacle Education Group"/>
    <s v="Decor"/>
    <x v="2"/>
    <s v="Uttar Pradesh"/>
    <s v="Female"/>
    <n v="19"/>
    <n v="744"/>
    <n v="1433"/>
    <n v="14136"/>
    <n v="27227"/>
    <n v="13091"/>
    <s v="profit"/>
  </r>
  <r>
    <x v="24"/>
    <s v="april"/>
    <s v="Crystal Clear Solutions"/>
    <s v="Electronic"/>
    <x v="4"/>
    <s v="Rajasthan"/>
    <s v="Female"/>
    <n v="26"/>
    <n v="520"/>
    <n v="1486"/>
    <n v="13520"/>
    <n v="38636"/>
    <n v="25116"/>
    <s v="profit"/>
  </r>
  <r>
    <x v="25"/>
    <s v="august"/>
    <s v="Noble Innovations"/>
    <s v="Decor"/>
    <x v="2"/>
    <s v="Maharashtra"/>
    <s v="Male"/>
    <n v="10"/>
    <n v="669"/>
    <n v="1344"/>
    <n v="6690"/>
    <n v="13440"/>
    <n v="6750"/>
    <s v="profit"/>
  </r>
  <r>
    <x v="26"/>
    <s v="august"/>
    <s v="Crystal Clear Realty"/>
    <s v="Decor"/>
    <x v="2"/>
    <s v="Madhya Pradesh"/>
    <s v="Male"/>
    <n v="20"/>
    <n v="966"/>
    <n v="924"/>
    <n v="19320"/>
    <n v="18480"/>
    <n v="-840"/>
    <s v="loss"/>
  </r>
  <r>
    <x v="27"/>
    <s v="september"/>
    <s v="Apex Publishing House"/>
    <s v="Decor"/>
    <x v="2"/>
    <s v="Delhi"/>
    <s v="Male"/>
    <n v="18"/>
    <n v="859"/>
    <n v="1044"/>
    <n v="15462"/>
    <n v="18792"/>
    <n v="3330"/>
    <s v="profit"/>
  </r>
  <r>
    <x v="28"/>
    <s v="september"/>
    <s v="True Value Consulting"/>
    <s v="Decor"/>
    <x v="2"/>
    <s v="Maharashtra"/>
    <s v="Male"/>
    <n v="15"/>
    <n v="890"/>
    <n v="1362"/>
    <n v="13350"/>
    <n v="20430"/>
    <n v="7080"/>
    <s v="profit"/>
  </r>
  <r>
    <x v="29"/>
    <s v="september"/>
    <s v="Future Path Ventures"/>
    <s v="Decor"/>
    <x v="2"/>
    <s v="West Bengal"/>
    <s v="Male"/>
    <n v="19"/>
    <n v="630"/>
    <n v="882"/>
    <n v="11970"/>
    <n v="16758"/>
    <n v="4788"/>
    <s v="profit"/>
  </r>
  <r>
    <x v="30"/>
    <s v="september"/>
    <s v="Stellar Tech Services"/>
    <s v="Decor"/>
    <x v="2"/>
    <s v="Tamil Nadu"/>
    <s v="Male"/>
    <n v="10"/>
    <n v="701"/>
    <n v="1384"/>
    <n v="7010"/>
    <n v="13840"/>
    <n v="6830"/>
    <s v="profit"/>
  </r>
  <r>
    <x v="31"/>
    <s v="september"/>
    <s v="Legacy Travel Agency"/>
    <s v="Decor"/>
    <x v="2"/>
    <s v="Karnataka"/>
    <s v="Female"/>
    <n v="19"/>
    <n v="653"/>
    <n v="1402"/>
    <n v="12407"/>
    <n v="26638"/>
    <n v="14231"/>
    <s v="profit"/>
  </r>
  <r>
    <x v="32"/>
    <s v="september"/>
    <s v="Harmony Innovations"/>
    <s v="Decor"/>
    <x v="2"/>
    <s v="Telangana"/>
    <s v="Female"/>
    <n v="14"/>
    <n v="968"/>
    <n v="1419"/>
    <n v="13552"/>
    <n v="19866"/>
    <n v="6314"/>
    <s v="profit"/>
  </r>
  <r>
    <x v="33"/>
    <s v="september"/>
    <s v="Elite Media Group"/>
    <s v="Decor"/>
    <x v="2"/>
    <s v="Maharashtra"/>
    <s v="Female"/>
    <n v="20"/>
    <n v="508"/>
    <n v="1433"/>
    <n v="10160"/>
    <n v="28660"/>
    <n v="18500"/>
    <s v="profit"/>
  </r>
  <r>
    <x v="34"/>
    <s v="september"/>
    <s v="Radiant Construction"/>
    <s v="Decor"/>
    <x v="2"/>
    <s v="Rajasthan"/>
    <s v="Female"/>
    <n v="12"/>
    <n v="539"/>
    <n v="1136"/>
    <n v="6468"/>
    <n v="13632"/>
    <n v="7164"/>
    <s v="profit"/>
  </r>
  <r>
    <x v="35"/>
    <s v="september"/>
    <s v="Pinnacle Finance"/>
    <s v="Decor"/>
    <x v="2"/>
    <s v="Gujarat"/>
    <s v="Female"/>
    <n v="10"/>
    <n v="731"/>
    <n v="1226"/>
    <n v="7310"/>
    <n v="12260"/>
    <n v="4950"/>
    <s v="profit"/>
  </r>
  <r>
    <x v="36"/>
    <s v="september"/>
    <s v="Horizon Tech Ventures"/>
    <s v="Decor"/>
    <x v="2"/>
    <s v="Uttar Pradesh"/>
    <s v="Female"/>
    <n v="15"/>
    <n v="621"/>
    <n v="1488"/>
    <n v="9315"/>
    <n v="22320"/>
    <n v="13005"/>
    <s v="profit"/>
  </r>
  <r>
    <x v="37"/>
    <s v="september"/>
    <s v="Elite Edge Consulting"/>
    <s v="Decor"/>
    <x v="0"/>
    <s v="Gujarat"/>
    <s v="Male"/>
    <n v="16"/>
    <n v="963"/>
    <n v="1186"/>
    <n v="15408"/>
    <n v="18976"/>
    <n v="3568"/>
    <s v="profit"/>
  </r>
  <r>
    <x v="38"/>
    <s v="september"/>
    <s v="Harmony Tech Ventures"/>
    <s v="Decor"/>
    <x v="0"/>
    <s v="Uttar Pradesh"/>
    <s v="Female"/>
    <n v="13"/>
    <n v="762"/>
    <n v="1311"/>
    <n v="9906"/>
    <n v="17043"/>
    <n v="7137"/>
    <s v="profit"/>
  </r>
  <r>
    <x v="39"/>
    <s v="october"/>
    <s v="Radiant Fitness Studio"/>
    <s v="Decor"/>
    <x v="0"/>
    <s v="Tamil Nadu"/>
    <s v="Female"/>
    <n v="14"/>
    <n v="909"/>
    <n v="780"/>
    <n v="12726"/>
    <n v="10920"/>
    <n v="-1806"/>
    <s v="loss"/>
  </r>
  <r>
    <x v="40"/>
    <s v="october"/>
    <s v="Zenith Finance Co."/>
    <s v="Decor"/>
    <x v="0"/>
    <s v="Rajasthan"/>
    <s v="Female"/>
    <n v="11"/>
    <n v="858"/>
    <n v="1080"/>
    <n v="9438"/>
    <n v="11880"/>
    <n v="2442"/>
    <s v="profit"/>
  </r>
  <r>
    <x v="41"/>
    <s v="october"/>
    <s v="Apex Events Management"/>
    <s v="Decor"/>
    <x v="0"/>
    <s v="Uttar Pradesh"/>
    <s v="Female"/>
    <n v="12"/>
    <n v="516"/>
    <n v="857"/>
    <n v="6192"/>
    <n v="10284"/>
    <n v="4092"/>
    <s v="profit"/>
  </r>
  <r>
    <x v="42"/>
    <s v="october"/>
    <s v="Stellar Media Group"/>
    <s v="Decor"/>
    <x v="2"/>
    <s v="Jharkhand"/>
    <s v="Male"/>
    <n v="20"/>
    <n v="817"/>
    <n v="1324"/>
    <n v="16340"/>
    <n v="26480"/>
    <n v="10140"/>
    <s v="profit"/>
  </r>
  <r>
    <x v="43"/>
    <s v="october"/>
    <s v="Harmony Finance Co."/>
    <s v="Decor"/>
    <x v="2"/>
    <s v="West Bengal"/>
    <s v="Male"/>
    <n v="16"/>
    <n v="935"/>
    <n v="980"/>
    <n v="14960"/>
    <n v="15680"/>
    <n v="720"/>
    <s v="profit"/>
  </r>
  <r>
    <x v="44"/>
    <s v="october"/>
    <s v="Pure Vision Ventures"/>
    <s v="Decor"/>
    <x v="2"/>
    <s v="Karnataka"/>
    <s v="Male"/>
    <n v="17"/>
    <n v="642"/>
    <n v="1095"/>
    <n v="10914"/>
    <n v="18615"/>
    <n v="7701"/>
    <s v="profit"/>
  </r>
  <r>
    <x v="45"/>
    <s v="october"/>
    <s v="Legacy Travel Services"/>
    <s v="Decor"/>
    <x v="2"/>
    <s v="Gujarat"/>
    <s v="Female"/>
    <n v="18"/>
    <n v="596"/>
    <n v="817"/>
    <n v="10728"/>
    <n v="14706"/>
    <n v="3978"/>
    <s v="profit"/>
  </r>
  <r>
    <x v="46"/>
    <s v="october"/>
    <s v="Elite Spectrum Media"/>
    <s v="Decor"/>
    <x v="2"/>
    <s v="Uttar Pradesh"/>
    <s v="Female"/>
    <n v="14"/>
    <n v="533"/>
    <n v="922"/>
    <n v="7462"/>
    <n v="12908"/>
    <n v="5446"/>
    <s v="profit"/>
  </r>
  <r>
    <x v="47"/>
    <s v="october"/>
    <s v="Pinnacle Design Studio"/>
    <s v="Decor"/>
    <x v="2"/>
    <s v="Tamil Nadu"/>
    <s v="Female"/>
    <n v="19"/>
    <n v="578"/>
    <n v="1434"/>
    <n v="10982"/>
    <n v="27246"/>
    <n v="16264"/>
    <s v="profit"/>
  </r>
  <r>
    <x v="48"/>
    <s v="january"/>
    <s v="Legacy Travel Ventures"/>
    <s v="Decor"/>
    <x v="0"/>
    <s v="West Bengal"/>
    <s v="Female"/>
    <n v="14"/>
    <n v="521"/>
    <n v="974"/>
    <n v="7294"/>
    <n v="13636"/>
    <n v="6342"/>
    <s v="profit"/>
  </r>
  <r>
    <x v="49"/>
    <s v="may"/>
    <s v="Absolute Solutions"/>
    <s v="Fashion "/>
    <x v="5"/>
    <s v="Gujarat"/>
    <s v="Male"/>
    <n v="79"/>
    <n v="616"/>
    <n v="944"/>
    <n v="48664"/>
    <n v="74576"/>
    <n v="25912"/>
    <s v="profit"/>
  </r>
  <r>
    <x v="50"/>
    <s v="january"/>
    <s v="Stellar Design Group"/>
    <s v="Decor"/>
    <x v="0"/>
    <s v="Delhi"/>
    <s v="Female"/>
    <n v="14"/>
    <n v="734"/>
    <n v="1058"/>
    <n v="10276"/>
    <n v="14812"/>
    <n v="4536"/>
    <s v="profit"/>
  </r>
  <r>
    <x v="51"/>
    <s v="january"/>
    <s v="Horizon Ventures Co."/>
    <s v="Decor"/>
    <x v="0"/>
    <s v="Punjab"/>
    <s v="Female"/>
    <n v="20"/>
    <n v="837"/>
    <n v="1014"/>
    <n v="16740"/>
    <n v="20280"/>
    <n v="3540"/>
    <s v="profit"/>
  </r>
  <r>
    <x v="52"/>
    <s v="january"/>
    <s v="Zenith Wellness Services"/>
    <s v="Decor"/>
    <x v="0"/>
    <s v="West Bengal"/>
    <s v="Male"/>
    <n v="11"/>
    <n v="617"/>
    <n v="1025"/>
    <n v="6787"/>
    <n v="11275"/>
    <n v="4488"/>
    <s v="profit"/>
  </r>
  <r>
    <x v="53"/>
    <s v="january"/>
    <s v="Legacy Travel Co."/>
    <s v="Decor"/>
    <x v="2"/>
    <s v="Assam"/>
    <s v="Female"/>
    <n v="20"/>
    <n v="749"/>
    <n v="753"/>
    <n v="14980"/>
    <n v="15060"/>
    <n v="80"/>
    <s v="profit"/>
  </r>
  <r>
    <x v="54"/>
    <s v="january"/>
    <s v="Pinnacle Innovations Group"/>
    <s v="Decor"/>
    <x v="2"/>
    <s v="Punjab"/>
    <s v="Female"/>
    <n v="15"/>
    <n v="924"/>
    <n v="1024"/>
    <n v="13860"/>
    <n v="15360"/>
    <n v="1500"/>
    <s v="profit"/>
  </r>
  <r>
    <x v="55"/>
    <s v="january"/>
    <s v="Stellar Health Services"/>
    <s v="Decor"/>
    <x v="2"/>
    <s v="Chhattisgarh"/>
    <s v="Female"/>
    <n v="18"/>
    <n v="601"/>
    <n v="1246"/>
    <n v="10818"/>
    <n v="22428"/>
    <n v="11610"/>
    <s v="profit"/>
  </r>
  <r>
    <x v="56"/>
    <s v="january"/>
    <s v="Radiance Design Co."/>
    <s v="Decor"/>
    <x v="2"/>
    <s v="West Bengal"/>
    <s v="Female"/>
    <n v="17"/>
    <n v="626"/>
    <n v="1462"/>
    <n v="10642"/>
    <n v="24854"/>
    <n v="14212"/>
    <s v="profit"/>
  </r>
  <r>
    <x v="57"/>
    <s v="january"/>
    <s v="Harmony Consulting Group"/>
    <s v="Decor"/>
    <x v="2"/>
    <s v="West Bengal"/>
    <s v="Female"/>
    <n v="13"/>
    <n v="542"/>
    <n v="853"/>
    <n v="7046"/>
    <n v="11089"/>
    <n v="4043"/>
    <s v="profit"/>
  </r>
  <r>
    <x v="58"/>
    <s v="may"/>
    <s v="Synergy Tech Solutions"/>
    <s v="Fashion "/>
    <x v="5"/>
    <s v="Bihar"/>
    <s v="Male"/>
    <n v="50"/>
    <n v="639"/>
    <n v="789"/>
    <n v="31950"/>
    <n v="39450"/>
    <n v="7500"/>
    <s v="profit"/>
  </r>
  <r>
    <x v="59"/>
    <s v="january"/>
    <s v="Apex Educational Group"/>
    <s v="Decor"/>
    <x v="2"/>
    <s v="Jharkhand"/>
    <s v="Male"/>
    <n v="19"/>
    <n v="595"/>
    <n v="1424"/>
    <n v="11305"/>
    <n v="27056"/>
    <n v="15751"/>
    <s v="profit"/>
  </r>
  <r>
    <x v="60"/>
    <s v="january"/>
    <s v="Modern Wellness Co."/>
    <s v="Decor"/>
    <x v="2"/>
    <s v="West Bengal"/>
    <s v="Male"/>
    <n v="17"/>
    <n v="593"/>
    <n v="895"/>
    <n v="10081"/>
    <n v="15215"/>
    <n v="5134"/>
    <s v="profit"/>
  </r>
  <r>
    <x v="61"/>
    <s v="january"/>
    <s v="Pure Spectrum Innovations"/>
    <s v="Decor"/>
    <x v="2"/>
    <s v="Uttar Pradesh"/>
    <s v="Male"/>
    <n v="20"/>
    <n v="735"/>
    <n v="1277"/>
    <n v="14700"/>
    <n v="25540"/>
    <n v="10840"/>
    <s v="profit"/>
  </r>
  <r>
    <x v="62"/>
    <s v="january"/>
    <s v="Pinnacle Travel Co."/>
    <s v="Decor"/>
    <x v="2"/>
    <s v="Kerala"/>
    <s v="Male"/>
    <n v="17"/>
    <n v="750"/>
    <n v="1253"/>
    <n v="12750"/>
    <n v="21301"/>
    <n v="8551"/>
    <s v="profit"/>
  </r>
  <r>
    <x v="0"/>
    <s v="june"/>
    <s v="Horizon Wellness"/>
    <s v="Decor"/>
    <x v="0"/>
    <s v="Assam"/>
    <s v="Female"/>
    <n v="11"/>
    <n v="601"/>
    <n v="1323"/>
    <n v="6611"/>
    <n v="14553"/>
    <n v="7942"/>
    <s v="profit"/>
  </r>
  <r>
    <x v="1"/>
    <s v="june"/>
    <s v="True Value Electronics"/>
    <s v="Decor"/>
    <x v="0"/>
    <s v="Punjab"/>
    <s v="Female"/>
    <n v="20"/>
    <n v="857"/>
    <n v="983"/>
    <n v="17140"/>
    <n v="19660"/>
    <n v="2520"/>
    <s v="profit"/>
  </r>
  <r>
    <x v="2"/>
    <s v="june"/>
    <s v="Harmony Homes Realty"/>
    <s v="Decor"/>
    <x v="0"/>
    <s v="Chhattisgarh"/>
    <s v="Female"/>
    <n v="11"/>
    <n v="774"/>
    <n v="1363"/>
    <n v="8514"/>
    <n v="14993"/>
    <n v="6479"/>
    <s v="profit"/>
  </r>
  <r>
    <x v="3"/>
    <s v="june"/>
    <s v="Stellar Advertising"/>
    <s v="Decor"/>
    <x v="0"/>
    <s v="West Bengal"/>
    <s v="Female"/>
    <n v="13"/>
    <n v="986"/>
    <n v="1073"/>
    <n v="12818"/>
    <n v="13949"/>
    <n v="1131"/>
    <s v="profit"/>
  </r>
  <r>
    <x v="4"/>
    <s v="june"/>
    <s v="Modern Trends Retail"/>
    <s v="Decor"/>
    <x v="0"/>
    <s v="Madhya Pradesh"/>
    <s v="Male"/>
    <n v="12"/>
    <n v="997"/>
    <n v="1445"/>
    <n v="11964"/>
    <n v="17340"/>
    <n v="5376"/>
    <s v="profit"/>
  </r>
  <r>
    <x v="5"/>
    <s v="june"/>
    <s v="Global Spectrum Consulting"/>
    <s v="Decor"/>
    <x v="0"/>
    <s v="Jharkhand"/>
    <s v="Male"/>
    <n v="20"/>
    <n v="941"/>
    <n v="1053"/>
    <n v="18820"/>
    <n v="21060"/>
    <n v="2240"/>
    <s v="profit"/>
  </r>
  <r>
    <x v="7"/>
    <s v="june"/>
    <s v="Radiant Vision Studios"/>
    <s v="Decor"/>
    <x v="2"/>
    <s v="Gujarat"/>
    <s v="Female"/>
    <n v="19"/>
    <n v="952"/>
    <n v="1486"/>
    <n v="18088"/>
    <n v="28234"/>
    <n v="10146"/>
    <s v="profit"/>
  </r>
  <r>
    <x v="8"/>
    <s v="june"/>
    <s v="Noble Travel Services"/>
    <s v="Decor"/>
    <x v="2"/>
    <s v="Uttar Pradesh"/>
    <s v="Female"/>
    <n v="11"/>
    <n v="503"/>
    <n v="762"/>
    <n v="5533"/>
    <n v="8382"/>
    <n v="2849"/>
    <s v="profit"/>
  </r>
  <r>
    <x v="9"/>
    <s v="july"/>
    <s v="Bright Future Academy"/>
    <s v="Decor"/>
    <x v="2"/>
    <s v="Uttar Pradesh"/>
    <s v="Female"/>
    <n v="10"/>
    <n v="719"/>
    <n v="862"/>
    <n v="7190"/>
    <n v="8620"/>
    <n v="1430"/>
    <s v="profit"/>
  </r>
  <r>
    <x v="10"/>
    <s v="july"/>
    <s v="Visionary Health Systems"/>
    <s v="Decor"/>
    <x v="2"/>
    <s v="Madhya Pradesh"/>
    <s v="Female"/>
    <n v="15"/>
    <n v="941"/>
    <n v="913"/>
    <n v="14115"/>
    <n v="13695"/>
    <n v="-420"/>
    <s v="loss"/>
  </r>
  <r>
    <x v="11"/>
    <s v="july"/>
    <s v="Apex Retailers"/>
    <s v="Decor"/>
    <x v="2"/>
    <s v="Maharashtra"/>
    <s v="Female"/>
    <n v="15"/>
    <n v="937"/>
    <n v="1427"/>
    <n v="14055"/>
    <n v="21405"/>
    <n v="7350"/>
    <s v="profit"/>
  </r>
  <r>
    <x v="13"/>
    <s v="july"/>
    <s v="Prestige Property Developers"/>
    <s v="Decor"/>
    <x v="2"/>
    <s v="Chandigarh"/>
    <s v="Female"/>
    <n v="11"/>
    <n v="674"/>
    <n v="1415"/>
    <n v="7414"/>
    <n v="15565"/>
    <n v="8151"/>
    <s v="profit"/>
  </r>
  <r>
    <x v="63"/>
    <s v="june"/>
    <s v="Radiant Enterprise Solutions"/>
    <s v="Decor"/>
    <x v="0"/>
    <s v="West Bengal"/>
    <s v="Female"/>
    <n v="20"/>
    <n v="827"/>
    <n v="816"/>
    <n v="16540"/>
    <n v="16320"/>
    <n v="-220"/>
    <s v="loss"/>
  </r>
  <r>
    <x v="14"/>
    <s v="july"/>
    <s v="Classic Trends Fashion"/>
    <s v="Decor"/>
    <x v="2"/>
    <s v="Madhya Pradesh"/>
    <s v="Male"/>
    <n v="20"/>
    <n v="596"/>
    <n v="1255"/>
    <n v="11920"/>
    <n v="25100"/>
    <n v="13180"/>
    <s v="profit"/>
  </r>
  <r>
    <x v="15"/>
    <s v="july"/>
    <s v="Harmony Ventures"/>
    <s v="Decor"/>
    <x v="2"/>
    <s v="Andhra Pradesh"/>
    <s v="Male"/>
    <n v="20"/>
    <n v="689"/>
    <n v="939"/>
    <n v="13780"/>
    <n v="18780"/>
    <n v="5000"/>
    <s v="profit"/>
  </r>
  <r>
    <x v="16"/>
    <s v="july"/>
    <s v="Stellar Realty"/>
    <s v="Decor"/>
    <x v="2"/>
    <s v="Bihar"/>
    <s v="Male"/>
    <n v="17"/>
    <n v="990"/>
    <n v="1391"/>
    <n v="16830"/>
    <n v="23647"/>
    <n v="6817"/>
    <s v="profit"/>
  </r>
  <r>
    <x v="17"/>
    <s v="july"/>
    <s v="Future Path Technologies"/>
    <s v="Decor"/>
    <x v="2"/>
    <s v="Gujarat"/>
    <s v="Male"/>
    <n v="20"/>
    <n v="589"/>
    <n v="773"/>
    <n v="11780"/>
    <n v="15460"/>
    <n v="3680"/>
    <s v="profit"/>
  </r>
  <r>
    <x v="18"/>
    <s v="july"/>
    <s v="Elite Edge Services"/>
    <s v="Decor"/>
    <x v="2"/>
    <s v="Uttar Pradesh"/>
    <s v="Female"/>
    <n v="17"/>
    <n v="773"/>
    <n v="1266"/>
    <n v="13141"/>
    <n v="21522"/>
    <n v="8381"/>
    <s v="profit"/>
  </r>
  <r>
    <x v="64"/>
    <s v="june"/>
    <s v="Infinite Solutions"/>
    <s v="Fashion "/>
    <x v="5"/>
    <s v="Maharashtra"/>
    <s v="Female"/>
    <n v="75"/>
    <n v="859"/>
    <n v="1486"/>
    <n v="64425"/>
    <n v="111450"/>
    <n v="47025"/>
    <s v="profit"/>
  </r>
  <r>
    <x v="19"/>
    <s v="august"/>
    <s v="Modern Harmony Products"/>
    <s v="Decor"/>
    <x v="2"/>
    <s v="Maharashtra"/>
    <s v="Female"/>
    <n v="11"/>
    <n v="830"/>
    <n v="1386"/>
    <n v="9130"/>
    <n v="15246"/>
    <n v="6116"/>
    <s v="profit"/>
  </r>
  <r>
    <x v="20"/>
    <s v="august"/>
    <s v="Horizon Builders &amp; Developers"/>
    <s v="Decor"/>
    <x v="2"/>
    <s v="Rajasthan"/>
    <s v="Female"/>
    <n v="11"/>
    <n v="930"/>
    <n v="876"/>
    <n v="10230"/>
    <n v="9636"/>
    <n v="-594"/>
    <s v="loss"/>
  </r>
  <r>
    <x v="21"/>
    <s v="august"/>
    <s v="Legacy Apparel"/>
    <s v="Decor"/>
    <x v="2"/>
    <s v="Uttar Pradesh"/>
    <s v="Female"/>
    <n v="19"/>
    <n v="654"/>
    <n v="1295"/>
    <n v="12426"/>
    <n v="24605"/>
    <n v="12179"/>
    <s v="profit"/>
  </r>
  <r>
    <x v="23"/>
    <s v="august"/>
    <s v="Pinnacle Education Group"/>
    <s v="Decor"/>
    <x v="2"/>
    <s v="Uttar Pradesh"/>
    <s v="Female"/>
    <n v="18"/>
    <n v="767"/>
    <n v="988"/>
    <n v="13806"/>
    <n v="17784"/>
    <n v="3978"/>
    <s v="profit"/>
  </r>
  <r>
    <x v="25"/>
    <s v="august"/>
    <s v="Noble Innovations"/>
    <s v="Decor"/>
    <x v="2"/>
    <s v="Maharashtra"/>
    <s v="Male"/>
    <n v="12"/>
    <n v="654"/>
    <n v="788"/>
    <n v="7848"/>
    <n v="9456"/>
    <n v="1608"/>
    <s v="profit"/>
  </r>
  <r>
    <x v="26"/>
    <s v="august"/>
    <s v="Crystal Clear Realty"/>
    <s v="Decor"/>
    <x v="2"/>
    <s v="Madhya Pradesh"/>
    <s v="Male"/>
    <n v="11"/>
    <n v="827"/>
    <n v="765"/>
    <n v="9097"/>
    <n v="8415"/>
    <n v="-682"/>
    <s v="loss"/>
  </r>
  <r>
    <x v="27"/>
    <s v="september"/>
    <s v="Apex Publishing House"/>
    <s v="Decor"/>
    <x v="2"/>
    <s v="Delhi"/>
    <s v="Male"/>
    <n v="12"/>
    <n v="561"/>
    <n v="1162"/>
    <n v="6732"/>
    <n v="13944"/>
    <n v="7212"/>
    <s v="profit"/>
  </r>
  <r>
    <x v="28"/>
    <s v="september"/>
    <s v="True Value Consulting"/>
    <s v="Decor"/>
    <x v="2"/>
    <s v="Maharashtra"/>
    <s v="Male"/>
    <n v="12"/>
    <n v="879"/>
    <n v="1428"/>
    <n v="10548"/>
    <n v="17136"/>
    <n v="6588"/>
    <s v="profit"/>
  </r>
  <r>
    <x v="29"/>
    <s v="september"/>
    <s v="Future Path Ventures"/>
    <s v="Decor"/>
    <x v="2"/>
    <s v="West Bengal"/>
    <s v="Male"/>
    <n v="13"/>
    <n v="523"/>
    <n v="1326"/>
    <n v="6799"/>
    <n v="17238"/>
    <n v="10439"/>
    <s v="profit"/>
  </r>
  <r>
    <x v="30"/>
    <s v="september"/>
    <s v="Stellar Tech Services"/>
    <s v="Decor"/>
    <x v="2"/>
    <s v="Tamil Nadu"/>
    <s v="Male"/>
    <n v="10"/>
    <n v="990"/>
    <n v="1030"/>
    <n v="9900"/>
    <n v="10300"/>
    <n v="400"/>
    <s v="profit"/>
  </r>
  <r>
    <x v="65"/>
    <s v="july"/>
    <s v="Synergy Solutions Group"/>
    <s v="Decor"/>
    <x v="2"/>
    <s v="Maharashtra"/>
    <s v="Female"/>
    <n v="15"/>
    <n v="910"/>
    <n v="916"/>
    <n v="13650"/>
    <n v="13740"/>
    <n v="90"/>
    <s v="profit"/>
  </r>
  <r>
    <x v="31"/>
    <s v="september"/>
    <s v="Legacy Travel Agency"/>
    <s v="Decor"/>
    <x v="2"/>
    <s v="Karnataka"/>
    <s v="Female"/>
    <n v="12"/>
    <n v="707"/>
    <n v="1203"/>
    <n v="8484"/>
    <n v="14436"/>
    <n v="5952"/>
    <s v="profit"/>
  </r>
  <r>
    <x v="32"/>
    <s v="september"/>
    <s v="Harmony Innovations"/>
    <s v="Decor"/>
    <x v="2"/>
    <s v="Telangana"/>
    <s v="Female"/>
    <n v="13"/>
    <n v="515"/>
    <n v="1095"/>
    <n v="6695"/>
    <n v="14235"/>
    <n v="7540"/>
    <s v="profit"/>
  </r>
  <r>
    <x v="33"/>
    <s v="september"/>
    <s v="Elite Media Group"/>
    <s v="Decor"/>
    <x v="2"/>
    <s v="Maharashtra"/>
    <s v="Female"/>
    <n v="12"/>
    <n v="671"/>
    <n v="850"/>
    <n v="8052"/>
    <n v="10200"/>
    <n v="2148"/>
    <s v="profit"/>
  </r>
  <r>
    <x v="34"/>
    <s v="september"/>
    <s v="Radiant Construction"/>
    <s v="Decor"/>
    <x v="2"/>
    <s v="Rajasthan"/>
    <s v="Female"/>
    <n v="12"/>
    <n v="500"/>
    <n v="1276"/>
    <n v="6000"/>
    <n v="15312"/>
    <n v="9312"/>
    <s v="profit"/>
  </r>
  <r>
    <x v="35"/>
    <s v="september"/>
    <s v="Pinnacle Finance"/>
    <s v="Decor"/>
    <x v="2"/>
    <s v="Gujarat"/>
    <s v="Female"/>
    <n v="18"/>
    <n v="602"/>
    <n v="1401"/>
    <n v="10836"/>
    <n v="25218"/>
    <n v="14382"/>
    <s v="profit"/>
  </r>
  <r>
    <x v="36"/>
    <s v="september"/>
    <s v="Horizon Tech Ventures"/>
    <s v="Decor"/>
    <x v="2"/>
    <s v="Uttar Pradesh"/>
    <s v="Female"/>
    <n v="18"/>
    <n v="629"/>
    <n v="945"/>
    <n v="11322"/>
    <n v="17010"/>
    <n v="5688"/>
    <s v="profit"/>
  </r>
  <r>
    <x v="37"/>
    <s v="september"/>
    <s v="Elite Edge Consulting"/>
    <s v="Decor"/>
    <x v="0"/>
    <s v="Gujarat"/>
    <s v="Male"/>
    <n v="17"/>
    <n v="565"/>
    <n v="1281"/>
    <n v="9605"/>
    <n v="21777"/>
    <n v="12172"/>
    <s v="profit"/>
  </r>
  <r>
    <x v="38"/>
    <s v="september"/>
    <s v="Harmony Tech Ventures"/>
    <s v="Decor"/>
    <x v="0"/>
    <s v="Uttar Pradesh"/>
    <s v="Female"/>
    <n v="10"/>
    <n v="917"/>
    <n v="1107"/>
    <n v="9170"/>
    <n v="11070"/>
    <n v="1900"/>
    <s v="profit"/>
  </r>
  <r>
    <x v="39"/>
    <s v="october"/>
    <s v="Radiant Fitness Studio"/>
    <s v="Decor"/>
    <x v="0"/>
    <s v="Tamil Nadu"/>
    <s v="Female"/>
    <n v="18"/>
    <n v="867"/>
    <n v="875"/>
    <n v="15606"/>
    <n v="15750"/>
    <n v="144"/>
    <s v="profit"/>
  </r>
  <r>
    <x v="40"/>
    <s v="october"/>
    <s v="Zenith Finance Co."/>
    <s v="Decor"/>
    <x v="0"/>
    <s v="Rajasthan"/>
    <s v="Female"/>
    <n v="10"/>
    <n v="757"/>
    <n v="885"/>
    <n v="7570"/>
    <n v="8850"/>
    <n v="1280"/>
    <s v="profit"/>
  </r>
  <r>
    <x v="41"/>
    <s v="october"/>
    <s v="Apex Events Management"/>
    <s v="Decor"/>
    <x v="0"/>
    <s v="Uttar Pradesh"/>
    <s v="Female"/>
    <n v="18"/>
    <n v="668"/>
    <n v="1366"/>
    <n v="12024"/>
    <n v="24588"/>
    <n v="12564"/>
    <s v="profit"/>
  </r>
  <r>
    <x v="42"/>
    <s v="october"/>
    <s v="Stellar Media Group"/>
    <s v="Decor"/>
    <x v="2"/>
    <s v="Jharkhand"/>
    <s v="Male"/>
    <n v="20"/>
    <n v="882"/>
    <n v="1193"/>
    <n v="17640"/>
    <n v="23860"/>
    <n v="6220"/>
    <s v="profit"/>
  </r>
  <r>
    <x v="66"/>
    <s v="july"/>
    <s v="Horizon Tech Solutions"/>
    <s v="Electronic"/>
    <x v="6"/>
    <s v="Uttar Pradesh"/>
    <s v="Female"/>
    <n v="26"/>
    <n v="627"/>
    <n v="1416"/>
    <n v="16302"/>
    <n v="36816"/>
    <n v="20514"/>
    <s v="profit"/>
  </r>
  <r>
    <x v="43"/>
    <s v="october"/>
    <s v="Harmony Finance Co."/>
    <s v="Decor"/>
    <x v="2"/>
    <s v="West Bengal"/>
    <s v="Male"/>
    <n v="17"/>
    <n v="739"/>
    <n v="826"/>
    <n v="12563"/>
    <n v="14042"/>
    <n v="1479"/>
    <s v="profit"/>
  </r>
  <r>
    <x v="44"/>
    <s v="october"/>
    <s v="Pure Vision Ventures"/>
    <s v="Decor"/>
    <x v="2"/>
    <s v="Karnataka"/>
    <s v="Male"/>
    <n v="15"/>
    <n v="563"/>
    <n v="1069"/>
    <n v="8445"/>
    <n v="16035"/>
    <n v="7590"/>
    <s v="profit"/>
  </r>
  <r>
    <x v="45"/>
    <s v="october"/>
    <s v="Legacy Travel Services"/>
    <s v="Decor"/>
    <x v="2"/>
    <s v="Gujarat"/>
    <s v="Female"/>
    <n v="15"/>
    <n v="662"/>
    <n v="1183"/>
    <n v="9930"/>
    <n v="17745"/>
    <n v="7815"/>
    <s v="profit"/>
  </r>
  <r>
    <x v="46"/>
    <s v="october"/>
    <s v="Elite Spectrum Media"/>
    <s v="Decor"/>
    <x v="2"/>
    <s v="Uttar Pradesh"/>
    <s v="Female"/>
    <n v="16"/>
    <n v="846"/>
    <n v="1375"/>
    <n v="13536"/>
    <n v="22000"/>
    <n v="8464"/>
    <s v="profit"/>
  </r>
  <r>
    <x v="47"/>
    <s v="october"/>
    <s v="Pinnacle Design Studio"/>
    <s v="Decor"/>
    <x v="2"/>
    <s v="Tamil Nadu"/>
    <s v="Female"/>
    <n v="14"/>
    <n v="777"/>
    <n v="1192"/>
    <n v="10878"/>
    <n v="16688"/>
    <n v="5810"/>
    <s v="profit"/>
  </r>
  <r>
    <x v="48"/>
    <s v="january"/>
    <s v="Legacy Travel Ventures"/>
    <s v="Decor"/>
    <x v="0"/>
    <s v="West Bengal"/>
    <s v="Female"/>
    <n v="16"/>
    <n v="632"/>
    <n v="835"/>
    <n v="10112"/>
    <n v="13360"/>
    <n v="3248"/>
    <s v="profit"/>
  </r>
  <r>
    <x v="50"/>
    <s v="january"/>
    <s v="Stellar Design Group"/>
    <s v="Decor"/>
    <x v="0"/>
    <s v="Delhi"/>
    <s v="Female"/>
    <n v="11"/>
    <n v="731"/>
    <n v="1311"/>
    <n v="8041"/>
    <n v="14421"/>
    <n v="6380"/>
    <s v="profit"/>
  </r>
  <r>
    <x v="51"/>
    <s v="january"/>
    <s v="Horizon Ventures Co."/>
    <s v="Decor"/>
    <x v="0"/>
    <s v="Punjab"/>
    <s v="Female"/>
    <n v="10"/>
    <n v="774"/>
    <n v="1472"/>
    <n v="7740"/>
    <n v="14720"/>
    <n v="6980"/>
    <s v="profit"/>
  </r>
  <r>
    <x v="52"/>
    <s v="january"/>
    <s v="Zenith Wellness Services"/>
    <s v="Decor"/>
    <x v="0"/>
    <s v="West Bengal"/>
    <s v="Male"/>
    <n v="11"/>
    <n v="986"/>
    <n v="1228"/>
    <n v="10846"/>
    <n v="13508"/>
    <n v="2662"/>
    <s v="profit"/>
  </r>
  <r>
    <x v="53"/>
    <s v="january"/>
    <s v="Legacy Travel Co."/>
    <s v="Decor"/>
    <x v="2"/>
    <s v="Assam"/>
    <s v="Female"/>
    <n v="11"/>
    <n v="519"/>
    <n v="1143"/>
    <n v="5709"/>
    <n v="12573"/>
    <n v="6864"/>
    <s v="profit"/>
  </r>
  <r>
    <x v="54"/>
    <s v="january"/>
    <s v="Pinnacle Innovations Group"/>
    <s v="Decor"/>
    <x v="2"/>
    <s v="Punjab"/>
    <s v="Female"/>
    <n v="20"/>
    <n v="597"/>
    <n v="1175"/>
    <n v="11940"/>
    <n v="23500"/>
    <n v="11560"/>
    <s v="profit"/>
  </r>
  <r>
    <x v="55"/>
    <s v="january"/>
    <s v="Stellar Health Services"/>
    <s v="Decor"/>
    <x v="2"/>
    <s v="Chhattisgarh"/>
    <s v="Female"/>
    <n v="18"/>
    <n v="632"/>
    <n v="1384"/>
    <n v="11376"/>
    <n v="24912"/>
    <n v="13536"/>
    <s v="profit"/>
  </r>
  <r>
    <x v="56"/>
    <s v="january"/>
    <s v="Radiance Design Co."/>
    <s v="Decor"/>
    <x v="2"/>
    <s v="West Bengal"/>
    <s v="Female"/>
    <n v="17"/>
    <n v="649"/>
    <n v="1392"/>
    <n v="11033"/>
    <n v="23664"/>
    <n v="12631"/>
    <s v="profit"/>
  </r>
  <r>
    <x v="57"/>
    <s v="january"/>
    <s v="Harmony Consulting Group"/>
    <s v="Decor"/>
    <x v="2"/>
    <s v="West Bengal"/>
    <s v="Female"/>
    <n v="18"/>
    <n v="587"/>
    <n v="905"/>
    <n v="10566"/>
    <n v="16290"/>
    <n v="5724"/>
    <s v="profit"/>
  </r>
  <r>
    <x v="59"/>
    <s v="january"/>
    <s v="Apex Educational Group"/>
    <s v="Decor"/>
    <x v="2"/>
    <s v="Jharkhand"/>
    <s v="Male"/>
    <n v="19"/>
    <n v="701"/>
    <n v="1136"/>
    <n v="13319"/>
    <n v="21584"/>
    <n v="8265"/>
    <s v="profit"/>
  </r>
  <r>
    <x v="60"/>
    <s v="january"/>
    <s v="Modern Wellness Co."/>
    <s v="Decor"/>
    <x v="2"/>
    <s v="West Bengal"/>
    <s v="Male"/>
    <n v="19"/>
    <n v="972"/>
    <n v="1314"/>
    <n v="18468"/>
    <n v="24966"/>
    <n v="6498"/>
    <s v="profit"/>
  </r>
  <r>
    <x v="61"/>
    <s v="january"/>
    <s v="Pure Spectrum Innovations"/>
    <s v="Decor"/>
    <x v="2"/>
    <s v="Uttar Pradesh"/>
    <s v="Male"/>
    <n v="13"/>
    <n v="615"/>
    <n v="1010"/>
    <n v="7995"/>
    <n v="13130"/>
    <n v="5135"/>
    <s v="profit"/>
  </r>
  <r>
    <x v="62"/>
    <s v="january"/>
    <s v="Pinnacle Travel Co."/>
    <s v="Decor"/>
    <x v="2"/>
    <s v="Kerala"/>
    <s v="Male"/>
    <n v="19"/>
    <n v="864"/>
    <n v="1147"/>
    <n v="16416"/>
    <n v="21793"/>
    <n v="5377"/>
    <s v="profit"/>
  </r>
  <r>
    <x v="67"/>
    <s v="august"/>
    <s v="Apex Wellness Solutions"/>
    <s v="Fashion "/>
    <x v="7"/>
    <s v="Karnataka"/>
    <s v="Male"/>
    <n v="86"/>
    <n v="540"/>
    <n v="1460"/>
    <n v="46440"/>
    <n v="125560"/>
    <n v="79120"/>
    <s v="profit"/>
  </r>
  <r>
    <x v="0"/>
    <s v="june"/>
    <s v="Horizon Wellness"/>
    <s v="Decor"/>
    <x v="0"/>
    <s v="Assam"/>
    <s v="Female"/>
    <n v="13"/>
    <n v="643"/>
    <n v="1432"/>
    <n v="8359"/>
    <n v="18616"/>
    <n v="10257"/>
    <s v="profit"/>
  </r>
  <r>
    <x v="1"/>
    <s v="june"/>
    <s v="True Value Electronics"/>
    <s v="Decor"/>
    <x v="0"/>
    <s v="Punjab"/>
    <s v="Female"/>
    <n v="16"/>
    <n v="848"/>
    <n v="1211"/>
    <n v="13568"/>
    <n v="19376"/>
    <n v="5808"/>
    <s v="profit"/>
  </r>
  <r>
    <x v="2"/>
    <s v="june"/>
    <s v="Harmony Homes Realty"/>
    <s v="Decor"/>
    <x v="0"/>
    <s v="Chhattisgarh"/>
    <s v="Female"/>
    <n v="19"/>
    <n v="982"/>
    <n v="1457"/>
    <n v="18658"/>
    <n v="27683"/>
    <n v="9025"/>
    <s v="profit"/>
  </r>
  <r>
    <x v="3"/>
    <s v="june"/>
    <s v="Stellar Advertising"/>
    <s v="Decor"/>
    <x v="0"/>
    <s v="West Bengal"/>
    <s v="Female"/>
    <n v="19"/>
    <n v="918"/>
    <n v="864"/>
    <n v="17442"/>
    <n v="16416"/>
    <n v="-1026"/>
    <s v="loss"/>
  </r>
  <r>
    <x v="68"/>
    <s v="august"/>
    <s v="Radiance Tech Solutions"/>
    <s v="Decor"/>
    <x v="2"/>
    <s v="Gujarat"/>
    <s v="Female"/>
    <n v="10"/>
    <n v="863"/>
    <n v="1386"/>
    <n v="8630"/>
    <n v="13860"/>
    <n v="5230"/>
    <s v="profit"/>
  </r>
  <r>
    <x v="4"/>
    <s v="june"/>
    <s v="Modern Trends Retail"/>
    <s v="Decor"/>
    <x v="0"/>
    <s v="Madhya Pradesh"/>
    <s v="Male"/>
    <n v="17"/>
    <n v="787"/>
    <n v="1108"/>
    <n v="13379"/>
    <n v="18836"/>
    <n v="5457"/>
    <s v="profit"/>
  </r>
  <r>
    <x v="5"/>
    <s v="june"/>
    <s v="Global Spectrum Consulting"/>
    <s v="Decor"/>
    <x v="0"/>
    <s v="Jharkhand"/>
    <s v="Male"/>
    <n v="15"/>
    <n v="545"/>
    <n v="1182"/>
    <n v="8175"/>
    <n v="17730"/>
    <n v="9555"/>
    <s v="profit"/>
  </r>
  <r>
    <x v="7"/>
    <s v="june"/>
    <s v="Radiant Vision Studios"/>
    <s v="Decor"/>
    <x v="2"/>
    <s v="Gujarat"/>
    <s v="Female"/>
    <n v="11"/>
    <n v="616"/>
    <n v="1015"/>
    <n v="6776"/>
    <n v="11165"/>
    <n v="4389"/>
    <s v="profit"/>
  </r>
  <r>
    <x v="8"/>
    <s v="june"/>
    <s v="Noble Travel Services"/>
    <s v="Decor"/>
    <x v="2"/>
    <s v="Uttar Pradesh"/>
    <s v="Female"/>
    <n v="16"/>
    <n v="911"/>
    <n v="1299"/>
    <n v="14576"/>
    <n v="20784"/>
    <n v="6208"/>
    <s v="profit"/>
  </r>
  <r>
    <x v="9"/>
    <s v="july"/>
    <s v="Bright Future Academy"/>
    <s v="Decor"/>
    <x v="2"/>
    <s v="Uttar Pradesh"/>
    <s v="Female"/>
    <n v="19"/>
    <n v="816"/>
    <n v="1285"/>
    <n v="15504"/>
    <n v="24415"/>
    <n v="8911"/>
    <s v="profit"/>
  </r>
  <r>
    <x v="10"/>
    <s v="july"/>
    <s v="Visionary Health Systems"/>
    <s v="Decor"/>
    <x v="2"/>
    <s v="Madhya Pradesh"/>
    <s v="Female"/>
    <n v="16"/>
    <n v="693"/>
    <n v="1042"/>
    <n v="11088"/>
    <n v="16672"/>
    <n v="5584"/>
    <s v="profit"/>
  </r>
  <r>
    <x v="11"/>
    <s v="july"/>
    <s v="Apex Retailers"/>
    <s v="Decor"/>
    <x v="2"/>
    <s v="Maharashtra"/>
    <s v="Female"/>
    <n v="14"/>
    <n v="965"/>
    <n v="1212"/>
    <n v="13510"/>
    <n v="16968"/>
    <n v="3458"/>
    <s v="profit"/>
  </r>
  <r>
    <x v="69"/>
    <s v="august"/>
    <s v="Apex Enterprise Solutions"/>
    <s v="Electronic"/>
    <x v="6"/>
    <s v="Andhra Pradesh"/>
    <s v="Male"/>
    <n v="26"/>
    <n v="715"/>
    <n v="840"/>
    <n v="18590"/>
    <n v="21840"/>
    <n v="3250"/>
    <s v="profit"/>
  </r>
  <r>
    <x v="13"/>
    <s v="july"/>
    <s v="Prestige Property Developers"/>
    <s v="Decor"/>
    <x v="2"/>
    <s v="Chandigarh"/>
    <s v="Female"/>
    <n v="20"/>
    <n v="960"/>
    <n v="1170"/>
    <n v="19200"/>
    <n v="23400"/>
    <n v="4200"/>
    <s v="profit"/>
  </r>
  <r>
    <x v="14"/>
    <s v="july"/>
    <s v="Classic Trends Fashion"/>
    <s v="Decor"/>
    <x v="2"/>
    <s v="Madhya Pradesh"/>
    <s v="Male"/>
    <n v="16"/>
    <n v="734"/>
    <n v="1330"/>
    <n v="11744"/>
    <n v="21280"/>
    <n v="9536"/>
    <s v="profit"/>
  </r>
  <r>
    <x v="15"/>
    <s v="july"/>
    <s v="Harmony Ventures"/>
    <s v="Decor"/>
    <x v="2"/>
    <s v="Andhra Pradesh"/>
    <s v="Male"/>
    <n v="16"/>
    <n v="673"/>
    <n v="1233"/>
    <n v="10768"/>
    <n v="19728"/>
    <n v="8960"/>
    <s v="profit"/>
  </r>
  <r>
    <x v="16"/>
    <s v="july"/>
    <s v="Stellar Realty"/>
    <s v="Decor"/>
    <x v="2"/>
    <s v="Bihar"/>
    <s v="Male"/>
    <n v="14"/>
    <n v="782"/>
    <n v="835"/>
    <n v="10948"/>
    <n v="11690"/>
    <n v="742"/>
    <s v="profit"/>
  </r>
  <r>
    <x v="17"/>
    <s v="july"/>
    <s v="Future Path Technologies"/>
    <s v="Decor"/>
    <x v="2"/>
    <s v="Gujarat"/>
    <s v="Male"/>
    <n v="19"/>
    <n v="536"/>
    <n v="927"/>
    <n v="10184"/>
    <n v="17613"/>
    <n v="7429"/>
    <s v="profit"/>
  </r>
  <r>
    <x v="70"/>
    <s v="august"/>
    <s v="Prestige Solutions"/>
    <s v="Electronic"/>
    <x v="6"/>
    <s v="Tamil Nadu"/>
    <s v="Female"/>
    <n v="23"/>
    <n v="923"/>
    <n v="897"/>
    <n v="21229"/>
    <n v="20631"/>
    <n v="-598"/>
    <s v="loss"/>
  </r>
  <r>
    <x v="18"/>
    <s v="july"/>
    <s v="Elite Edge Services"/>
    <s v="Decor"/>
    <x v="2"/>
    <s v="Uttar Pradesh"/>
    <s v="Female"/>
    <n v="11"/>
    <n v="991"/>
    <n v="803"/>
    <n v="10901"/>
    <n v="8833"/>
    <n v="-2068"/>
    <s v="loss"/>
  </r>
  <r>
    <x v="19"/>
    <s v="august"/>
    <s v="Modern Harmony Products"/>
    <s v="Decor"/>
    <x v="2"/>
    <s v="Maharashtra"/>
    <s v="Female"/>
    <n v="10"/>
    <n v="844"/>
    <n v="865"/>
    <n v="8440"/>
    <n v="8650"/>
    <n v="210"/>
    <s v="profit"/>
  </r>
  <r>
    <x v="20"/>
    <s v="august"/>
    <s v="Horizon Builders &amp; Developers"/>
    <s v="Decor"/>
    <x v="2"/>
    <s v="Rajasthan"/>
    <s v="Female"/>
    <n v="20"/>
    <n v="803"/>
    <n v="1377"/>
    <n v="16060"/>
    <n v="27540"/>
    <n v="11480"/>
    <s v="profit"/>
  </r>
  <r>
    <x v="21"/>
    <s v="august"/>
    <s v="Legacy Apparel"/>
    <s v="Decor"/>
    <x v="2"/>
    <s v="Uttar Pradesh"/>
    <s v="Female"/>
    <n v="12"/>
    <n v="606"/>
    <n v="1154"/>
    <n v="7272"/>
    <n v="13848"/>
    <n v="6576"/>
    <s v="profit"/>
  </r>
  <r>
    <x v="23"/>
    <s v="august"/>
    <s v="Pinnacle Education Group"/>
    <s v="Decor"/>
    <x v="2"/>
    <s v="Uttar Pradesh"/>
    <s v="Female"/>
    <n v="11"/>
    <n v="622"/>
    <n v="767"/>
    <n v="6842"/>
    <n v="8437"/>
    <n v="1595"/>
    <s v="profit"/>
  </r>
  <r>
    <x v="25"/>
    <s v="august"/>
    <s v="Noble Innovations"/>
    <s v="Decor"/>
    <x v="2"/>
    <s v="Maharashtra"/>
    <s v="Male"/>
    <n v="17"/>
    <n v="671"/>
    <n v="906"/>
    <n v="11407"/>
    <n v="15402"/>
    <n v="3995"/>
    <s v="profit"/>
  </r>
  <r>
    <x v="26"/>
    <s v="august"/>
    <s v="Crystal Clear Realty"/>
    <s v="Decor"/>
    <x v="2"/>
    <s v="Madhya Pradesh"/>
    <s v="Male"/>
    <n v="12"/>
    <n v="814"/>
    <n v="1392"/>
    <n v="9768"/>
    <n v="16704"/>
    <n v="6936"/>
    <s v="profit"/>
  </r>
  <r>
    <x v="27"/>
    <s v="september"/>
    <s v="Apex Publishing House"/>
    <s v="Decor"/>
    <x v="2"/>
    <s v="Delhi"/>
    <s v="Male"/>
    <n v="11"/>
    <n v="960"/>
    <n v="939"/>
    <n v="10560"/>
    <n v="10329"/>
    <n v="-231"/>
    <s v="loss"/>
  </r>
  <r>
    <x v="71"/>
    <s v="august"/>
    <s v="Urban Wave Solutions"/>
    <s v="Fashion "/>
    <x v="5"/>
    <s v="Punjab"/>
    <s v="Male"/>
    <n v="89"/>
    <n v="910"/>
    <n v="1261"/>
    <n v="80990"/>
    <n v="112229"/>
    <n v="31239"/>
    <s v="profit"/>
  </r>
  <r>
    <x v="28"/>
    <s v="september"/>
    <s v="True Value Consulting"/>
    <s v="Decor"/>
    <x v="2"/>
    <s v="Maharashtra"/>
    <s v="Male"/>
    <n v="10"/>
    <n v="654"/>
    <n v="1029"/>
    <n v="6540"/>
    <n v="10290"/>
    <n v="3750"/>
    <s v="profit"/>
  </r>
  <r>
    <x v="29"/>
    <s v="september"/>
    <s v="Future Path Ventures"/>
    <s v="Decor"/>
    <x v="2"/>
    <s v="West Bengal"/>
    <s v="Male"/>
    <n v="14"/>
    <n v="504"/>
    <n v="1130"/>
    <n v="7056"/>
    <n v="15820"/>
    <n v="8764"/>
    <s v="profit"/>
  </r>
  <r>
    <x v="30"/>
    <s v="september"/>
    <s v="Stellar Tech Services"/>
    <s v="Decor"/>
    <x v="2"/>
    <s v="Tamil Nadu"/>
    <s v="Male"/>
    <n v="12"/>
    <n v="886"/>
    <n v="1233"/>
    <n v="10632"/>
    <n v="14796"/>
    <n v="4164"/>
    <s v="profit"/>
  </r>
  <r>
    <x v="31"/>
    <s v="september"/>
    <s v="Legacy Travel Agency"/>
    <s v="Decor"/>
    <x v="2"/>
    <s v="Karnataka"/>
    <s v="Female"/>
    <n v="10"/>
    <n v="554"/>
    <n v="1210"/>
    <n v="5540"/>
    <n v="12100"/>
    <n v="6560"/>
    <s v="profit"/>
  </r>
  <r>
    <x v="72"/>
    <s v="september"/>
    <s v="Visionary Realty Solutions"/>
    <s v="Fashion "/>
    <x v="7"/>
    <s v="Jharkhand"/>
    <s v="Female"/>
    <n v="59"/>
    <n v="764"/>
    <n v="1365"/>
    <n v="45076"/>
    <n v="80535"/>
    <n v="35459"/>
    <s v="profit"/>
  </r>
  <r>
    <x v="32"/>
    <s v="september"/>
    <s v="Harmony Innovations"/>
    <s v="Decor"/>
    <x v="2"/>
    <s v="Telangana"/>
    <s v="Female"/>
    <n v="14"/>
    <n v="933"/>
    <n v="1064"/>
    <n v="13062"/>
    <n v="14896"/>
    <n v="1834"/>
    <s v="profit"/>
  </r>
  <r>
    <x v="33"/>
    <s v="september"/>
    <s v="Elite Media Group"/>
    <s v="Decor"/>
    <x v="2"/>
    <s v="Maharashtra"/>
    <s v="Female"/>
    <n v="15"/>
    <n v="674"/>
    <n v="1125"/>
    <n v="10110"/>
    <n v="16875"/>
    <n v="6765"/>
    <s v="profit"/>
  </r>
  <r>
    <x v="34"/>
    <s v="september"/>
    <s v="Radiant Construction"/>
    <s v="Decor"/>
    <x v="2"/>
    <s v="Rajasthan"/>
    <s v="Female"/>
    <n v="20"/>
    <n v="529"/>
    <n v="1455"/>
    <n v="10580"/>
    <n v="29100"/>
    <n v="18520"/>
    <s v="profit"/>
  </r>
  <r>
    <x v="35"/>
    <s v="september"/>
    <s v="Pinnacle Finance"/>
    <s v="Decor"/>
    <x v="2"/>
    <s v="Gujarat"/>
    <s v="Female"/>
    <n v="18"/>
    <n v="717"/>
    <n v="833"/>
    <n v="12906"/>
    <n v="14994"/>
    <n v="2088"/>
    <s v="profit"/>
  </r>
  <r>
    <x v="36"/>
    <s v="september"/>
    <s v="Horizon Tech Ventures"/>
    <s v="Decor"/>
    <x v="2"/>
    <s v="Uttar Pradesh"/>
    <s v="Female"/>
    <n v="17"/>
    <n v="966"/>
    <n v="1044"/>
    <n v="16422"/>
    <n v="17748"/>
    <n v="1326"/>
    <s v="profit"/>
  </r>
  <r>
    <x v="37"/>
    <s v="september"/>
    <s v="Elite Edge Consulting"/>
    <s v="Decor"/>
    <x v="0"/>
    <s v="Gujarat"/>
    <s v="Male"/>
    <n v="16"/>
    <n v="599"/>
    <n v="1490"/>
    <n v="9584"/>
    <n v="23840"/>
    <n v="14256"/>
    <s v="profit"/>
  </r>
  <r>
    <x v="38"/>
    <s v="september"/>
    <s v="Harmony Tech Ventures"/>
    <s v="Decor"/>
    <x v="0"/>
    <s v="Uttar Pradesh"/>
    <s v="Female"/>
    <n v="12"/>
    <n v="827"/>
    <n v="955"/>
    <n v="9924"/>
    <n v="11460"/>
    <n v="1536"/>
    <s v="profit"/>
  </r>
  <r>
    <x v="39"/>
    <s v="october"/>
    <s v="Radiant Fitness Studio"/>
    <s v="Decor"/>
    <x v="0"/>
    <s v="Tamil Nadu"/>
    <s v="Female"/>
    <n v="17"/>
    <n v="932"/>
    <n v="808"/>
    <n v="15844"/>
    <n v="13736"/>
    <n v="-2108"/>
    <s v="loss"/>
  </r>
  <r>
    <x v="73"/>
    <s v="september"/>
    <s v="Pure Essence Solutions"/>
    <s v="Decor"/>
    <x v="2"/>
    <s v="Gujarat"/>
    <s v="Female"/>
    <n v="14"/>
    <n v="857"/>
    <n v="767"/>
    <n v="11998"/>
    <n v="10738"/>
    <n v="-1260"/>
    <s v="loss"/>
  </r>
  <r>
    <x v="40"/>
    <s v="october"/>
    <s v="Zenith Finance Co."/>
    <s v="Decor"/>
    <x v="0"/>
    <s v="Rajasthan"/>
    <s v="Female"/>
    <n v="11"/>
    <n v="654"/>
    <n v="767"/>
    <n v="7194"/>
    <n v="8437"/>
    <n v="1243"/>
    <s v="profit"/>
  </r>
  <r>
    <x v="41"/>
    <s v="october"/>
    <s v="Apex Events Management"/>
    <s v="Decor"/>
    <x v="0"/>
    <s v="Uttar Pradesh"/>
    <s v="Female"/>
    <n v="19"/>
    <n v="764"/>
    <n v="1069"/>
    <n v="14516"/>
    <n v="20311"/>
    <n v="5795"/>
    <s v="profit"/>
  </r>
  <r>
    <x v="42"/>
    <s v="october"/>
    <s v="Stellar Media Group"/>
    <s v="Decor"/>
    <x v="2"/>
    <s v="Jharkhand"/>
    <s v="Male"/>
    <n v="15"/>
    <n v="906"/>
    <n v="1485"/>
    <n v="13590"/>
    <n v="22275"/>
    <n v="8685"/>
    <s v="profit"/>
  </r>
  <r>
    <x v="43"/>
    <s v="october"/>
    <s v="Harmony Finance Co."/>
    <s v="Decor"/>
    <x v="2"/>
    <s v="West Bengal"/>
    <s v="Male"/>
    <n v="20"/>
    <n v="780"/>
    <n v="783"/>
    <n v="15600"/>
    <n v="15660"/>
    <n v="60"/>
    <s v="profit"/>
  </r>
  <r>
    <x v="74"/>
    <s v="september"/>
    <s v="Crystal Health Solutions"/>
    <s v="Decor"/>
    <x v="2"/>
    <s v="Uttar Pradesh"/>
    <s v="Male"/>
    <n v="14"/>
    <n v="515"/>
    <n v="1230"/>
    <n v="7210"/>
    <n v="17220"/>
    <n v="10010"/>
    <s v="profit"/>
  </r>
  <r>
    <x v="44"/>
    <s v="october"/>
    <s v="Pure Vision Ventures"/>
    <s v="Decor"/>
    <x v="2"/>
    <s v="Karnataka"/>
    <s v="Male"/>
    <n v="17"/>
    <n v="747"/>
    <n v="1190"/>
    <n v="12699"/>
    <n v="20230"/>
    <n v="7531"/>
    <s v="profit"/>
  </r>
  <r>
    <x v="45"/>
    <s v="october"/>
    <s v="Legacy Travel Services"/>
    <s v="Decor"/>
    <x v="2"/>
    <s v="Gujarat"/>
    <s v="Female"/>
    <n v="15"/>
    <n v="747"/>
    <n v="966"/>
    <n v="11205"/>
    <n v="14490"/>
    <n v="3285"/>
    <s v="profit"/>
  </r>
  <r>
    <x v="46"/>
    <s v="october"/>
    <s v="Elite Spectrum Media"/>
    <s v="Decor"/>
    <x v="2"/>
    <s v="Uttar Pradesh"/>
    <s v="Female"/>
    <n v="20"/>
    <n v="844"/>
    <n v="1010"/>
    <n v="16880"/>
    <n v="20200"/>
    <n v="3320"/>
    <s v="profit"/>
  </r>
  <r>
    <x v="47"/>
    <s v="october"/>
    <s v="Pinnacle Design Studio"/>
    <s v="Decor"/>
    <x v="2"/>
    <s v="Tamil Nadu"/>
    <s v="Female"/>
    <n v="14"/>
    <n v="799"/>
    <n v="1154"/>
    <n v="11186"/>
    <n v="16156"/>
    <n v="4970"/>
    <s v="profit"/>
  </r>
  <r>
    <x v="48"/>
    <s v="january"/>
    <s v="Legacy Travel Ventures"/>
    <s v="Decor"/>
    <x v="0"/>
    <s v="West Bengal"/>
    <s v="Female"/>
    <n v="19"/>
    <n v="608"/>
    <n v="1032"/>
    <n v="11552"/>
    <n v="19608"/>
    <n v="8056"/>
    <s v="profit"/>
  </r>
  <r>
    <x v="50"/>
    <s v="january"/>
    <s v="Stellar Design Group"/>
    <s v="Decor"/>
    <x v="0"/>
    <s v="Delhi"/>
    <s v="Female"/>
    <n v="14"/>
    <n v="579"/>
    <n v="907"/>
    <n v="8106"/>
    <n v="12698"/>
    <n v="4592"/>
    <s v="profit"/>
  </r>
  <r>
    <x v="51"/>
    <s v="january"/>
    <s v="Horizon Ventures Co."/>
    <s v="Decor"/>
    <x v="0"/>
    <s v="Punjab"/>
    <s v="Female"/>
    <n v="17"/>
    <n v="825"/>
    <n v="1080"/>
    <n v="14025"/>
    <n v="18360"/>
    <n v="4335"/>
    <s v="profit"/>
  </r>
  <r>
    <x v="52"/>
    <s v="january"/>
    <s v="Zenith Wellness Services"/>
    <s v="Decor"/>
    <x v="0"/>
    <s v="West Bengal"/>
    <s v="Male"/>
    <n v="15"/>
    <n v="827"/>
    <n v="931"/>
    <n v="12405"/>
    <n v="13965"/>
    <n v="1560"/>
    <s v="profit"/>
  </r>
  <r>
    <x v="75"/>
    <s v="september"/>
    <s v="Stellar Travel Solutions"/>
    <s v="Decor"/>
    <x v="0"/>
    <s v="Uttar Pradesh"/>
    <s v="Female"/>
    <n v="15"/>
    <n v="650"/>
    <n v="1347"/>
    <n v="9750"/>
    <n v="20205"/>
    <n v="10455"/>
    <s v="profit"/>
  </r>
  <r>
    <x v="53"/>
    <s v="january"/>
    <s v="Legacy Travel Co."/>
    <s v="Decor"/>
    <x v="2"/>
    <s v="Assam"/>
    <s v="Female"/>
    <n v="20"/>
    <n v="900"/>
    <n v="1431"/>
    <n v="18000"/>
    <n v="28620"/>
    <n v="10620"/>
    <s v="profit"/>
  </r>
  <r>
    <x v="76"/>
    <s v="september"/>
    <s v="Pure Harmony Solutions"/>
    <s v="Decor"/>
    <x v="0"/>
    <s v="Tamil Nadu"/>
    <s v="Female"/>
    <n v="15"/>
    <n v="825"/>
    <n v="947"/>
    <n v="12375"/>
    <n v="14205"/>
    <n v="1830"/>
    <s v="profit"/>
  </r>
  <r>
    <x v="54"/>
    <s v="january"/>
    <s v="Pinnacle Innovations Group"/>
    <s v="Decor"/>
    <x v="2"/>
    <s v="Punjab"/>
    <s v="Female"/>
    <n v="19"/>
    <n v="791"/>
    <n v="965"/>
    <n v="15029"/>
    <n v="18335"/>
    <n v="3306"/>
    <s v="profit"/>
  </r>
  <r>
    <x v="55"/>
    <s v="january"/>
    <s v="Stellar Health Services"/>
    <s v="Decor"/>
    <x v="2"/>
    <s v="Chhattisgarh"/>
    <s v="Female"/>
    <n v="18"/>
    <n v="963"/>
    <n v="1178"/>
    <n v="17334"/>
    <n v="21204"/>
    <n v="3870"/>
    <s v="profit"/>
  </r>
  <r>
    <x v="56"/>
    <s v="january"/>
    <s v="Radiance Design Co."/>
    <s v="Decor"/>
    <x v="2"/>
    <s v="West Bengal"/>
    <s v="Female"/>
    <n v="19"/>
    <n v="763"/>
    <n v="1036"/>
    <n v="14497"/>
    <n v="19684"/>
    <n v="5187"/>
    <s v="profit"/>
  </r>
  <r>
    <x v="57"/>
    <s v="january"/>
    <s v="Harmony Consulting Group"/>
    <s v="Decor"/>
    <x v="2"/>
    <s v="West Bengal"/>
    <s v="Female"/>
    <n v="19"/>
    <n v="795"/>
    <n v="1471"/>
    <n v="15105"/>
    <n v="27949"/>
    <n v="12844"/>
    <s v="profit"/>
  </r>
  <r>
    <x v="59"/>
    <s v="january"/>
    <s v="Apex Educational Group"/>
    <s v="Decor"/>
    <x v="2"/>
    <s v="Jharkhand"/>
    <s v="Male"/>
    <n v="16"/>
    <n v="731"/>
    <n v="1296"/>
    <n v="11696"/>
    <n v="20736"/>
    <n v="9040"/>
    <s v="profit"/>
  </r>
  <r>
    <x v="77"/>
    <s v="october"/>
    <s v="Modern Spectrum Solutions"/>
    <s v="Fashion "/>
    <x v="5"/>
    <s v="Maharashtra"/>
    <s v="Female"/>
    <n v="92"/>
    <n v="923"/>
    <n v="1151"/>
    <n v="84916"/>
    <n v="105892"/>
    <n v="20976"/>
    <s v="profit"/>
  </r>
  <r>
    <x v="60"/>
    <s v="january"/>
    <s v="Modern Wellness Co."/>
    <s v="Decor"/>
    <x v="2"/>
    <s v="West Bengal"/>
    <s v="Male"/>
    <n v="12"/>
    <n v="927"/>
    <n v="1162"/>
    <n v="11124"/>
    <n v="13944"/>
    <n v="2820"/>
    <s v="profit"/>
  </r>
  <r>
    <x v="61"/>
    <s v="january"/>
    <s v="Pure Spectrum Innovations"/>
    <s v="Decor"/>
    <x v="2"/>
    <s v="Uttar Pradesh"/>
    <s v="Male"/>
    <n v="13"/>
    <n v="528"/>
    <n v="1175"/>
    <n v="6864"/>
    <n v="15275"/>
    <n v="8411"/>
    <s v="profit"/>
  </r>
  <r>
    <x v="62"/>
    <s v="january"/>
    <s v="Pinnacle Travel Co."/>
    <s v="Decor"/>
    <x v="2"/>
    <s v="Kerala"/>
    <s v="Male"/>
    <n v="16"/>
    <n v="998"/>
    <n v="835"/>
    <n v="15968"/>
    <n v="13360"/>
    <n v="-2608"/>
    <s v="loss"/>
  </r>
  <r>
    <x v="78"/>
    <s v="april"/>
    <s v="Bharat Innovations"/>
    <s v="Electronic"/>
    <x v="3"/>
    <s v="Delhi"/>
    <s v="Male"/>
    <n v="29"/>
    <n v="924"/>
    <n v="1101"/>
    <n v="26796"/>
    <n v="31929"/>
    <n v="5133"/>
    <s v="profit"/>
  </r>
  <r>
    <x v="79"/>
    <s v="april"/>
    <s v="Green Leaf Enterprises"/>
    <s v="Electronic"/>
    <x v="8"/>
    <s v="Maharashtra"/>
    <s v="Male"/>
    <n v="30"/>
    <n v="817"/>
    <n v="1334"/>
    <n v="24510"/>
    <n v="40020"/>
    <n v="15510"/>
    <s v="profit"/>
  </r>
  <r>
    <x v="80"/>
    <s v="april"/>
    <s v="Urban Pulse Technologies"/>
    <s v="Electronic"/>
    <x v="8"/>
    <s v="West Bengal"/>
    <s v="Male"/>
    <n v="23"/>
    <n v="753"/>
    <n v="987"/>
    <n v="17319"/>
    <n v="22701"/>
    <n v="5382"/>
    <s v="profit"/>
  </r>
  <r>
    <x v="81"/>
    <s v="october"/>
    <s v="Apex Creative Solutions"/>
    <s v="Fashion "/>
    <x v="7"/>
    <s v="West Bengal"/>
    <s v="Male"/>
    <n v="57"/>
    <n v="927"/>
    <n v="1477"/>
    <n v="52839"/>
    <n v="84189"/>
    <n v="31350"/>
    <s v="profit"/>
  </r>
  <r>
    <x v="82"/>
    <s v="april"/>
    <s v="Mystic India Exports"/>
    <s v="Electronic"/>
    <x v="8"/>
    <s v="Tamil Nadu"/>
    <s v="Male"/>
    <n v="26"/>
    <n v="809"/>
    <n v="800"/>
    <n v="21034"/>
    <n v="20800"/>
    <n v="-234"/>
    <s v="loss"/>
  </r>
  <r>
    <x v="83"/>
    <s v="april"/>
    <s v="Pure Essence Skincare"/>
    <s v="Electronic"/>
    <x v="3"/>
    <s v="Rajasthan"/>
    <s v="Female"/>
    <n v="23"/>
    <n v="852"/>
    <n v="1480"/>
    <n v="19596"/>
    <n v="34040"/>
    <n v="14444"/>
    <s v="profit"/>
  </r>
  <r>
    <x v="84"/>
    <s v="april"/>
    <s v="Zenith Construction Co."/>
    <s v="Electronic"/>
    <x v="3"/>
    <s v="Gujarat"/>
    <s v="Female"/>
    <n v="24"/>
    <n v="903"/>
    <n v="1338"/>
    <n v="21672"/>
    <n v="32112"/>
    <n v="10440"/>
    <s v="profit"/>
  </r>
  <r>
    <x v="85"/>
    <s v="april"/>
    <s v="Radiant Health Systems"/>
    <s v="Electronic"/>
    <x v="3"/>
    <s v="Uttar Pradesh"/>
    <s v="Female"/>
    <n v="21"/>
    <n v="829"/>
    <n v="950"/>
    <n v="17409"/>
    <n v="19950"/>
    <n v="2541"/>
    <s v="profit"/>
  </r>
  <r>
    <x v="86"/>
    <s v="october"/>
    <s v="Radiance Solutions Group"/>
    <s v="Decor"/>
    <x v="2"/>
    <s v="Bihar"/>
    <s v="Female"/>
    <n v="16"/>
    <n v="584"/>
    <n v="1278"/>
    <n v="9344"/>
    <n v="20448"/>
    <n v="11104"/>
    <s v="profit"/>
  </r>
  <r>
    <x v="87"/>
    <s v="april"/>
    <s v="Divine Creations"/>
    <s v="Electronic"/>
    <x v="3"/>
    <s v="Uttar Pradesh"/>
    <s v="Female"/>
    <n v="20"/>
    <n v="557"/>
    <n v="1002"/>
    <n v="11140"/>
    <n v="20040"/>
    <n v="8900"/>
    <s v="profit"/>
  </r>
  <r>
    <x v="88"/>
    <s v="april"/>
    <s v="True Path Logistics"/>
    <s v="Electronic"/>
    <x v="3"/>
    <s v="Madhya Pradesh"/>
    <s v="Female"/>
    <n v="20"/>
    <n v="648"/>
    <n v="1106"/>
    <n v="12960"/>
    <n v="22120"/>
    <n v="9160"/>
    <s v="profit"/>
  </r>
  <r>
    <x v="89"/>
    <s v="october"/>
    <s v="Modern Edge Solutions"/>
    <s v="Decor"/>
    <x v="2"/>
    <s v="Uttar Pradesh"/>
    <s v="Female"/>
    <n v="19"/>
    <n v="589"/>
    <n v="1100"/>
    <n v="11191"/>
    <n v="20900"/>
    <n v="9709"/>
    <s v="profit"/>
  </r>
  <r>
    <x v="90"/>
    <s v="april"/>
    <s v="Prestige Automobiles"/>
    <s v="Electronic"/>
    <x v="4"/>
    <s v="Uttar Pradesh"/>
    <s v="Male"/>
    <n v="26"/>
    <n v="942"/>
    <n v="1143"/>
    <n v="24492"/>
    <n v="29718"/>
    <n v="5226"/>
    <s v="profit"/>
  </r>
  <r>
    <x v="91"/>
    <s v="october"/>
    <s v="Horizon Health Solutions"/>
    <s v="Electronic"/>
    <x v="3"/>
    <s v="Tamil Nadu"/>
    <s v="Female"/>
    <n v="30"/>
    <n v="869"/>
    <n v="1033"/>
    <n v="26070"/>
    <n v="30990"/>
    <n v="4920"/>
    <s v="profit"/>
  </r>
  <r>
    <x v="92"/>
    <s v="april"/>
    <s v="Natural Bliss Beverages"/>
    <s v="Electronic"/>
    <x v="4"/>
    <s v="Tamil Nadu"/>
    <s v="Male"/>
    <n v="20"/>
    <n v="606"/>
    <n v="806"/>
    <n v="12120"/>
    <n v="16120"/>
    <n v="4000"/>
    <s v="profit"/>
  </r>
  <r>
    <x v="93"/>
    <s v="october"/>
    <s v="Apex Marketing Solutions"/>
    <s v="Electronic"/>
    <x v="8"/>
    <s v="Uttar Pradesh"/>
    <s v="Male"/>
    <n v="20"/>
    <n v="979"/>
    <n v="1471"/>
    <n v="19580"/>
    <n v="29420"/>
    <n v="9840"/>
    <s v="profit"/>
  </r>
  <r>
    <x v="94"/>
    <s v="april"/>
    <s v="Modern Trends Fashion"/>
    <s v="Electronic"/>
    <x v="4"/>
    <s v="Uttar Pradesh"/>
    <s v="Female"/>
    <n v="22"/>
    <n v="822"/>
    <n v="1153"/>
    <n v="18084"/>
    <n v="25366"/>
    <n v="7282"/>
    <s v="profit"/>
  </r>
  <r>
    <x v="95"/>
    <s v="april"/>
    <s v="Heritage Crafts"/>
    <s v="Electronic"/>
    <x v="4"/>
    <s v="Jharkhand"/>
    <s v="Female"/>
    <n v="26"/>
    <n v="505"/>
    <n v="1337"/>
    <n v="13130"/>
    <n v="34762"/>
    <n v="21632"/>
    <s v="profit"/>
  </r>
  <r>
    <x v="96"/>
    <s v="april"/>
    <s v="Future Insights Analytics"/>
    <s v="Electronic"/>
    <x v="4"/>
    <s v="Kerala"/>
    <s v="Female"/>
    <n v="23"/>
    <n v="649"/>
    <n v="1210"/>
    <n v="14927"/>
    <n v="27830"/>
    <n v="12903"/>
    <s v="profit"/>
  </r>
  <r>
    <x v="97"/>
    <s v="april"/>
    <s v="Emerald Estate Developers"/>
    <s v="Electronic"/>
    <x v="4"/>
    <s v="Maharashtra"/>
    <s v="Female"/>
    <n v="26"/>
    <n v="647"/>
    <n v="1025"/>
    <n v="16822"/>
    <n v="26650"/>
    <n v="9828"/>
    <s v="profit"/>
  </r>
  <r>
    <x v="98"/>
    <s v="april"/>
    <s v="Starlight Media Group"/>
    <s v="Electronic"/>
    <x v="4"/>
    <s v="Himachal Pradesh"/>
    <s v="Female"/>
    <n v="30"/>
    <n v="843"/>
    <n v="953"/>
    <n v="25290"/>
    <n v="28590"/>
    <n v="3300"/>
    <s v="profit"/>
  </r>
  <r>
    <x v="99"/>
    <s v="may"/>
    <s v="Supreme Electronics"/>
    <s v="Electronic"/>
    <x v="4"/>
    <s v="Uttarakhand"/>
    <s v="Female"/>
    <n v="21"/>
    <n v="571"/>
    <n v="900"/>
    <n v="11991"/>
    <n v="18900"/>
    <n v="6909"/>
    <s v="profit"/>
  </r>
  <r>
    <x v="100"/>
    <s v="may"/>
    <s v="Optimum Wellness"/>
    <s v="Electronic"/>
    <x v="4"/>
    <s v="Assam"/>
    <s v="Male"/>
    <n v="25"/>
    <n v="909"/>
    <n v="970"/>
    <n v="22725"/>
    <n v="24250"/>
    <n v="1525"/>
    <s v="profit"/>
  </r>
  <r>
    <x v="101"/>
    <s v="may"/>
    <s v="Zenith Books Publishing"/>
    <s v="Electronic"/>
    <x v="4"/>
    <s v="Punjab"/>
    <s v="Male"/>
    <n v="24"/>
    <n v="584"/>
    <n v="1158"/>
    <n v="14016"/>
    <n v="27792"/>
    <n v="13776"/>
    <s v="profit"/>
  </r>
  <r>
    <x v="102"/>
    <s v="may"/>
    <s v="Pinnacle Innovations"/>
    <s v="Electronic"/>
    <x v="4"/>
    <s v="Chhattisgarh"/>
    <s v="Male"/>
    <n v="28"/>
    <n v="787"/>
    <n v="1452"/>
    <n v="22036"/>
    <n v="40656"/>
    <n v="18620"/>
    <s v="profit"/>
  </r>
  <r>
    <x v="103"/>
    <s v="may"/>
    <s v="Apex Travel Services"/>
    <s v="Electronic"/>
    <x v="4"/>
    <s v="West Bengal"/>
    <s v="Male"/>
    <n v="23"/>
    <n v="768"/>
    <n v="1102"/>
    <n v="17664"/>
    <n v="25346"/>
    <n v="7682"/>
    <s v="profit"/>
  </r>
  <r>
    <x v="104"/>
    <s v="may"/>
    <s v="Golden Era Realty"/>
    <s v="Electronic"/>
    <x v="4"/>
    <s v="West Bengal"/>
    <s v="Female"/>
    <n v="23"/>
    <n v="584"/>
    <n v="1168"/>
    <n v="13432"/>
    <n v="26864"/>
    <n v="13432"/>
    <s v="profit"/>
  </r>
  <r>
    <x v="105"/>
    <s v="november"/>
    <s v="Radiance Solutions Co."/>
    <s v="Fashion "/>
    <x v="9"/>
    <s v="Jharkhand"/>
    <s v="Female"/>
    <n v="57"/>
    <n v="541"/>
    <n v="819"/>
    <n v="30837"/>
    <n v="46683"/>
    <n v="15846"/>
    <s v="profit"/>
  </r>
  <r>
    <x v="106"/>
    <s v="may"/>
    <s v="Radiant Jewelry"/>
    <s v="Electronic"/>
    <x v="6"/>
    <s v="Madhya Pradesh"/>
    <s v="Female"/>
    <n v="20"/>
    <n v="778"/>
    <n v="1096"/>
    <n v="15560"/>
    <n v="21920"/>
    <n v="6360"/>
    <s v="profit"/>
  </r>
  <r>
    <x v="107"/>
    <s v="may"/>
    <s v="Infinity Ventures"/>
    <s v="Electronic"/>
    <x v="6"/>
    <s v="Jharkhand"/>
    <s v="Female"/>
    <n v="26"/>
    <n v="595"/>
    <n v="914"/>
    <n v="15470"/>
    <n v="23764"/>
    <n v="8294"/>
    <s v="profit"/>
  </r>
  <r>
    <x v="108"/>
    <s v="november"/>
    <s v="Horizon Creative Solutions"/>
    <s v="Fashion "/>
    <x v="9"/>
    <s v="Delhi"/>
    <s v="Female"/>
    <n v="70"/>
    <n v="871"/>
    <n v="862"/>
    <n v="60970"/>
    <n v="60340"/>
    <n v="-630"/>
    <s v="loss"/>
  </r>
  <r>
    <x v="109"/>
    <s v="may"/>
    <s v="Royal Taste Foods"/>
    <s v="Electronic"/>
    <x v="6"/>
    <s v="West Bengal"/>
    <s v="Female"/>
    <n v="27"/>
    <n v="722"/>
    <n v="1497"/>
    <n v="19494"/>
    <n v="40419"/>
    <n v="20925"/>
    <s v="profit"/>
  </r>
  <r>
    <x v="110"/>
    <s v="may"/>
    <s v="Harmony Homes"/>
    <s v="Electronic"/>
    <x v="6"/>
    <s v="Karnataka"/>
    <s v="Female"/>
    <n v="25"/>
    <n v="982"/>
    <n v="1395"/>
    <n v="24550"/>
    <n v="34875"/>
    <n v="10325"/>
    <s v="profit"/>
  </r>
  <r>
    <x v="111"/>
    <s v="may"/>
    <s v="Urban Edge Consulting"/>
    <s v="Electronic"/>
    <x v="6"/>
    <s v="Delhi"/>
    <s v="Female"/>
    <n v="25"/>
    <n v="982"/>
    <n v="1389"/>
    <n v="24550"/>
    <n v="34725"/>
    <n v="10175"/>
    <s v="profit"/>
  </r>
  <r>
    <x v="112"/>
    <s v="may"/>
    <s v="Prime Tech Innovations"/>
    <s v="Electronic"/>
    <x v="6"/>
    <s v="Maharashtra"/>
    <s v="Female"/>
    <n v="25"/>
    <n v="810"/>
    <n v="1086"/>
    <n v="20250"/>
    <n v="27150"/>
    <n v="6900"/>
    <s v="profit"/>
  </r>
  <r>
    <x v="113"/>
    <s v="november"/>
    <s v="Urban Spectrum Solutions"/>
    <s v="Electronic"/>
    <x v="4"/>
    <s v="Telangana"/>
    <s v="Male"/>
    <n v="20"/>
    <n v="773"/>
    <n v="823"/>
    <n v="15460"/>
    <n v="16460"/>
    <n v="1000"/>
    <s v="profit"/>
  </r>
  <r>
    <x v="114"/>
    <s v="may"/>
    <s v="Legacy Designs"/>
    <s v="Electronic"/>
    <x v="6"/>
    <s v="West Bengal"/>
    <s v="Female"/>
    <n v="26"/>
    <n v="781"/>
    <n v="1019"/>
    <n v="20306"/>
    <n v="26494"/>
    <n v="6188"/>
    <s v="profit"/>
  </r>
  <r>
    <x v="115"/>
    <s v="may"/>
    <s v="Virtue Enterprises"/>
    <s v="Electronic"/>
    <x v="6"/>
    <s v="Tamil Nadu"/>
    <s v="Female"/>
    <n v="26"/>
    <n v="630"/>
    <n v="767"/>
    <n v="16380"/>
    <n v="19942"/>
    <n v="3562"/>
    <s v="profit"/>
  </r>
  <r>
    <x v="116"/>
    <s v="may"/>
    <s v="Radiant Health Club"/>
    <s v="Electronic"/>
    <x v="6"/>
    <s v="Karnataka"/>
    <s v="Female"/>
    <n v="23"/>
    <n v="972"/>
    <n v="782"/>
    <n v="22356"/>
    <n v="17986"/>
    <n v="-4370"/>
    <s v="loss"/>
  </r>
  <r>
    <x v="117"/>
    <s v="november"/>
    <s v="Legacy Wellness Solutions"/>
    <s v="Electronic"/>
    <x v="4"/>
    <s v="Gujarat"/>
    <s v="Female"/>
    <n v="23"/>
    <n v="906"/>
    <n v="1275"/>
    <n v="20838"/>
    <n v="29325"/>
    <n v="8487"/>
    <s v="profit"/>
  </r>
  <r>
    <x v="118"/>
    <s v="may"/>
    <s v="Bright Horizon Ventures"/>
    <s v="Electronic"/>
    <x v="6"/>
    <s v="Telangana"/>
    <s v="Male"/>
    <n v="30"/>
    <n v="987"/>
    <n v="1366"/>
    <n v="29610"/>
    <n v="40980"/>
    <n v="11370"/>
    <s v="profit"/>
  </r>
  <r>
    <x v="119"/>
    <s v="november"/>
    <s v="Horizon Media Solutions"/>
    <s v="Electronic"/>
    <x v="4"/>
    <s v="Uttar Pradesh"/>
    <s v="Female"/>
    <n v="24"/>
    <n v="927"/>
    <n v="1379"/>
    <n v="22248"/>
    <n v="33096"/>
    <n v="10848"/>
    <s v="profit"/>
  </r>
  <r>
    <x v="120"/>
    <s v="may"/>
    <s v="Modern Lifestyle Products"/>
    <s v="Electronic"/>
    <x v="6"/>
    <s v="Gujarat"/>
    <s v="Male"/>
    <n v="25"/>
    <n v="877"/>
    <n v="797"/>
    <n v="21925"/>
    <n v="19925"/>
    <n v="-2000"/>
    <s v="loss"/>
  </r>
  <r>
    <x v="121"/>
    <s v="may"/>
    <s v="Nexus Trading Co."/>
    <s v="Electronic"/>
    <x v="6"/>
    <s v="Maharashtra"/>
    <s v="Male"/>
    <n v="26"/>
    <n v="596"/>
    <n v="1136"/>
    <n v="15496"/>
    <n v="29536"/>
    <n v="14040"/>
    <s v="profit"/>
  </r>
  <r>
    <x v="122"/>
    <s v="july"/>
    <s v="Radiance Health and Wellness"/>
    <s v="Electronic"/>
    <x v="6"/>
    <s v="Uttar Pradesh"/>
    <s v="Male"/>
    <n v="26"/>
    <n v="771"/>
    <n v="1172"/>
    <n v="20046"/>
    <n v="30472"/>
    <n v="10426"/>
    <s v="profit"/>
  </r>
  <r>
    <x v="123"/>
    <s v="july"/>
    <s v="Legacy Auto Works"/>
    <s v="Electronic"/>
    <x v="6"/>
    <s v="Tamil Nadu"/>
    <s v="Male"/>
    <n v="30"/>
    <n v="859"/>
    <n v="1123"/>
    <n v="25770"/>
    <n v="33690"/>
    <n v="7920"/>
    <s v="profit"/>
  </r>
  <r>
    <x v="124"/>
    <s v="july"/>
    <s v="Prime Essence Creations"/>
    <s v="Electronic"/>
    <x v="6"/>
    <s v="Tamil Nadu"/>
    <s v="Male"/>
    <n v="30"/>
    <n v="726"/>
    <n v="964"/>
    <n v="21780"/>
    <n v="28920"/>
    <n v="7140"/>
    <s v="profit"/>
  </r>
  <r>
    <x v="125"/>
    <s v="july"/>
    <s v="Quantum Ventures"/>
    <s v="Electronic"/>
    <x v="6"/>
    <s v="Rajasthan"/>
    <s v="Male"/>
    <n v="29"/>
    <n v="861"/>
    <n v="820"/>
    <n v="24969"/>
    <n v="23780"/>
    <n v="-1189"/>
    <s v="loss"/>
  </r>
  <r>
    <x v="126"/>
    <s v="july"/>
    <s v="Urban Legends Apparel"/>
    <s v="Electronic"/>
    <x v="6"/>
    <s v="Jharkhand"/>
    <s v="Female"/>
    <n v="24"/>
    <n v="978"/>
    <n v="773"/>
    <n v="23472"/>
    <n v="18552"/>
    <n v="-4920"/>
    <s v="loss"/>
  </r>
  <r>
    <x v="127"/>
    <s v="july"/>
    <s v="Pure Bliss Beverages"/>
    <s v="Electronic"/>
    <x v="6"/>
    <s v="Kerala"/>
    <s v="Female"/>
    <n v="30"/>
    <n v="514"/>
    <n v="1333"/>
    <n v="15420"/>
    <n v="39990"/>
    <n v="24570"/>
    <s v="profit"/>
  </r>
  <r>
    <x v="128"/>
    <s v="july"/>
    <s v="Noble Heights Builders"/>
    <s v="Electronic"/>
    <x v="6"/>
    <s v="Maharashtra"/>
    <s v="Female"/>
    <n v="26"/>
    <n v="656"/>
    <n v="908"/>
    <n v="17056"/>
    <n v="23608"/>
    <n v="6552"/>
    <s v="profit"/>
  </r>
  <r>
    <x v="129"/>
    <s v="november"/>
    <s v="Urban Vision Solutions"/>
    <s v="Electronic"/>
    <x v="6"/>
    <s v="Uttar Pradesh"/>
    <s v="Female"/>
    <n v="28"/>
    <n v="866"/>
    <n v="1102"/>
    <n v="24248"/>
    <n v="30856"/>
    <n v="6608"/>
    <s v="profit"/>
  </r>
  <r>
    <x v="130"/>
    <s v="july"/>
    <s v="Radiant Foods"/>
    <s v="Electronic"/>
    <x v="6"/>
    <s v="Himachal Pradesh"/>
    <s v="Female"/>
    <n v="28"/>
    <n v="866"/>
    <n v="1080"/>
    <n v="24248"/>
    <n v="30240"/>
    <n v="5992"/>
    <s v="profit"/>
  </r>
  <r>
    <x v="131"/>
    <s v="july"/>
    <s v="Zenith Financial Services"/>
    <s v="Electronic"/>
    <x v="6"/>
    <s v="Uttarakhand"/>
    <s v="Female"/>
    <n v="23"/>
    <n v="969"/>
    <n v="1075"/>
    <n v="22287"/>
    <n v="24725"/>
    <n v="2438"/>
    <s v="profit"/>
  </r>
  <r>
    <x v="132"/>
    <s v="december"/>
    <s v="Pinnacle Travel Solutions"/>
    <s v="Electronic"/>
    <x v="6"/>
    <s v="Rajasthan"/>
    <s v="Male"/>
    <n v="29"/>
    <n v="639"/>
    <n v="1257"/>
    <n v="18531"/>
    <n v="36453"/>
    <n v="17922"/>
    <s v="profit"/>
  </r>
  <r>
    <x v="133"/>
    <s v="july"/>
    <s v="Apex Travel Ventures"/>
    <s v="Electronic"/>
    <x v="6"/>
    <s v="Assam"/>
    <s v="Female"/>
    <n v="21"/>
    <n v="626"/>
    <n v="772"/>
    <n v="13146"/>
    <n v="16212"/>
    <n v="3066"/>
    <s v="profit"/>
  </r>
  <r>
    <x v="134"/>
    <s v="august"/>
    <s v="Future Vision Realty"/>
    <s v="Electronic"/>
    <x v="6"/>
    <s v="Maharashtra"/>
    <s v="Male"/>
    <n v="26"/>
    <n v="715"/>
    <n v="1113"/>
    <n v="18590"/>
    <n v="28938"/>
    <n v="10348"/>
    <s v="profit"/>
  </r>
  <r>
    <x v="135"/>
    <s v="august"/>
    <s v="Urban Pulse Media"/>
    <s v="Electronic"/>
    <x v="6"/>
    <s v="Chandigarh"/>
    <s v="Male"/>
    <n v="27"/>
    <n v="611"/>
    <n v="1309"/>
    <n v="16497"/>
    <n v="35343"/>
    <n v="18846"/>
    <s v="profit"/>
  </r>
  <r>
    <x v="136"/>
    <s v="august"/>
    <s v="True Essence Health"/>
    <s v="Electronic"/>
    <x v="6"/>
    <s v="Madhya Pradesh"/>
    <s v="Female"/>
    <n v="29"/>
    <n v="544"/>
    <n v="1436"/>
    <n v="15776"/>
    <n v="41644"/>
    <n v="25868"/>
    <s v="profit"/>
  </r>
  <r>
    <x v="137"/>
    <s v="december"/>
    <s v="Harmony Health Solutions"/>
    <s v="Electronic"/>
    <x v="6"/>
    <s v="Himachal Pradesh"/>
    <s v="Male"/>
    <n v="23"/>
    <n v="771"/>
    <n v="1430"/>
    <n v="17733"/>
    <n v="32890"/>
    <n v="15157"/>
    <s v="profit"/>
  </r>
  <r>
    <x v="138"/>
    <s v="august"/>
    <s v="Radiant Vision Realty"/>
    <s v="Electronic"/>
    <x v="6"/>
    <s v="Bihar"/>
    <s v="Male"/>
    <n v="30"/>
    <n v="652"/>
    <n v="1151"/>
    <n v="19560"/>
    <n v="34530"/>
    <n v="14970"/>
    <s v="profit"/>
  </r>
  <r>
    <x v="139"/>
    <s v="august"/>
    <s v="Harmony Consulting Group"/>
    <s v="Electronic"/>
    <x v="6"/>
    <s v="Gujarat"/>
    <s v="Male"/>
    <n v="22"/>
    <n v="681"/>
    <n v="1087"/>
    <n v="14982"/>
    <n v="23914"/>
    <n v="8932"/>
    <s v="profit"/>
  </r>
  <r>
    <x v="140"/>
    <s v="december"/>
    <s v="Modern Vision Solutions"/>
    <s v="Fashion "/>
    <x v="5"/>
    <s v="Punjab"/>
    <s v="Male"/>
    <n v="66"/>
    <n v="888"/>
    <n v="809"/>
    <n v="58608"/>
    <n v="53394"/>
    <n v="-5214"/>
    <s v="loss"/>
  </r>
  <r>
    <x v="141"/>
    <s v="august"/>
    <s v="Zenith Tech Ventures"/>
    <s v="Electronic"/>
    <x v="6"/>
    <s v="Uttar Pradesh"/>
    <s v="Male"/>
    <n v="28"/>
    <n v="923"/>
    <n v="1395"/>
    <n v="25844"/>
    <n v="39060"/>
    <n v="13216"/>
    <s v="profit"/>
  </r>
  <r>
    <x v="142"/>
    <s v="august"/>
    <s v="Stellar Health Services"/>
    <s v="Electronic"/>
    <x v="6"/>
    <s v="Uttar Pradesh"/>
    <s v="Female"/>
    <n v="26"/>
    <n v="999"/>
    <n v="1112"/>
    <n v="25974"/>
    <n v="28912"/>
    <n v="2938"/>
    <s v="profit"/>
  </r>
  <r>
    <x v="143"/>
    <s v="august"/>
    <s v="Pure Path Foods"/>
    <s v="Electronic"/>
    <x v="6"/>
    <s v="Tamil Nadu"/>
    <s v="Female"/>
    <n v="30"/>
    <n v="792"/>
    <n v="1010"/>
    <n v="23760"/>
    <n v="30300"/>
    <n v="6540"/>
    <s v="profit"/>
  </r>
  <r>
    <x v="144"/>
    <s v="august"/>
    <s v="Bright Horizon Realty"/>
    <s v="Electronic"/>
    <x v="6"/>
    <s v="Rajasthan"/>
    <s v="Female"/>
    <n v="22"/>
    <n v="774"/>
    <n v="1387"/>
    <n v="17028"/>
    <n v="30514"/>
    <n v="13486"/>
    <s v="profit"/>
  </r>
  <r>
    <x v="145"/>
    <s v="december"/>
    <s v="Radiant Educational Solutions"/>
    <s v="Fashion "/>
    <x v="5"/>
    <s v="Uttar Pradesh"/>
    <s v="Female"/>
    <n v="56"/>
    <n v="516"/>
    <n v="1316"/>
    <n v="28896"/>
    <n v="73696"/>
    <n v="44800"/>
    <s v="profit"/>
  </r>
  <r>
    <x v="146"/>
    <s v="october"/>
    <s v="Crystal Clear Consulting"/>
    <s v="Electronic"/>
    <x v="8"/>
    <s v="Rajasthan"/>
    <s v="Female"/>
    <n v="20"/>
    <n v="999"/>
    <n v="1191"/>
    <n v="19980"/>
    <n v="23820"/>
    <n v="3840"/>
    <s v="profit"/>
  </r>
  <r>
    <x v="147"/>
    <s v="october"/>
    <s v="Zenith Innovations"/>
    <s v="Electronic"/>
    <x v="8"/>
    <s v="Jharkhand"/>
    <s v="Male"/>
    <n v="29"/>
    <n v="661"/>
    <n v="1400"/>
    <n v="19169"/>
    <n v="40600"/>
    <n v="21431"/>
    <s v="profit"/>
  </r>
  <r>
    <x v="148"/>
    <s v="october"/>
    <s v="True Essence Innovations"/>
    <s v="Electronic"/>
    <x v="3"/>
    <s v="Assam"/>
    <s v="Male"/>
    <n v="30"/>
    <n v="539"/>
    <n v="1364"/>
    <n v="16170"/>
    <n v="40920"/>
    <n v="24750"/>
    <s v="profit"/>
  </r>
  <r>
    <x v="149"/>
    <s v="december"/>
    <s v="Zenith Creative Solutions"/>
    <s v="Fashion "/>
    <x v="5"/>
    <s v="Uttar Pradesh"/>
    <s v="Female"/>
    <n v="60"/>
    <n v="901"/>
    <n v="1148"/>
    <n v="54060"/>
    <n v="68880"/>
    <n v="14820"/>
    <s v="profit"/>
  </r>
  <r>
    <x v="150"/>
    <s v="november"/>
    <s v="Pinnacle Media Group"/>
    <s v="Electronic"/>
    <x v="3"/>
    <s v="Punjab"/>
    <s v="Male"/>
    <n v="26"/>
    <n v="726"/>
    <n v="1335"/>
    <n v="18876"/>
    <n v="34710"/>
    <n v="15834"/>
    <s v="profit"/>
  </r>
  <r>
    <x v="151"/>
    <s v="december"/>
    <s v="Pure Vision Solutions"/>
    <s v="Fashion "/>
    <x v="7"/>
    <s v="Kerala"/>
    <s v="Female"/>
    <n v="50"/>
    <n v="749"/>
    <n v="1269"/>
    <n v="37450"/>
    <n v="63450"/>
    <n v="26000"/>
    <s v="profit"/>
  </r>
  <r>
    <x v="152"/>
    <s v="november"/>
    <s v="Legacy Design Co."/>
    <s v="Electronic"/>
    <x v="3"/>
    <s v="Chhattisgarh"/>
    <s v="Male"/>
    <n v="29"/>
    <n v="510"/>
    <n v="1131"/>
    <n v="14790"/>
    <n v="32799"/>
    <n v="18009"/>
    <s v="profit"/>
  </r>
  <r>
    <x v="153"/>
    <s v="november"/>
    <s v="Apex Health Products"/>
    <s v="Electronic"/>
    <x v="3"/>
    <s v="West Bengal"/>
    <s v="Female"/>
    <n v="27"/>
    <n v="752"/>
    <n v="1258"/>
    <n v="20304"/>
    <n v="33966"/>
    <n v="13662"/>
    <s v="profit"/>
  </r>
  <r>
    <x v="154"/>
    <s v="november"/>
    <s v="Zenith Travel Ventures"/>
    <s v="Electronic"/>
    <x v="3"/>
    <s v="West Bengal"/>
    <s v="Female"/>
    <n v="28"/>
    <n v="924"/>
    <n v="847"/>
    <n v="25872"/>
    <n v="23716"/>
    <n v="-2156"/>
    <s v="loss"/>
  </r>
  <r>
    <x v="155"/>
    <s v="november"/>
    <s v="Pure Path Consulting"/>
    <s v="Electronic"/>
    <x v="3"/>
    <s v="Madhya Pradesh"/>
    <s v="Female"/>
    <n v="26"/>
    <n v="643"/>
    <n v="1341"/>
    <n v="16718"/>
    <n v="34866"/>
    <n v="18148"/>
    <s v="profit"/>
  </r>
  <r>
    <x v="156"/>
    <s v="december"/>
    <s v="Harmony Edge Solutions"/>
    <s v="Fashion "/>
    <x v="7"/>
    <s v="Punjab"/>
    <s v="Male"/>
    <n v="59"/>
    <n v="774"/>
    <n v="1374"/>
    <n v="45666"/>
    <n v="81066"/>
    <n v="35400"/>
    <s v="profit"/>
  </r>
  <r>
    <x v="157"/>
    <s v="november"/>
    <s v="Harmony Educational Group"/>
    <s v="Electronic"/>
    <x v="4"/>
    <s v="Karnataka"/>
    <s v="Male"/>
    <n v="23"/>
    <n v="584"/>
    <n v="1140"/>
    <n v="13432"/>
    <n v="26220"/>
    <n v="12788"/>
    <s v="profit"/>
  </r>
  <r>
    <x v="158"/>
    <s v="november"/>
    <s v="Radiant Design Studio"/>
    <s v="Electronic"/>
    <x v="4"/>
    <s v="Gujarat"/>
    <s v="Male"/>
    <n v="21"/>
    <n v="608"/>
    <n v="983"/>
    <n v="12768"/>
    <n v="20643"/>
    <n v="7875"/>
    <s v="profit"/>
  </r>
  <r>
    <x v="159"/>
    <s v="november"/>
    <s v="Zenith Health Innovations"/>
    <s v="Electronic"/>
    <x v="4"/>
    <s v="Maharashtra"/>
    <s v="Male"/>
    <n v="30"/>
    <n v="712"/>
    <n v="1311"/>
    <n v="21360"/>
    <n v="39330"/>
    <n v="17970"/>
    <s v="profit"/>
  </r>
  <r>
    <x v="160"/>
    <s v="november"/>
    <s v="Apex Realty Ventures"/>
    <s v="Electronic"/>
    <x v="4"/>
    <s v="Rajasthan"/>
    <s v="Male"/>
    <n v="24"/>
    <n v="672"/>
    <n v="878"/>
    <n v="16128"/>
    <n v="21072"/>
    <n v="4944"/>
    <s v="profit"/>
  </r>
  <r>
    <x v="161"/>
    <s v="november"/>
    <s v="True Value Ventures"/>
    <s v="Electronic"/>
    <x v="4"/>
    <s v="Uttar Pradesh"/>
    <s v="Female"/>
    <n v="29"/>
    <n v="520"/>
    <n v="770"/>
    <n v="15080"/>
    <n v="22330"/>
    <n v="7250"/>
    <s v="profit"/>
  </r>
  <r>
    <x v="162"/>
    <s v="november"/>
    <s v="Crystal Clear Designs"/>
    <s v="Electronic"/>
    <x v="4"/>
    <s v="Maharashtra"/>
    <s v="Male"/>
    <n v="28"/>
    <n v="884"/>
    <n v="1165"/>
    <n v="24752"/>
    <n v="32620"/>
    <n v="7868"/>
    <s v="profit"/>
  </r>
  <r>
    <x v="163"/>
    <s v="january"/>
    <s v="Pinnacle Media Solutions"/>
    <s v="Decor"/>
    <x v="0"/>
    <s v="Karnataka"/>
    <s v="Female"/>
    <n v="11"/>
    <n v="562"/>
    <n v="800"/>
    <n v="6182"/>
    <n v="8800"/>
    <n v="2618"/>
    <s v="profit"/>
  </r>
  <r>
    <x v="164"/>
    <s v="november"/>
    <s v="Pinnacle Innovations Co."/>
    <s v="Electronic"/>
    <x v="4"/>
    <s v="Madhya Pradesh"/>
    <s v="Male"/>
    <n v="25"/>
    <n v="990"/>
    <n v="868"/>
    <n v="24750"/>
    <n v="21700"/>
    <n v="-3050"/>
    <s v="loss"/>
  </r>
  <r>
    <x v="165"/>
    <s v="january"/>
    <s v="Radiant Tech Solutions"/>
    <s v="Decor"/>
    <x v="0"/>
    <s v="Maharashtra"/>
    <s v="Female"/>
    <n v="15"/>
    <n v="992"/>
    <n v="1404"/>
    <n v="14880"/>
    <n v="21060"/>
    <n v="6180"/>
    <s v="profit"/>
  </r>
  <r>
    <x v="166"/>
    <s v="november"/>
    <s v="Modern Pathways"/>
    <s v="Electronic"/>
    <x v="4"/>
    <s v="Maharashtra"/>
    <s v="Male"/>
    <n v="22"/>
    <n v="524"/>
    <n v="1156"/>
    <n v="11528"/>
    <n v="25432"/>
    <n v="13904"/>
    <s v="profit"/>
  </r>
  <r>
    <x v="167"/>
    <s v="january"/>
    <s v="Elite Creative Solutions"/>
    <s v="Decor"/>
    <x v="0"/>
    <s v="Chhattisgarh"/>
    <s v="Female"/>
    <n v="11"/>
    <n v="668"/>
    <n v="1096"/>
    <n v="7348"/>
    <n v="12056"/>
    <n v="4708"/>
    <s v="profit"/>
  </r>
  <r>
    <x v="168"/>
    <s v="november"/>
    <s v="Stellar Finance Co."/>
    <s v="Electronic"/>
    <x v="4"/>
    <s v="Chandigarh"/>
    <s v="Male"/>
    <n v="26"/>
    <n v="997"/>
    <n v="982"/>
    <n v="25922"/>
    <n v="25532"/>
    <n v="-390"/>
    <s v="loss"/>
  </r>
  <r>
    <x v="169"/>
    <s v="november"/>
    <s v="Radiant Spectrum Group"/>
    <s v="Electronic"/>
    <x v="4"/>
    <s v="Madhya Pradesh"/>
    <s v="Male"/>
    <n v="27"/>
    <n v="922"/>
    <n v="1284"/>
    <n v="24894"/>
    <n v="34668"/>
    <n v="9774"/>
    <s v="profit"/>
  </r>
  <r>
    <x v="170"/>
    <s v="november"/>
    <s v="Harmony Design Ventures"/>
    <s v="Electronic"/>
    <x v="4"/>
    <s v="Andhra Pradesh"/>
    <s v="Female"/>
    <n v="21"/>
    <n v="978"/>
    <n v="1139"/>
    <n v="20538"/>
    <n v="23919"/>
    <n v="3381"/>
    <s v="profit"/>
  </r>
  <r>
    <x v="171"/>
    <s v="november"/>
    <s v="Elite Edge Products"/>
    <s v="Electronic"/>
    <x v="4"/>
    <s v="Bihar"/>
    <s v="Female"/>
    <n v="24"/>
    <n v="830"/>
    <n v="1355"/>
    <n v="19920"/>
    <n v="32520"/>
    <n v="12600"/>
    <s v="profit"/>
  </r>
  <r>
    <x v="172"/>
    <s v="november"/>
    <s v="Zenith Consulting Co."/>
    <s v="Electronic"/>
    <x v="6"/>
    <s v="Gujarat"/>
    <s v="Female"/>
    <n v="21"/>
    <n v="751"/>
    <n v="1498"/>
    <n v="15771"/>
    <n v="31458"/>
    <n v="15687"/>
    <s v="profit"/>
  </r>
  <r>
    <x v="173"/>
    <s v="november"/>
    <s v="Apex Wellness Products"/>
    <s v="Electronic"/>
    <x v="6"/>
    <s v="Uttar Pradesh"/>
    <s v="Female"/>
    <n v="26"/>
    <n v="520"/>
    <n v="1261"/>
    <n v="13520"/>
    <n v="32786"/>
    <n v="19266"/>
    <s v="profit"/>
  </r>
  <r>
    <x v="174"/>
    <s v="january"/>
    <s v="Pinnacle Design Solutions"/>
    <s v="Fashion "/>
    <x v="7"/>
    <s v="Rajasthan"/>
    <s v="Male"/>
    <n v="56"/>
    <n v="685"/>
    <n v="771"/>
    <n v="38360"/>
    <n v="43176"/>
    <n v="4816"/>
    <s v="profit"/>
  </r>
  <r>
    <x v="175"/>
    <s v="december"/>
    <s v="Pure Harmony Innovations"/>
    <s v="Electronic"/>
    <x v="6"/>
    <s v="Tamil Nadu"/>
    <s v="Female"/>
    <n v="21"/>
    <n v="605"/>
    <n v="1264"/>
    <n v="12705"/>
    <n v="26544"/>
    <n v="13839"/>
    <s v="profit"/>
  </r>
  <r>
    <x v="176"/>
    <s v="december"/>
    <s v="Legacy Media Group"/>
    <s v="Electronic"/>
    <x v="6"/>
    <s v="Tamil Nadu"/>
    <s v="Female"/>
    <n v="20"/>
    <n v="666"/>
    <n v="1087"/>
    <n v="13320"/>
    <n v="21740"/>
    <n v="8420"/>
    <s v="profit"/>
  </r>
  <r>
    <x v="177"/>
    <s v="december"/>
    <s v="Horizon Tech Innovations"/>
    <s v="Electronic"/>
    <x v="6"/>
    <s v="Uttar Pradesh"/>
    <s v="Male"/>
    <n v="23"/>
    <n v="632"/>
    <n v="762"/>
    <n v="14536"/>
    <n v="17526"/>
    <n v="2990"/>
    <s v="profit"/>
  </r>
  <r>
    <x v="178"/>
    <s v="december"/>
    <s v="Crystal Spectrum Consulting"/>
    <s v="Electronic"/>
    <x v="6"/>
    <s v="Jharkhand"/>
    <s v="Male"/>
    <n v="21"/>
    <n v="540"/>
    <n v="812"/>
    <n v="11340"/>
    <n v="17052"/>
    <n v="5712"/>
    <s v="profit"/>
  </r>
  <r>
    <x v="179"/>
    <s v="december"/>
    <s v="Stellar Creative Co."/>
    <s v="Electronic"/>
    <x v="6"/>
    <s v="Kerala"/>
    <s v="Male"/>
    <n v="30"/>
    <n v="557"/>
    <n v="886"/>
    <n v="16710"/>
    <n v="26580"/>
    <n v="9870"/>
    <s v="profit"/>
  </r>
  <r>
    <x v="180"/>
    <s v="january"/>
    <s v="Pure Harmony Solutions"/>
    <s v="Decor"/>
    <x v="2"/>
    <s v="Uttarakhand"/>
    <s v="Female"/>
    <n v="20"/>
    <n v="803"/>
    <n v="941"/>
    <n v="16060"/>
    <n v="18820"/>
    <n v="2760"/>
    <s v="profit"/>
  </r>
  <r>
    <x v="181"/>
    <s v="december"/>
    <s v="Radiance Media Ventures"/>
    <s v="Electronic"/>
    <x v="6"/>
    <s v="Maharashtra"/>
    <s v="Female"/>
    <n v="24"/>
    <n v="651"/>
    <n v="1386"/>
    <n v="15624"/>
    <n v="33264"/>
    <n v="17640"/>
    <s v="profit"/>
  </r>
  <r>
    <x v="182"/>
    <s v="december"/>
    <s v="Zenith Edge Services"/>
    <s v="Electronic"/>
    <x v="6"/>
    <s v="Uttarakhand"/>
    <s v="Male"/>
    <n v="20"/>
    <n v="565"/>
    <n v="943"/>
    <n v="11300"/>
    <n v="18860"/>
    <n v="7560"/>
    <s v="profit"/>
  </r>
  <r>
    <x v="183"/>
    <s v="february"/>
    <s v="Stellar Consulting Services"/>
    <s v="Electronic"/>
    <x v="6"/>
    <s v="Maharashtra"/>
    <s v="Female"/>
    <n v="22"/>
    <n v="810"/>
    <n v="1201"/>
    <n v="17820"/>
    <n v="26422"/>
    <n v="8602"/>
    <s v="profit"/>
  </r>
  <r>
    <x v="184"/>
    <s v="february"/>
    <s v="Radiant Ventures"/>
    <s v="Electronic"/>
    <x v="6"/>
    <s v="Himachal Pradesh"/>
    <s v="Female"/>
    <n v="23"/>
    <n v="827"/>
    <n v="1185"/>
    <n v="19021"/>
    <n v="27255"/>
    <n v="8234"/>
    <s v="profit"/>
  </r>
  <r>
    <x v="185"/>
    <s v="february"/>
    <s v="Harmony Tech Co."/>
    <s v="Electronic"/>
    <x v="6"/>
    <s v="Uttarakhand"/>
    <s v="Female"/>
    <n v="23"/>
    <n v="570"/>
    <n v="1230"/>
    <n v="13110"/>
    <n v="28290"/>
    <n v="15180"/>
    <s v="profit"/>
  </r>
  <r>
    <x v="186"/>
    <s v="january"/>
    <s v="Zenith Path Solutions"/>
    <s v="Decor"/>
    <x v="2"/>
    <s v="Madhya Pradesh"/>
    <s v="Female"/>
    <n v="19"/>
    <n v="911"/>
    <n v="1116"/>
    <n v="17309"/>
    <n v="21204"/>
    <n v="3895"/>
    <s v="profit"/>
  </r>
  <r>
    <x v="187"/>
    <s v="february"/>
    <s v="Zenith Creative Ventures"/>
    <s v="Electronic"/>
    <x v="6"/>
    <s v="Assam"/>
    <s v="Male"/>
    <n v="21"/>
    <n v="938"/>
    <n v="1275"/>
    <n v="19698"/>
    <n v="26775"/>
    <n v="7077"/>
    <s v="profit"/>
  </r>
  <r>
    <x v="188"/>
    <s v="february"/>
    <s v="Apex Health Services"/>
    <s v="Electronic"/>
    <x v="6"/>
    <s v="Punjab"/>
    <s v="Male"/>
    <n v="24"/>
    <n v="993"/>
    <n v="987"/>
    <n v="23832"/>
    <n v="23688"/>
    <n v="-144"/>
    <s v="loss"/>
  </r>
  <r>
    <x v="189"/>
    <s v="february"/>
    <s v="Pure Vision Media"/>
    <s v="Electronic"/>
    <x v="6"/>
    <s v="Chhattisgarh"/>
    <s v="Male"/>
    <n v="20"/>
    <n v="534"/>
    <n v="1233"/>
    <n v="10680"/>
    <n v="24660"/>
    <n v="13980"/>
    <s v="profit"/>
  </r>
  <r>
    <x v="190"/>
    <s v="january"/>
    <s v="Legacy Media Solutions"/>
    <s v="Decor"/>
    <x v="2"/>
    <s v="Jharkhand"/>
    <s v="Male"/>
    <n v="10"/>
    <n v="911"/>
    <n v="1097"/>
    <n v="9110"/>
    <n v="10970"/>
    <n v="1860"/>
    <s v="profit"/>
  </r>
  <r>
    <x v="191"/>
    <s v="february"/>
    <s v="Legacy Innovations Group"/>
    <s v="Electronic"/>
    <x v="6"/>
    <s v="West Bengal"/>
    <s v="Male"/>
    <n v="23"/>
    <n v="761"/>
    <n v="901"/>
    <n v="17503"/>
    <n v="20723"/>
    <n v="3220"/>
    <s v="profit"/>
  </r>
  <r>
    <x v="192"/>
    <s v="february"/>
    <s v="Pinnacle Consulting Co."/>
    <s v="Electronic"/>
    <x v="6"/>
    <s v="West Bengal"/>
    <s v="Male"/>
    <n v="23"/>
    <n v="701"/>
    <n v="1322"/>
    <n v="16123"/>
    <n v="30406"/>
    <n v="14283"/>
    <s v="profit"/>
  </r>
  <r>
    <x v="193"/>
    <s v="february"/>
    <s v="Stellar Finance Group"/>
    <s v="Electronic"/>
    <x v="6"/>
    <s v="Madhya Pradesh"/>
    <s v="Female"/>
    <n v="25"/>
    <n v="541"/>
    <n v="1090"/>
    <n v="13525"/>
    <n v="27250"/>
    <n v="13725"/>
    <s v="profit"/>
  </r>
  <r>
    <x v="194"/>
    <s v="february"/>
    <s v="Harmony Ventures Group"/>
    <s v="Electronic"/>
    <x v="6"/>
    <s v="Gujarat"/>
    <s v="Female"/>
    <n v="28"/>
    <n v="708"/>
    <n v="1358"/>
    <n v="19824"/>
    <n v="38024"/>
    <n v="18200"/>
    <s v="profit"/>
  </r>
  <r>
    <x v="78"/>
    <s v="april"/>
    <s v="Bharat Innovations"/>
    <s v="Electronic"/>
    <x v="3"/>
    <s v="Delhi"/>
    <s v="Male"/>
    <n v="28"/>
    <n v="826"/>
    <n v="929"/>
    <n v="23128"/>
    <n v="26012"/>
    <n v="2884"/>
    <s v="profit"/>
  </r>
  <r>
    <x v="79"/>
    <s v="april"/>
    <s v="Green Leaf Enterprises"/>
    <s v="Electronic"/>
    <x v="8"/>
    <s v="Maharashtra"/>
    <s v="Male"/>
    <n v="25"/>
    <n v="952"/>
    <n v="1261"/>
    <n v="23800"/>
    <n v="31525"/>
    <n v="7725"/>
    <s v="profit"/>
  </r>
  <r>
    <x v="80"/>
    <s v="april"/>
    <s v="Urban Pulse Technologies"/>
    <s v="Electronic"/>
    <x v="8"/>
    <s v="West Bengal"/>
    <s v="Male"/>
    <n v="20"/>
    <n v="940"/>
    <n v="1259"/>
    <n v="18800"/>
    <n v="25180"/>
    <n v="6380"/>
    <s v="profit"/>
  </r>
  <r>
    <x v="82"/>
    <s v="april"/>
    <s v="Mystic India Exports"/>
    <s v="Electronic"/>
    <x v="8"/>
    <s v="Tamil Nadu"/>
    <s v="Male"/>
    <n v="22"/>
    <n v="785"/>
    <n v="1292"/>
    <n v="17270"/>
    <n v="28424"/>
    <n v="11154"/>
    <s v="profit"/>
  </r>
  <r>
    <x v="83"/>
    <s v="april"/>
    <s v="Pure Essence Skincare"/>
    <s v="Electronic"/>
    <x v="3"/>
    <s v="Rajasthan"/>
    <s v="Female"/>
    <n v="21"/>
    <n v="879"/>
    <n v="1019"/>
    <n v="18459"/>
    <n v="21399"/>
    <n v="2940"/>
    <s v="profit"/>
  </r>
  <r>
    <x v="84"/>
    <s v="april"/>
    <s v="Zenith Construction Co."/>
    <s v="Electronic"/>
    <x v="3"/>
    <s v="Gujarat"/>
    <s v="Female"/>
    <n v="28"/>
    <n v="937"/>
    <n v="872"/>
    <n v="26236"/>
    <n v="24416"/>
    <n v="-1820"/>
    <s v="loss"/>
  </r>
  <r>
    <x v="195"/>
    <s v="february"/>
    <s v="Radiant Solutions Co."/>
    <s v="Electronic"/>
    <x v="6"/>
    <s v="Jharkhand"/>
    <s v="Female"/>
    <n v="26"/>
    <n v="751"/>
    <n v="1292"/>
    <n v="19526"/>
    <n v="33592"/>
    <n v="14066"/>
    <s v="profit"/>
  </r>
  <r>
    <x v="85"/>
    <s v="april"/>
    <s v="Radiant Health Systems"/>
    <s v="Electronic"/>
    <x v="3"/>
    <s v="Uttar Pradesh"/>
    <s v="Female"/>
    <n v="22"/>
    <n v="832"/>
    <n v="769"/>
    <n v="18304"/>
    <n v="16918"/>
    <n v="-1386"/>
    <s v="loss"/>
  </r>
  <r>
    <x v="87"/>
    <s v="april"/>
    <s v="Divine Creations"/>
    <s v="Electronic"/>
    <x v="3"/>
    <s v="Uttar Pradesh"/>
    <s v="Female"/>
    <n v="28"/>
    <n v="832"/>
    <n v="1028"/>
    <n v="23296"/>
    <n v="28784"/>
    <n v="5488"/>
    <s v="profit"/>
  </r>
  <r>
    <x v="88"/>
    <s v="april"/>
    <s v="True Path Logistics"/>
    <s v="Electronic"/>
    <x v="3"/>
    <s v="Madhya Pradesh"/>
    <s v="Female"/>
    <n v="22"/>
    <n v="622"/>
    <n v="822"/>
    <n v="13684"/>
    <n v="18084"/>
    <n v="4400"/>
    <s v="profit"/>
  </r>
  <r>
    <x v="196"/>
    <s v="february"/>
    <s v="Modern Travel Solutions"/>
    <s v="Fashion "/>
    <x v="5"/>
    <s v="Tamil Nadu"/>
    <s v="Female"/>
    <n v="55"/>
    <n v="856"/>
    <n v="756"/>
    <n v="47080"/>
    <n v="41580"/>
    <n v="-5500"/>
    <s v="loss"/>
  </r>
  <r>
    <x v="90"/>
    <s v="april"/>
    <s v="Prestige Automobiles"/>
    <s v="Electronic"/>
    <x v="4"/>
    <s v="Uttar Pradesh"/>
    <s v="Male"/>
    <n v="23"/>
    <n v="663"/>
    <n v="1153"/>
    <n v="15249"/>
    <n v="26519"/>
    <n v="11270"/>
    <s v="profit"/>
  </r>
  <r>
    <x v="92"/>
    <s v="april"/>
    <s v="Natural Bliss Beverages"/>
    <s v="Electronic"/>
    <x v="4"/>
    <s v="Tamil Nadu"/>
    <s v="Male"/>
    <n v="23"/>
    <n v="779"/>
    <n v="1415"/>
    <n v="17917"/>
    <n v="32545"/>
    <n v="14628"/>
    <s v="profit"/>
  </r>
  <r>
    <x v="94"/>
    <s v="april"/>
    <s v="Modern Trends Fashion"/>
    <s v="Electronic"/>
    <x v="4"/>
    <s v="Uttar Pradesh"/>
    <s v="Female"/>
    <n v="29"/>
    <n v="952"/>
    <n v="1428"/>
    <n v="27608"/>
    <n v="41412"/>
    <n v="13804"/>
    <s v="profit"/>
  </r>
  <r>
    <x v="95"/>
    <s v="april"/>
    <s v="Heritage Crafts"/>
    <s v="Electronic"/>
    <x v="4"/>
    <s v="Jharkhand"/>
    <s v="Female"/>
    <n v="26"/>
    <n v="983"/>
    <n v="1270"/>
    <n v="25558"/>
    <n v="33020"/>
    <n v="7462"/>
    <s v="profit"/>
  </r>
  <r>
    <x v="96"/>
    <s v="april"/>
    <s v="Future Insights Analytics"/>
    <s v="Electronic"/>
    <x v="4"/>
    <s v="Kerala"/>
    <s v="Female"/>
    <n v="28"/>
    <n v="814"/>
    <n v="1343"/>
    <n v="22792"/>
    <n v="37604"/>
    <n v="14812"/>
    <s v="profit"/>
  </r>
  <r>
    <x v="97"/>
    <s v="april"/>
    <s v="Emerald Estate Developers"/>
    <s v="Electronic"/>
    <x v="4"/>
    <s v="Maharashtra"/>
    <s v="Female"/>
    <n v="26"/>
    <n v="835"/>
    <n v="973"/>
    <n v="21710"/>
    <n v="25298"/>
    <n v="3588"/>
    <s v="profit"/>
  </r>
  <r>
    <x v="197"/>
    <s v="february"/>
    <s v="Zenith Tech Solutions"/>
    <s v="Fashion "/>
    <x v="5"/>
    <s v="Himachal Pradesh"/>
    <s v="Male"/>
    <n v="88"/>
    <n v="635"/>
    <n v="1370"/>
    <n v="55880"/>
    <n v="120560"/>
    <n v="64680"/>
    <s v="profit"/>
  </r>
  <r>
    <x v="98"/>
    <s v="april"/>
    <s v="Starlight Media Group"/>
    <s v="Electronic"/>
    <x v="4"/>
    <s v="Himachal Pradesh"/>
    <s v="Female"/>
    <n v="24"/>
    <n v="631"/>
    <n v="1304"/>
    <n v="15144"/>
    <n v="31296"/>
    <n v="16152"/>
    <s v="profit"/>
  </r>
  <r>
    <x v="99"/>
    <s v="may"/>
    <s v="Supreme Electronics"/>
    <s v="Electronic"/>
    <x v="4"/>
    <s v="Uttarakhand"/>
    <s v="Female"/>
    <n v="24"/>
    <n v="833"/>
    <n v="1280"/>
    <n v="19992"/>
    <n v="30720"/>
    <n v="10728"/>
    <s v="profit"/>
  </r>
  <r>
    <x v="100"/>
    <s v="may"/>
    <s v="Optimum Wellness"/>
    <s v="Electronic"/>
    <x v="4"/>
    <s v="Assam"/>
    <s v="Male"/>
    <n v="21"/>
    <n v="680"/>
    <n v="1049"/>
    <n v="14280"/>
    <n v="22029"/>
    <n v="7749"/>
    <s v="profit"/>
  </r>
  <r>
    <x v="101"/>
    <s v="may"/>
    <s v="Zenith Books Publishing"/>
    <s v="Electronic"/>
    <x v="4"/>
    <s v="Punjab"/>
    <s v="Male"/>
    <n v="23"/>
    <n v="667"/>
    <n v="962"/>
    <n v="15341"/>
    <n v="22126"/>
    <n v="6785"/>
    <s v="profit"/>
  </r>
  <r>
    <x v="102"/>
    <s v="may"/>
    <s v="Pinnacle Innovations"/>
    <s v="Electronic"/>
    <x v="4"/>
    <s v="Chhattisgarh"/>
    <s v="Male"/>
    <n v="24"/>
    <n v="504"/>
    <n v="1283"/>
    <n v="12096"/>
    <n v="30792"/>
    <n v="18696"/>
    <s v="profit"/>
  </r>
  <r>
    <x v="103"/>
    <s v="may"/>
    <s v="Apex Travel Services"/>
    <s v="Electronic"/>
    <x v="4"/>
    <s v="West Bengal"/>
    <s v="Male"/>
    <n v="26"/>
    <n v="985"/>
    <n v="1407"/>
    <n v="25610"/>
    <n v="36582"/>
    <n v="10972"/>
    <s v="profit"/>
  </r>
  <r>
    <x v="104"/>
    <s v="may"/>
    <s v="Golden Era Realty"/>
    <s v="Electronic"/>
    <x v="4"/>
    <s v="West Bengal"/>
    <s v="Female"/>
    <n v="27"/>
    <n v="890"/>
    <n v="853"/>
    <n v="24030"/>
    <n v="23031"/>
    <n v="-999"/>
    <s v="loss"/>
  </r>
  <r>
    <x v="106"/>
    <s v="may"/>
    <s v="Radiant Jewelry"/>
    <s v="Electronic"/>
    <x v="6"/>
    <s v="Madhya Pradesh"/>
    <s v="Female"/>
    <n v="21"/>
    <n v="722"/>
    <n v="1247"/>
    <n v="15162"/>
    <n v="26187"/>
    <n v="11025"/>
    <s v="profit"/>
  </r>
  <r>
    <x v="107"/>
    <s v="may"/>
    <s v="Infinity Ventures"/>
    <s v="Electronic"/>
    <x v="6"/>
    <s v="Jharkhand"/>
    <s v="Female"/>
    <n v="22"/>
    <n v="725"/>
    <n v="765"/>
    <n v="15950"/>
    <n v="16830"/>
    <n v="880"/>
    <s v="profit"/>
  </r>
  <r>
    <x v="109"/>
    <s v="may"/>
    <s v="Royal Taste Foods"/>
    <s v="Electronic"/>
    <x v="6"/>
    <s v="West Bengal"/>
    <s v="Female"/>
    <n v="26"/>
    <n v="509"/>
    <n v="1120"/>
    <n v="13234"/>
    <n v="29120"/>
    <n v="15886"/>
    <s v="profit"/>
  </r>
  <r>
    <x v="6"/>
    <s v="april"/>
    <s v="Apex Solutions"/>
    <s v="Fashion "/>
    <x v="1"/>
    <s v="Gujarat"/>
    <s v="Male"/>
    <n v="55"/>
    <n v="906"/>
    <n v="880"/>
    <n v="49830"/>
    <n v="48400"/>
    <n v="-1430"/>
    <s v="loss"/>
  </r>
  <r>
    <x v="110"/>
    <s v="may"/>
    <s v="Harmony Homes"/>
    <s v="Electronic"/>
    <x v="6"/>
    <s v="Karnataka"/>
    <s v="Female"/>
    <n v="28"/>
    <n v="905"/>
    <n v="958"/>
    <n v="25340"/>
    <n v="26824"/>
    <n v="1484"/>
    <s v="profit"/>
  </r>
  <r>
    <x v="111"/>
    <s v="may"/>
    <s v="Urban Edge Consulting"/>
    <s v="Electronic"/>
    <x v="6"/>
    <s v="Delhi"/>
    <s v="Female"/>
    <n v="22"/>
    <n v="866"/>
    <n v="1453"/>
    <n v="19052"/>
    <n v="31966"/>
    <n v="12914"/>
    <s v="profit"/>
  </r>
  <r>
    <x v="112"/>
    <s v="may"/>
    <s v="Prime Tech Innovations"/>
    <s v="Electronic"/>
    <x v="6"/>
    <s v="Maharashtra"/>
    <s v="Female"/>
    <n v="23"/>
    <n v="816"/>
    <n v="1273"/>
    <n v="18768"/>
    <n v="29279"/>
    <n v="10511"/>
    <s v="profit"/>
  </r>
  <r>
    <x v="114"/>
    <s v="may"/>
    <s v="Legacy Designs"/>
    <s v="Electronic"/>
    <x v="6"/>
    <s v="West Bengal"/>
    <s v="Female"/>
    <n v="30"/>
    <n v="738"/>
    <n v="1216"/>
    <n v="22140"/>
    <n v="36480"/>
    <n v="14340"/>
    <s v="profit"/>
  </r>
  <r>
    <x v="115"/>
    <s v="may"/>
    <s v="Virtue Enterprises"/>
    <s v="Electronic"/>
    <x v="6"/>
    <s v="Tamil Nadu"/>
    <s v="Female"/>
    <n v="24"/>
    <n v="653"/>
    <n v="1293"/>
    <n v="15672"/>
    <n v="31032"/>
    <n v="15360"/>
    <s v="profit"/>
  </r>
  <r>
    <x v="12"/>
    <s v="april"/>
    <s v="Metro Tech Solutions"/>
    <s v="Electronic"/>
    <x v="3"/>
    <s v="Maharashtra"/>
    <s v="Female"/>
    <n v="22"/>
    <n v="692"/>
    <n v="906"/>
    <n v="15224"/>
    <n v="19932"/>
    <n v="4708"/>
    <s v="profit"/>
  </r>
  <r>
    <x v="116"/>
    <s v="may"/>
    <s v="Radiant Health Club"/>
    <s v="Electronic"/>
    <x v="6"/>
    <s v="Karnataka"/>
    <s v="Female"/>
    <n v="30"/>
    <n v="583"/>
    <n v="1500"/>
    <n v="17490"/>
    <n v="45000"/>
    <n v="27510"/>
    <s v="profit"/>
  </r>
  <r>
    <x v="118"/>
    <s v="may"/>
    <s v="Bright Horizon Ventures"/>
    <s v="Electronic"/>
    <x v="6"/>
    <s v="Telangana"/>
    <s v="Male"/>
    <n v="26"/>
    <n v="1000"/>
    <n v="765"/>
    <n v="26000"/>
    <n v="19890"/>
    <n v="-6110"/>
    <s v="loss"/>
  </r>
  <r>
    <x v="120"/>
    <s v="may"/>
    <s v="Modern Lifestyle Products"/>
    <s v="Electronic"/>
    <x v="6"/>
    <s v="Gujarat"/>
    <s v="Male"/>
    <n v="27"/>
    <n v="913"/>
    <n v="1197"/>
    <n v="24651"/>
    <n v="32319"/>
    <n v="7668"/>
    <s v="profit"/>
  </r>
  <r>
    <x v="121"/>
    <s v="may"/>
    <s v="Nexus Trading Co."/>
    <s v="Electronic"/>
    <x v="6"/>
    <s v="Maharashtra"/>
    <s v="Male"/>
    <n v="29"/>
    <n v="735"/>
    <n v="1388"/>
    <n v="21315"/>
    <n v="40252"/>
    <n v="18937"/>
    <s v="profit"/>
  </r>
  <r>
    <x v="122"/>
    <s v="july"/>
    <s v="Radiance Health and Wellness"/>
    <s v="Electronic"/>
    <x v="6"/>
    <s v="Uttar Pradesh"/>
    <s v="Male"/>
    <n v="29"/>
    <n v="965"/>
    <n v="1195"/>
    <n v="27985"/>
    <n v="34655"/>
    <n v="6670"/>
    <s v="profit"/>
  </r>
  <r>
    <x v="123"/>
    <s v="july"/>
    <s v="Legacy Auto Works"/>
    <s v="Electronic"/>
    <x v="6"/>
    <s v="Tamil Nadu"/>
    <s v="Male"/>
    <n v="24"/>
    <n v="970"/>
    <n v="1256"/>
    <n v="23280"/>
    <n v="30144"/>
    <n v="6864"/>
    <s v="profit"/>
  </r>
  <r>
    <x v="124"/>
    <s v="july"/>
    <s v="Prime Essence Creations"/>
    <s v="Electronic"/>
    <x v="6"/>
    <s v="Tamil Nadu"/>
    <s v="Male"/>
    <n v="22"/>
    <n v="974"/>
    <n v="1329"/>
    <n v="21428"/>
    <n v="29238"/>
    <n v="7810"/>
    <s v="profit"/>
  </r>
  <r>
    <x v="125"/>
    <s v="july"/>
    <s v="Quantum Ventures"/>
    <s v="Electronic"/>
    <x v="6"/>
    <s v="Rajasthan"/>
    <s v="Male"/>
    <n v="21"/>
    <n v="915"/>
    <n v="1442"/>
    <n v="19215"/>
    <n v="30282"/>
    <n v="11067"/>
    <s v="profit"/>
  </r>
  <r>
    <x v="126"/>
    <s v="july"/>
    <s v="Urban Legends Apparel"/>
    <s v="Electronic"/>
    <x v="6"/>
    <s v="Jharkhand"/>
    <s v="Female"/>
    <n v="27"/>
    <n v="605"/>
    <n v="826"/>
    <n v="16335"/>
    <n v="22302"/>
    <n v="5967"/>
    <s v="profit"/>
  </r>
  <r>
    <x v="22"/>
    <s v="april"/>
    <s v="Elite Marketing Solutions"/>
    <s v="Electronic"/>
    <x v="4"/>
    <s v="Tamil Nadu"/>
    <s v="Male"/>
    <n v="29"/>
    <n v="893"/>
    <n v="865"/>
    <n v="25897"/>
    <n v="25085"/>
    <n v="-812"/>
    <s v="loss"/>
  </r>
  <r>
    <x v="127"/>
    <s v="july"/>
    <s v="Pure Bliss Beverages"/>
    <s v="Electronic"/>
    <x v="6"/>
    <s v="Kerala"/>
    <s v="Female"/>
    <n v="29"/>
    <n v="689"/>
    <n v="783"/>
    <n v="19981"/>
    <n v="22707"/>
    <n v="2726"/>
    <s v="profit"/>
  </r>
  <r>
    <x v="24"/>
    <s v="april"/>
    <s v="Crystal Clear Solutions"/>
    <s v="Electronic"/>
    <x v="4"/>
    <s v="Rajasthan"/>
    <s v="Female"/>
    <n v="24"/>
    <n v="859"/>
    <n v="1473"/>
    <n v="20616"/>
    <n v="35352"/>
    <n v="14736"/>
    <s v="profit"/>
  </r>
  <r>
    <x v="128"/>
    <s v="july"/>
    <s v="Noble Heights Builders"/>
    <s v="Electronic"/>
    <x v="6"/>
    <s v="Maharashtra"/>
    <s v="Female"/>
    <n v="25"/>
    <n v="861"/>
    <n v="843"/>
    <n v="21525"/>
    <n v="21075"/>
    <n v="-450"/>
    <s v="loss"/>
  </r>
  <r>
    <x v="130"/>
    <s v="july"/>
    <s v="Radiant Foods"/>
    <s v="Electronic"/>
    <x v="6"/>
    <s v="Himachal Pradesh"/>
    <s v="Female"/>
    <n v="22"/>
    <n v="629"/>
    <n v="1263"/>
    <n v="13838"/>
    <n v="27786"/>
    <n v="13948"/>
    <s v="profit"/>
  </r>
  <r>
    <x v="131"/>
    <s v="july"/>
    <s v="Zenith Financial Services"/>
    <s v="Electronic"/>
    <x v="6"/>
    <s v="Uttarakhand"/>
    <s v="Female"/>
    <n v="22"/>
    <n v="779"/>
    <n v="1301"/>
    <n v="17138"/>
    <n v="28622"/>
    <n v="11484"/>
    <s v="profit"/>
  </r>
  <r>
    <x v="133"/>
    <s v="july"/>
    <s v="Apex Travel Ventures"/>
    <s v="Electronic"/>
    <x v="6"/>
    <s v="Assam"/>
    <s v="Female"/>
    <n v="23"/>
    <n v="730"/>
    <n v="1189"/>
    <n v="16790"/>
    <n v="27347"/>
    <n v="10557"/>
    <s v="profit"/>
  </r>
  <r>
    <x v="134"/>
    <s v="august"/>
    <s v="Future Vision Realty"/>
    <s v="Electronic"/>
    <x v="6"/>
    <s v="Maharashtra"/>
    <s v="Male"/>
    <n v="26"/>
    <n v="847"/>
    <n v="1116"/>
    <n v="22022"/>
    <n v="29016"/>
    <n v="6994"/>
    <s v="profit"/>
  </r>
  <r>
    <x v="135"/>
    <s v="august"/>
    <s v="Urban Pulse Media"/>
    <s v="Electronic"/>
    <x v="6"/>
    <s v="Chandigarh"/>
    <s v="Male"/>
    <n v="24"/>
    <n v="942"/>
    <n v="1313"/>
    <n v="22608"/>
    <n v="31512"/>
    <n v="8904"/>
    <s v="profit"/>
  </r>
  <r>
    <x v="136"/>
    <s v="august"/>
    <s v="True Essence Health"/>
    <s v="Electronic"/>
    <x v="6"/>
    <s v="Madhya Pradesh"/>
    <s v="Female"/>
    <n v="20"/>
    <n v="751"/>
    <n v="861"/>
    <n v="15020"/>
    <n v="17220"/>
    <n v="2200"/>
    <s v="profit"/>
  </r>
  <r>
    <x v="138"/>
    <s v="august"/>
    <s v="Radiant Vision Realty"/>
    <s v="Electronic"/>
    <x v="6"/>
    <s v="Bihar"/>
    <s v="Male"/>
    <n v="28"/>
    <n v="855"/>
    <n v="930"/>
    <n v="23940"/>
    <n v="26040"/>
    <n v="2100"/>
    <s v="profit"/>
  </r>
  <r>
    <x v="139"/>
    <s v="august"/>
    <s v="Harmony Consulting Group"/>
    <s v="Electronic"/>
    <x v="6"/>
    <s v="Gujarat"/>
    <s v="Male"/>
    <n v="22"/>
    <n v="806"/>
    <n v="1391"/>
    <n v="17732"/>
    <n v="30602"/>
    <n v="12870"/>
    <s v="profit"/>
  </r>
  <r>
    <x v="141"/>
    <s v="august"/>
    <s v="Zenith Tech Ventures"/>
    <s v="Electronic"/>
    <x v="6"/>
    <s v="Uttar Pradesh"/>
    <s v="Male"/>
    <n v="30"/>
    <n v="624"/>
    <n v="999"/>
    <n v="18720"/>
    <n v="29970"/>
    <n v="11250"/>
    <s v="profit"/>
  </r>
  <r>
    <x v="142"/>
    <s v="august"/>
    <s v="Stellar Health Services"/>
    <s v="Electronic"/>
    <x v="6"/>
    <s v="Uttar Pradesh"/>
    <s v="Female"/>
    <n v="25"/>
    <n v="533"/>
    <n v="860"/>
    <n v="13325"/>
    <n v="21500"/>
    <n v="8175"/>
    <s v="profit"/>
  </r>
  <r>
    <x v="143"/>
    <s v="august"/>
    <s v="Pure Path Foods"/>
    <s v="Electronic"/>
    <x v="6"/>
    <s v="Tamil Nadu"/>
    <s v="Female"/>
    <n v="20"/>
    <n v="681"/>
    <n v="823"/>
    <n v="13620"/>
    <n v="16460"/>
    <n v="2840"/>
    <s v="profit"/>
  </r>
  <r>
    <x v="144"/>
    <s v="august"/>
    <s v="Bright Horizon Realty"/>
    <s v="Electronic"/>
    <x v="6"/>
    <s v="Rajasthan"/>
    <s v="Female"/>
    <n v="23"/>
    <n v="577"/>
    <n v="1125"/>
    <n v="13271"/>
    <n v="25875"/>
    <n v="12604"/>
    <s v="profit"/>
  </r>
  <r>
    <x v="146"/>
    <s v="october"/>
    <s v="Crystal Clear Consulting"/>
    <s v="Electronic"/>
    <x v="8"/>
    <s v="Rajasthan"/>
    <s v="Female"/>
    <n v="28"/>
    <n v="537"/>
    <n v="828"/>
    <n v="15036"/>
    <n v="23184"/>
    <n v="8148"/>
    <s v="profit"/>
  </r>
  <r>
    <x v="147"/>
    <s v="october"/>
    <s v="Zenith Innovations"/>
    <s v="Electronic"/>
    <x v="8"/>
    <s v="Jharkhand"/>
    <s v="Male"/>
    <n v="23"/>
    <n v="746"/>
    <n v="1410"/>
    <n v="17158"/>
    <n v="32430"/>
    <n v="15272"/>
    <s v="profit"/>
  </r>
  <r>
    <x v="148"/>
    <s v="october"/>
    <s v="True Essence Innovations"/>
    <s v="Electronic"/>
    <x v="3"/>
    <s v="Assam"/>
    <s v="Male"/>
    <n v="29"/>
    <n v="895"/>
    <n v="882"/>
    <n v="25955"/>
    <n v="25578"/>
    <n v="-377"/>
    <s v="loss"/>
  </r>
  <r>
    <x v="150"/>
    <s v="november"/>
    <s v="Pinnacle Media Group"/>
    <s v="Electronic"/>
    <x v="3"/>
    <s v="Punjab"/>
    <s v="Male"/>
    <n v="26"/>
    <n v="728"/>
    <n v="1466"/>
    <n v="18928"/>
    <n v="38116"/>
    <n v="19188"/>
    <s v="profit"/>
  </r>
  <r>
    <x v="152"/>
    <s v="november"/>
    <s v="Legacy Design Co."/>
    <s v="Electronic"/>
    <x v="3"/>
    <s v="Chhattisgarh"/>
    <s v="Male"/>
    <n v="22"/>
    <n v="586"/>
    <n v="1206"/>
    <n v="12892"/>
    <n v="26532"/>
    <n v="13640"/>
    <s v="profit"/>
  </r>
  <r>
    <x v="153"/>
    <s v="november"/>
    <s v="Apex Health Products"/>
    <s v="Electronic"/>
    <x v="3"/>
    <s v="West Bengal"/>
    <s v="Female"/>
    <n v="29"/>
    <n v="724"/>
    <n v="858"/>
    <n v="20996"/>
    <n v="24882"/>
    <n v="3886"/>
    <s v="profit"/>
  </r>
  <r>
    <x v="154"/>
    <s v="november"/>
    <s v="Zenith Travel Ventures"/>
    <s v="Electronic"/>
    <x v="3"/>
    <s v="West Bengal"/>
    <s v="Female"/>
    <n v="20"/>
    <n v="941"/>
    <n v="1181"/>
    <n v="18820"/>
    <n v="23620"/>
    <n v="4800"/>
    <s v="profit"/>
  </r>
  <r>
    <x v="155"/>
    <s v="november"/>
    <s v="Pure Path Consulting"/>
    <s v="Electronic"/>
    <x v="3"/>
    <s v="Madhya Pradesh"/>
    <s v="Female"/>
    <n v="22"/>
    <n v="618"/>
    <n v="1373"/>
    <n v="13596"/>
    <n v="30206"/>
    <n v="16610"/>
    <s v="profit"/>
  </r>
  <r>
    <x v="157"/>
    <s v="november"/>
    <s v="Harmony Educational Group"/>
    <s v="Electronic"/>
    <x v="4"/>
    <s v="Karnataka"/>
    <s v="Male"/>
    <n v="28"/>
    <n v="896"/>
    <n v="1363"/>
    <n v="25088"/>
    <n v="38164"/>
    <n v="13076"/>
    <s v="profit"/>
  </r>
  <r>
    <x v="158"/>
    <s v="november"/>
    <s v="Radiant Design Studio"/>
    <s v="Electronic"/>
    <x v="4"/>
    <s v="Gujarat"/>
    <s v="Male"/>
    <n v="28"/>
    <n v="986"/>
    <n v="866"/>
    <n v="27608"/>
    <n v="24248"/>
    <n v="-3360"/>
    <s v="loss"/>
  </r>
  <r>
    <x v="159"/>
    <s v="november"/>
    <s v="Zenith Health Innovations"/>
    <s v="Electronic"/>
    <x v="4"/>
    <s v="Maharashtra"/>
    <s v="Male"/>
    <n v="27"/>
    <n v="951"/>
    <n v="1255"/>
    <n v="25677"/>
    <n v="33885"/>
    <n v="8208"/>
    <s v="profit"/>
  </r>
  <r>
    <x v="49"/>
    <s v="may"/>
    <s v="Absolute Solutions"/>
    <s v="Fashion "/>
    <x v="5"/>
    <s v="Gujarat"/>
    <s v="Male"/>
    <n v="63"/>
    <n v="929"/>
    <n v="1320"/>
    <n v="58527"/>
    <n v="83160"/>
    <n v="24633"/>
    <s v="profit"/>
  </r>
  <r>
    <x v="160"/>
    <s v="november"/>
    <s v="Apex Realty Ventures"/>
    <s v="Electronic"/>
    <x v="4"/>
    <s v="Rajasthan"/>
    <s v="Male"/>
    <n v="22"/>
    <n v="783"/>
    <n v="886"/>
    <n v="17226"/>
    <n v="19492"/>
    <n v="2266"/>
    <s v="profit"/>
  </r>
  <r>
    <x v="161"/>
    <s v="november"/>
    <s v="True Value Ventures"/>
    <s v="Electronic"/>
    <x v="4"/>
    <s v="Uttar Pradesh"/>
    <s v="Female"/>
    <n v="21"/>
    <n v="547"/>
    <n v="784"/>
    <n v="11487"/>
    <n v="16464"/>
    <n v="4977"/>
    <s v="profit"/>
  </r>
  <r>
    <x v="162"/>
    <s v="november"/>
    <s v="Crystal Clear Designs"/>
    <s v="Electronic"/>
    <x v="4"/>
    <s v="Maharashtra"/>
    <s v="Male"/>
    <n v="20"/>
    <n v="737"/>
    <n v="932"/>
    <n v="14740"/>
    <n v="18640"/>
    <n v="3900"/>
    <s v="profit"/>
  </r>
  <r>
    <x v="164"/>
    <s v="november"/>
    <s v="Pinnacle Innovations Co."/>
    <s v="Electronic"/>
    <x v="4"/>
    <s v="Madhya Pradesh"/>
    <s v="Male"/>
    <n v="25"/>
    <n v="924"/>
    <n v="1062"/>
    <n v="23100"/>
    <n v="26550"/>
    <n v="3450"/>
    <s v="profit"/>
  </r>
  <r>
    <x v="166"/>
    <s v="november"/>
    <s v="Modern Pathways"/>
    <s v="Electronic"/>
    <x v="4"/>
    <s v="Maharashtra"/>
    <s v="Male"/>
    <n v="28"/>
    <n v="665"/>
    <n v="1467"/>
    <n v="18620"/>
    <n v="41076"/>
    <n v="22456"/>
    <s v="profit"/>
  </r>
  <r>
    <x v="168"/>
    <s v="november"/>
    <s v="Stellar Finance Co."/>
    <s v="Electronic"/>
    <x v="4"/>
    <s v="Chandigarh"/>
    <s v="Male"/>
    <n v="24"/>
    <n v="839"/>
    <n v="1092"/>
    <n v="20136"/>
    <n v="26208"/>
    <n v="6072"/>
    <s v="profit"/>
  </r>
  <r>
    <x v="169"/>
    <s v="november"/>
    <s v="Radiant Spectrum Group"/>
    <s v="Electronic"/>
    <x v="4"/>
    <s v="Madhya Pradesh"/>
    <s v="Male"/>
    <n v="30"/>
    <n v="790"/>
    <n v="1245"/>
    <n v="23700"/>
    <n v="37350"/>
    <n v="13650"/>
    <s v="profit"/>
  </r>
  <r>
    <x v="170"/>
    <s v="november"/>
    <s v="Harmony Design Ventures"/>
    <s v="Electronic"/>
    <x v="4"/>
    <s v="Andhra Pradesh"/>
    <s v="Female"/>
    <n v="30"/>
    <n v="651"/>
    <n v="1277"/>
    <n v="19530"/>
    <n v="38310"/>
    <n v="18780"/>
    <s v="profit"/>
  </r>
  <r>
    <x v="58"/>
    <s v="may"/>
    <s v="Synergy Tech Solutions"/>
    <s v="Fashion "/>
    <x v="5"/>
    <s v="Bihar"/>
    <s v="Male"/>
    <n v="67"/>
    <n v="796"/>
    <n v="1347"/>
    <n v="53332"/>
    <n v="90249"/>
    <n v="36917"/>
    <s v="profit"/>
  </r>
  <r>
    <x v="171"/>
    <s v="november"/>
    <s v="Elite Edge Products"/>
    <s v="Electronic"/>
    <x v="4"/>
    <s v="Bihar"/>
    <s v="Female"/>
    <n v="23"/>
    <n v="531"/>
    <n v="1072"/>
    <n v="12213"/>
    <n v="24656"/>
    <n v="12443"/>
    <s v="profit"/>
  </r>
  <r>
    <x v="172"/>
    <s v="november"/>
    <s v="Zenith Consulting Co."/>
    <s v="Electronic"/>
    <x v="6"/>
    <s v="Gujarat"/>
    <s v="Female"/>
    <n v="30"/>
    <n v="591"/>
    <n v="949"/>
    <n v="17730"/>
    <n v="28470"/>
    <n v="10740"/>
    <s v="profit"/>
  </r>
  <r>
    <x v="173"/>
    <s v="november"/>
    <s v="Apex Wellness Products"/>
    <s v="Electronic"/>
    <x v="6"/>
    <s v="Uttar Pradesh"/>
    <s v="Female"/>
    <n v="29"/>
    <n v="621"/>
    <n v="1485"/>
    <n v="18009"/>
    <n v="43065"/>
    <n v="25056"/>
    <s v="profit"/>
  </r>
  <r>
    <x v="175"/>
    <s v="december"/>
    <s v="Pure Harmony Innovations"/>
    <s v="Electronic"/>
    <x v="6"/>
    <s v="Tamil Nadu"/>
    <s v="Female"/>
    <n v="30"/>
    <n v="857"/>
    <n v="1455"/>
    <n v="25710"/>
    <n v="43650"/>
    <n v="17940"/>
    <s v="profit"/>
  </r>
  <r>
    <x v="176"/>
    <s v="december"/>
    <s v="Legacy Media Group"/>
    <s v="Electronic"/>
    <x v="6"/>
    <s v="Tamil Nadu"/>
    <s v="Female"/>
    <n v="20"/>
    <n v="897"/>
    <n v="1024"/>
    <n v="17940"/>
    <n v="20480"/>
    <n v="2540"/>
    <s v="profit"/>
  </r>
  <r>
    <x v="177"/>
    <s v="december"/>
    <s v="Horizon Tech Innovations"/>
    <s v="Electronic"/>
    <x v="6"/>
    <s v="Uttar Pradesh"/>
    <s v="Male"/>
    <n v="22"/>
    <n v="781"/>
    <n v="1423"/>
    <n v="17182"/>
    <n v="31306"/>
    <n v="14124"/>
    <s v="profit"/>
  </r>
  <r>
    <x v="178"/>
    <s v="december"/>
    <s v="Crystal Spectrum Consulting"/>
    <s v="Electronic"/>
    <x v="6"/>
    <s v="Jharkhand"/>
    <s v="Male"/>
    <n v="20"/>
    <n v="854"/>
    <n v="956"/>
    <n v="17080"/>
    <n v="19120"/>
    <n v="2040"/>
    <s v="profit"/>
  </r>
  <r>
    <x v="179"/>
    <s v="december"/>
    <s v="Stellar Creative Co."/>
    <s v="Electronic"/>
    <x v="6"/>
    <s v="Kerala"/>
    <s v="Male"/>
    <n v="26"/>
    <n v="909"/>
    <n v="1206"/>
    <n v="23634"/>
    <n v="31356"/>
    <n v="7722"/>
    <s v="profit"/>
  </r>
  <r>
    <x v="181"/>
    <s v="december"/>
    <s v="Radiance Media Ventures"/>
    <s v="Electronic"/>
    <x v="6"/>
    <s v="Maharashtra"/>
    <s v="Female"/>
    <n v="20"/>
    <n v="976"/>
    <n v="905"/>
    <n v="19520"/>
    <n v="18100"/>
    <n v="-1420"/>
    <s v="loss"/>
  </r>
  <r>
    <x v="182"/>
    <s v="december"/>
    <s v="Zenith Edge Services"/>
    <s v="Electronic"/>
    <x v="6"/>
    <s v="Uttarakhand"/>
    <s v="Male"/>
    <n v="24"/>
    <n v="787"/>
    <n v="1122"/>
    <n v="18888"/>
    <n v="26928"/>
    <n v="8040"/>
    <s v="profit"/>
  </r>
  <r>
    <x v="183"/>
    <s v="february"/>
    <s v="Stellar Consulting Services"/>
    <s v="Electronic"/>
    <x v="6"/>
    <s v="Maharashtra"/>
    <s v="Female"/>
    <n v="23"/>
    <n v="755"/>
    <n v="806"/>
    <n v="17365"/>
    <n v="18538"/>
    <n v="1173"/>
    <s v="profit"/>
  </r>
  <r>
    <x v="184"/>
    <s v="february"/>
    <s v="Radiant Ventures"/>
    <s v="Electronic"/>
    <x v="6"/>
    <s v="Himachal Pradesh"/>
    <s v="Female"/>
    <n v="26"/>
    <n v="573"/>
    <n v="1309"/>
    <n v="14898"/>
    <n v="34034"/>
    <n v="19136"/>
    <s v="profit"/>
  </r>
  <r>
    <x v="185"/>
    <s v="february"/>
    <s v="Harmony Tech Co."/>
    <s v="Electronic"/>
    <x v="6"/>
    <s v="Uttarakhand"/>
    <s v="Female"/>
    <n v="30"/>
    <n v="946"/>
    <n v="1089"/>
    <n v="28380"/>
    <n v="32670"/>
    <n v="4290"/>
    <s v="profit"/>
  </r>
  <r>
    <x v="187"/>
    <s v="february"/>
    <s v="Zenith Creative Ventures"/>
    <s v="Electronic"/>
    <x v="6"/>
    <s v="Assam"/>
    <s v="Male"/>
    <n v="22"/>
    <n v="679"/>
    <n v="1463"/>
    <n v="14938"/>
    <n v="32186"/>
    <n v="17248"/>
    <s v="profit"/>
  </r>
  <r>
    <x v="188"/>
    <s v="february"/>
    <s v="Apex Health Services"/>
    <s v="Electronic"/>
    <x v="6"/>
    <s v="Punjab"/>
    <s v="Male"/>
    <n v="25"/>
    <n v="975"/>
    <n v="935"/>
    <n v="24375"/>
    <n v="23375"/>
    <n v="-1000"/>
    <s v="loss"/>
  </r>
  <r>
    <x v="189"/>
    <s v="february"/>
    <s v="Pure Vision Media"/>
    <s v="Electronic"/>
    <x v="6"/>
    <s v="Chhattisgarh"/>
    <s v="Male"/>
    <n v="24"/>
    <n v="642"/>
    <n v="996"/>
    <n v="15408"/>
    <n v="23904"/>
    <n v="8496"/>
    <s v="profit"/>
  </r>
  <r>
    <x v="63"/>
    <s v="june"/>
    <s v="Radiant Enterprise Solutions"/>
    <s v="Decor"/>
    <x v="0"/>
    <s v="West Bengal"/>
    <s v="Female"/>
    <n v="14"/>
    <n v="603"/>
    <n v="1104"/>
    <n v="8442"/>
    <n v="15456"/>
    <n v="7014"/>
    <s v="profit"/>
  </r>
  <r>
    <x v="191"/>
    <s v="february"/>
    <s v="Legacy Innovations Group"/>
    <s v="Electronic"/>
    <x v="6"/>
    <s v="West Bengal"/>
    <s v="Male"/>
    <n v="29"/>
    <n v="598"/>
    <n v="923"/>
    <n v="17342"/>
    <n v="26767"/>
    <n v="9425"/>
    <s v="profit"/>
  </r>
  <r>
    <x v="192"/>
    <s v="february"/>
    <s v="Pinnacle Consulting Co."/>
    <s v="Electronic"/>
    <x v="6"/>
    <s v="West Bengal"/>
    <s v="Male"/>
    <n v="22"/>
    <n v="719"/>
    <n v="1079"/>
    <n v="15818"/>
    <n v="23738"/>
    <n v="7920"/>
    <s v="profit"/>
  </r>
  <r>
    <x v="193"/>
    <s v="february"/>
    <s v="Stellar Finance Group"/>
    <s v="Electronic"/>
    <x v="6"/>
    <s v="Madhya Pradesh"/>
    <s v="Female"/>
    <n v="30"/>
    <n v="716"/>
    <n v="956"/>
    <n v="21480"/>
    <n v="28680"/>
    <n v="7200"/>
    <s v="profit"/>
  </r>
  <r>
    <x v="194"/>
    <s v="february"/>
    <s v="Harmony Ventures Group"/>
    <s v="Electronic"/>
    <x v="6"/>
    <s v="Gujarat"/>
    <s v="Female"/>
    <n v="29"/>
    <n v="623"/>
    <n v="919"/>
    <n v="18067"/>
    <n v="26651"/>
    <n v="8584"/>
    <s v="profit"/>
  </r>
  <r>
    <x v="78"/>
    <s v="april"/>
    <s v="Bharat Innovations"/>
    <s v="Electronic"/>
    <x v="3"/>
    <s v="Delhi"/>
    <s v="Male"/>
    <n v="21"/>
    <n v="553"/>
    <n v="1459"/>
    <n v="11613"/>
    <n v="30639"/>
    <n v="19026"/>
    <s v="profit"/>
  </r>
  <r>
    <x v="64"/>
    <s v="june"/>
    <s v="Infinite Solutions"/>
    <s v="Fashion "/>
    <x v="5"/>
    <s v="Maharashtra"/>
    <s v="Female"/>
    <n v="77"/>
    <n v="923"/>
    <n v="1132"/>
    <n v="71071"/>
    <n v="87164"/>
    <n v="16093"/>
    <s v="profit"/>
  </r>
  <r>
    <x v="79"/>
    <s v="april"/>
    <s v="Green Leaf Enterprises"/>
    <s v="Electronic"/>
    <x v="8"/>
    <s v="Maharashtra"/>
    <s v="Male"/>
    <n v="30"/>
    <n v="719"/>
    <n v="1162"/>
    <n v="21570"/>
    <n v="34860"/>
    <n v="13290"/>
    <s v="profit"/>
  </r>
  <r>
    <x v="80"/>
    <s v="april"/>
    <s v="Urban Pulse Technologies"/>
    <s v="Electronic"/>
    <x v="8"/>
    <s v="West Bengal"/>
    <s v="Male"/>
    <n v="25"/>
    <n v="980"/>
    <n v="926"/>
    <n v="24500"/>
    <n v="23150"/>
    <n v="-1350"/>
    <s v="loss"/>
  </r>
  <r>
    <x v="82"/>
    <s v="april"/>
    <s v="Mystic India Exports"/>
    <s v="Electronic"/>
    <x v="8"/>
    <s v="Tamil Nadu"/>
    <s v="Male"/>
    <n v="22"/>
    <n v="718"/>
    <n v="1335"/>
    <n v="15796"/>
    <n v="29370"/>
    <n v="13574"/>
    <s v="profit"/>
  </r>
  <r>
    <x v="83"/>
    <s v="april"/>
    <s v="Pure Essence Skincare"/>
    <s v="Electronic"/>
    <x v="3"/>
    <s v="Rajasthan"/>
    <s v="Female"/>
    <n v="30"/>
    <n v="520"/>
    <n v="1251"/>
    <n v="15600"/>
    <n v="37530"/>
    <n v="21930"/>
    <s v="profit"/>
  </r>
  <r>
    <x v="84"/>
    <s v="april"/>
    <s v="Zenith Construction Co."/>
    <s v="Electronic"/>
    <x v="3"/>
    <s v="Gujarat"/>
    <s v="Female"/>
    <n v="26"/>
    <n v="808"/>
    <n v="1135"/>
    <n v="21008"/>
    <n v="29510"/>
    <n v="8502"/>
    <s v="profit"/>
  </r>
  <r>
    <x v="85"/>
    <s v="april"/>
    <s v="Radiant Health Systems"/>
    <s v="Electronic"/>
    <x v="3"/>
    <s v="Uttar Pradesh"/>
    <s v="Female"/>
    <n v="23"/>
    <n v="504"/>
    <n v="1328"/>
    <n v="11592"/>
    <n v="30544"/>
    <n v="18952"/>
    <s v="profit"/>
  </r>
  <r>
    <x v="87"/>
    <s v="april"/>
    <s v="Divine Creations"/>
    <s v="Electronic"/>
    <x v="3"/>
    <s v="Uttar Pradesh"/>
    <s v="Female"/>
    <n v="28"/>
    <n v="918"/>
    <n v="808"/>
    <n v="25704"/>
    <n v="22624"/>
    <n v="-3080"/>
    <s v="loss"/>
  </r>
  <r>
    <x v="88"/>
    <s v="april"/>
    <s v="True Path Logistics"/>
    <s v="Electronic"/>
    <x v="3"/>
    <s v="Madhya Pradesh"/>
    <s v="Female"/>
    <n v="27"/>
    <n v="966"/>
    <n v="850"/>
    <n v="26082"/>
    <n v="22950"/>
    <n v="-3132"/>
    <s v="loss"/>
  </r>
  <r>
    <x v="90"/>
    <s v="april"/>
    <s v="Prestige Automobiles"/>
    <s v="Electronic"/>
    <x v="4"/>
    <s v="Uttar Pradesh"/>
    <s v="Male"/>
    <n v="20"/>
    <n v="664"/>
    <n v="924"/>
    <n v="13280"/>
    <n v="18480"/>
    <n v="5200"/>
    <s v="profit"/>
  </r>
  <r>
    <x v="92"/>
    <s v="april"/>
    <s v="Natural Bliss Beverages"/>
    <s v="Electronic"/>
    <x v="4"/>
    <s v="Tamil Nadu"/>
    <s v="Male"/>
    <n v="26"/>
    <n v="608"/>
    <n v="1125"/>
    <n v="15808"/>
    <n v="29250"/>
    <n v="13442"/>
    <s v="profit"/>
  </r>
  <r>
    <x v="65"/>
    <s v="july"/>
    <s v="Synergy Solutions Group"/>
    <s v="Decor"/>
    <x v="2"/>
    <s v="Maharashtra"/>
    <s v="Female"/>
    <n v="19"/>
    <n v="860"/>
    <n v="1234"/>
    <n v="16340"/>
    <n v="23446"/>
    <n v="7106"/>
    <s v="profit"/>
  </r>
  <r>
    <x v="94"/>
    <s v="april"/>
    <s v="Modern Trends Fashion"/>
    <s v="Electronic"/>
    <x v="4"/>
    <s v="Uttar Pradesh"/>
    <s v="Female"/>
    <n v="24"/>
    <n v="826"/>
    <n v="975"/>
    <n v="19824"/>
    <n v="23400"/>
    <n v="3576"/>
    <s v="profit"/>
  </r>
  <r>
    <x v="95"/>
    <s v="april"/>
    <s v="Heritage Crafts"/>
    <s v="Electronic"/>
    <x v="4"/>
    <s v="Jharkhand"/>
    <s v="Female"/>
    <n v="24"/>
    <n v="877"/>
    <n v="762"/>
    <n v="21048"/>
    <n v="18288"/>
    <n v="-2760"/>
    <s v="loss"/>
  </r>
  <r>
    <x v="96"/>
    <s v="april"/>
    <s v="Future Insights Analytics"/>
    <s v="Electronic"/>
    <x v="4"/>
    <s v="Kerala"/>
    <s v="Female"/>
    <n v="23"/>
    <n v="736"/>
    <n v="872"/>
    <n v="16928"/>
    <n v="20056"/>
    <n v="3128"/>
    <s v="profit"/>
  </r>
  <r>
    <x v="97"/>
    <s v="april"/>
    <s v="Emerald Estate Developers"/>
    <s v="Electronic"/>
    <x v="4"/>
    <s v="Maharashtra"/>
    <s v="Female"/>
    <n v="27"/>
    <n v="828"/>
    <n v="1008"/>
    <n v="22356"/>
    <n v="27216"/>
    <n v="4860"/>
    <s v="profit"/>
  </r>
  <r>
    <x v="98"/>
    <s v="april"/>
    <s v="Starlight Media Group"/>
    <s v="Electronic"/>
    <x v="4"/>
    <s v="Himachal Pradesh"/>
    <s v="Female"/>
    <n v="28"/>
    <n v="901"/>
    <n v="1260"/>
    <n v="25228"/>
    <n v="35280"/>
    <n v="10052"/>
    <s v="profit"/>
  </r>
  <r>
    <x v="99"/>
    <s v="may"/>
    <s v="Supreme Electronics"/>
    <s v="Electronic"/>
    <x v="4"/>
    <s v="Uttarakhand"/>
    <s v="Female"/>
    <n v="28"/>
    <n v="796"/>
    <n v="1407"/>
    <n v="22288"/>
    <n v="39396"/>
    <n v="17108"/>
    <s v="profit"/>
  </r>
  <r>
    <x v="100"/>
    <s v="may"/>
    <s v="Optimum Wellness"/>
    <s v="Electronic"/>
    <x v="4"/>
    <s v="Assam"/>
    <s v="Male"/>
    <n v="27"/>
    <n v="794"/>
    <n v="905"/>
    <n v="21438"/>
    <n v="24435"/>
    <n v="2997"/>
    <s v="profit"/>
  </r>
  <r>
    <x v="101"/>
    <s v="may"/>
    <s v="Zenith Books Publishing"/>
    <s v="Electronic"/>
    <x v="4"/>
    <s v="Punjab"/>
    <s v="Male"/>
    <n v="20"/>
    <n v="812"/>
    <n v="1248"/>
    <n v="16240"/>
    <n v="24960"/>
    <n v="8720"/>
    <s v="profit"/>
  </r>
  <r>
    <x v="102"/>
    <s v="may"/>
    <s v="Pinnacle Innovations"/>
    <s v="Electronic"/>
    <x v="4"/>
    <s v="Chhattisgarh"/>
    <s v="Male"/>
    <n v="20"/>
    <n v="908"/>
    <n v="1130"/>
    <n v="18160"/>
    <n v="22600"/>
    <n v="4440"/>
    <s v="profit"/>
  </r>
  <r>
    <x v="103"/>
    <s v="may"/>
    <s v="Apex Travel Services"/>
    <s v="Electronic"/>
    <x v="4"/>
    <s v="West Bengal"/>
    <s v="Male"/>
    <n v="23"/>
    <n v="846"/>
    <n v="1143"/>
    <n v="19458"/>
    <n v="26289"/>
    <n v="6831"/>
    <s v="profit"/>
  </r>
  <r>
    <x v="104"/>
    <s v="may"/>
    <s v="Golden Era Realty"/>
    <s v="Electronic"/>
    <x v="4"/>
    <s v="West Bengal"/>
    <s v="Female"/>
    <n v="25"/>
    <n v="627"/>
    <n v="1071"/>
    <n v="15675"/>
    <n v="26775"/>
    <n v="11100"/>
    <s v="profit"/>
  </r>
  <r>
    <x v="106"/>
    <s v="may"/>
    <s v="Radiant Jewelry"/>
    <s v="Electronic"/>
    <x v="6"/>
    <s v="Madhya Pradesh"/>
    <s v="Female"/>
    <n v="27"/>
    <n v="817"/>
    <n v="977"/>
    <n v="22059"/>
    <n v="26379"/>
    <n v="4320"/>
    <s v="profit"/>
  </r>
  <r>
    <x v="66"/>
    <s v="july"/>
    <s v="Horizon Tech Solutions"/>
    <s v="Electronic"/>
    <x v="6"/>
    <s v="Uttar Pradesh"/>
    <s v="Female"/>
    <n v="29"/>
    <n v="929"/>
    <n v="1429"/>
    <n v="26941"/>
    <n v="41441"/>
    <n v="14500"/>
    <s v="profit"/>
  </r>
  <r>
    <x v="107"/>
    <s v="may"/>
    <s v="Infinity Ventures"/>
    <s v="Electronic"/>
    <x v="6"/>
    <s v="Jharkhand"/>
    <s v="Female"/>
    <n v="27"/>
    <n v="675"/>
    <n v="1138"/>
    <n v="18225"/>
    <n v="30726"/>
    <n v="12501"/>
    <s v="profit"/>
  </r>
  <r>
    <x v="109"/>
    <s v="may"/>
    <s v="Royal Taste Foods"/>
    <s v="Electronic"/>
    <x v="6"/>
    <s v="West Bengal"/>
    <s v="Female"/>
    <n v="22"/>
    <n v="695"/>
    <n v="830"/>
    <n v="15290"/>
    <n v="18260"/>
    <n v="2970"/>
    <s v="profit"/>
  </r>
  <r>
    <x v="110"/>
    <s v="may"/>
    <s v="Harmony Homes"/>
    <s v="Electronic"/>
    <x v="6"/>
    <s v="Karnataka"/>
    <s v="Female"/>
    <n v="21"/>
    <n v="781"/>
    <n v="816"/>
    <n v="16401"/>
    <n v="17136"/>
    <n v="735"/>
    <s v="profit"/>
  </r>
  <r>
    <x v="111"/>
    <s v="may"/>
    <s v="Urban Edge Consulting"/>
    <s v="Electronic"/>
    <x v="6"/>
    <s v="Delhi"/>
    <s v="Female"/>
    <n v="25"/>
    <n v="517"/>
    <n v="939"/>
    <n v="12925"/>
    <n v="23475"/>
    <n v="10550"/>
    <s v="profit"/>
  </r>
  <r>
    <x v="112"/>
    <s v="may"/>
    <s v="Prime Tech Innovations"/>
    <s v="Electronic"/>
    <x v="6"/>
    <s v="Maharashtra"/>
    <s v="Female"/>
    <n v="24"/>
    <n v="730"/>
    <n v="886"/>
    <n v="17520"/>
    <n v="21264"/>
    <n v="3744"/>
    <s v="profit"/>
  </r>
  <r>
    <x v="114"/>
    <s v="may"/>
    <s v="Legacy Designs"/>
    <s v="Electronic"/>
    <x v="6"/>
    <s v="West Bengal"/>
    <s v="Female"/>
    <n v="23"/>
    <n v="811"/>
    <n v="1142"/>
    <n v="18653"/>
    <n v="26266"/>
    <n v="7613"/>
    <s v="profit"/>
  </r>
  <r>
    <x v="115"/>
    <s v="may"/>
    <s v="Virtue Enterprises"/>
    <s v="Electronic"/>
    <x v="6"/>
    <s v="Tamil Nadu"/>
    <s v="Female"/>
    <n v="21"/>
    <n v="967"/>
    <n v="888"/>
    <n v="20307"/>
    <n v="18648"/>
    <n v="-1659"/>
    <s v="loss"/>
  </r>
  <r>
    <x v="116"/>
    <s v="may"/>
    <s v="Radiant Health Club"/>
    <s v="Electronic"/>
    <x v="6"/>
    <s v="Karnataka"/>
    <s v="Female"/>
    <n v="29"/>
    <n v="655"/>
    <n v="950"/>
    <n v="18995"/>
    <n v="27550"/>
    <n v="8555"/>
    <s v="profit"/>
  </r>
  <r>
    <x v="118"/>
    <s v="may"/>
    <s v="Bright Horizon Ventures"/>
    <s v="Electronic"/>
    <x v="6"/>
    <s v="Telangana"/>
    <s v="Male"/>
    <n v="30"/>
    <n v="616"/>
    <n v="804"/>
    <n v="18480"/>
    <n v="24120"/>
    <n v="5640"/>
    <s v="profit"/>
  </r>
  <r>
    <x v="120"/>
    <s v="may"/>
    <s v="Modern Lifestyle Products"/>
    <s v="Electronic"/>
    <x v="6"/>
    <s v="Gujarat"/>
    <s v="Male"/>
    <n v="30"/>
    <n v="709"/>
    <n v="1209"/>
    <n v="21270"/>
    <n v="36270"/>
    <n v="15000"/>
    <s v="profit"/>
  </r>
  <r>
    <x v="121"/>
    <s v="may"/>
    <s v="Nexus Trading Co."/>
    <s v="Electronic"/>
    <x v="6"/>
    <s v="Maharashtra"/>
    <s v="Male"/>
    <n v="23"/>
    <n v="875"/>
    <n v="843"/>
    <n v="20125"/>
    <n v="19389"/>
    <n v="-736"/>
    <s v="loss"/>
  </r>
  <r>
    <x v="122"/>
    <s v="july"/>
    <s v="Radiance Health and Wellness"/>
    <s v="Electronic"/>
    <x v="6"/>
    <s v="Uttar Pradesh"/>
    <s v="Male"/>
    <n v="26"/>
    <n v="766"/>
    <n v="836"/>
    <n v="19916"/>
    <n v="21736"/>
    <n v="1820"/>
    <s v="profit"/>
  </r>
  <r>
    <x v="123"/>
    <s v="july"/>
    <s v="Legacy Auto Works"/>
    <s v="Electronic"/>
    <x v="6"/>
    <s v="Tamil Nadu"/>
    <s v="Male"/>
    <n v="23"/>
    <n v="589"/>
    <n v="982"/>
    <n v="13547"/>
    <n v="22586"/>
    <n v="9039"/>
    <s v="profit"/>
  </r>
  <r>
    <x v="124"/>
    <s v="july"/>
    <s v="Prime Essence Creations"/>
    <s v="Electronic"/>
    <x v="6"/>
    <s v="Tamil Nadu"/>
    <s v="Male"/>
    <n v="24"/>
    <n v="718"/>
    <n v="1218"/>
    <n v="17232"/>
    <n v="29232"/>
    <n v="12000"/>
    <s v="profit"/>
  </r>
  <r>
    <x v="125"/>
    <s v="july"/>
    <s v="Quantum Ventures"/>
    <s v="Electronic"/>
    <x v="6"/>
    <s v="Rajasthan"/>
    <s v="Male"/>
    <n v="22"/>
    <n v="877"/>
    <n v="1120"/>
    <n v="19294"/>
    <n v="24640"/>
    <n v="5346"/>
    <s v="profit"/>
  </r>
  <r>
    <x v="126"/>
    <s v="july"/>
    <s v="Urban Legends Apparel"/>
    <s v="Electronic"/>
    <x v="6"/>
    <s v="Jharkhand"/>
    <s v="Female"/>
    <n v="23"/>
    <n v="641"/>
    <n v="1445"/>
    <n v="14743"/>
    <n v="33235"/>
    <n v="18492"/>
    <s v="profit"/>
  </r>
  <r>
    <x v="127"/>
    <s v="july"/>
    <s v="Pure Bliss Beverages"/>
    <s v="Electronic"/>
    <x v="6"/>
    <s v="Kerala"/>
    <s v="Female"/>
    <n v="30"/>
    <n v="916"/>
    <n v="1497"/>
    <n v="27480"/>
    <n v="44910"/>
    <n v="17430"/>
    <s v="profit"/>
  </r>
  <r>
    <x v="128"/>
    <s v="july"/>
    <s v="Noble Heights Builders"/>
    <s v="Electronic"/>
    <x v="6"/>
    <s v="Maharashtra"/>
    <s v="Female"/>
    <n v="28"/>
    <n v="588"/>
    <n v="784"/>
    <n v="16464"/>
    <n v="21952"/>
    <n v="5488"/>
    <s v="profit"/>
  </r>
  <r>
    <x v="67"/>
    <s v="august"/>
    <s v="Apex Wellness Solutions"/>
    <s v="Fashion "/>
    <x v="7"/>
    <s v="Karnataka"/>
    <s v="Male"/>
    <n v="60"/>
    <n v="642"/>
    <n v="1497"/>
    <n v="38520"/>
    <n v="89820"/>
    <n v="51300"/>
    <s v="profit"/>
  </r>
  <r>
    <x v="130"/>
    <s v="july"/>
    <s v="Radiant Foods"/>
    <s v="Electronic"/>
    <x v="6"/>
    <s v="Himachal Pradesh"/>
    <s v="Female"/>
    <n v="26"/>
    <n v="969"/>
    <n v="1087"/>
    <n v="25194"/>
    <n v="28262"/>
    <n v="3068"/>
    <s v="profit"/>
  </r>
  <r>
    <x v="131"/>
    <s v="july"/>
    <s v="Zenith Financial Services"/>
    <s v="Electronic"/>
    <x v="6"/>
    <s v="Uttarakhand"/>
    <s v="Female"/>
    <n v="25"/>
    <n v="839"/>
    <n v="1233"/>
    <n v="20975"/>
    <n v="30825"/>
    <n v="9850"/>
    <s v="profit"/>
  </r>
  <r>
    <x v="133"/>
    <s v="july"/>
    <s v="Apex Travel Ventures"/>
    <s v="Electronic"/>
    <x v="6"/>
    <s v="Assam"/>
    <s v="Female"/>
    <n v="25"/>
    <n v="536"/>
    <n v="1407"/>
    <n v="13400"/>
    <n v="35175"/>
    <n v="21775"/>
    <s v="profit"/>
  </r>
  <r>
    <x v="134"/>
    <s v="august"/>
    <s v="Future Vision Realty"/>
    <s v="Electronic"/>
    <x v="6"/>
    <s v="Maharashtra"/>
    <s v="Male"/>
    <n v="27"/>
    <n v="966"/>
    <n v="1255"/>
    <n v="26082"/>
    <n v="33885"/>
    <n v="7803"/>
    <s v="profit"/>
  </r>
  <r>
    <x v="68"/>
    <s v="august"/>
    <s v="Radiance Tech Solutions"/>
    <s v="Decor"/>
    <x v="2"/>
    <s v="Gujarat"/>
    <s v="Female"/>
    <n v="20"/>
    <n v="525"/>
    <n v="1122"/>
    <n v="10500"/>
    <n v="22440"/>
    <n v="11940"/>
    <s v="profit"/>
  </r>
  <r>
    <x v="135"/>
    <s v="august"/>
    <s v="Urban Pulse Media"/>
    <s v="Electronic"/>
    <x v="6"/>
    <s v="Chandigarh"/>
    <s v="Male"/>
    <n v="23"/>
    <n v="694"/>
    <n v="1309"/>
    <n v="15962"/>
    <n v="30107"/>
    <n v="14145"/>
    <s v="profit"/>
  </r>
  <r>
    <x v="136"/>
    <s v="august"/>
    <s v="True Essence Health"/>
    <s v="Electronic"/>
    <x v="6"/>
    <s v="Madhya Pradesh"/>
    <s v="Female"/>
    <n v="22"/>
    <n v="749"/>
    <n v="850"/>
    <n v="16478"/>
    <n v="18700"/>
    <n v="2222"/>
    <s v="profit"/>
  </r>
  <r>
    <x v="138"/>
    <s v="august"/>
    <s v="Radiant Vision Realty"/>
    <s v="Electronic"/>
    <x v="6"/>
    <s v="Bihar"/>
    <s v="Male"/>
    <n v="24"/>
    <n v="845"/>
    <n v="1429"/>
    <n v="20280"/>
    <n v="34296"/>
    <n v="14016"/>
    <s v="profit"/>
  </r>
  <r>
    <x v="139"/>
    <s v="august"/>
    <s v="Harmony Consulting Group"/>
    <s v="Electronic"/>
    <x v="6"/>
    <s v="Gujarat"/>
    <s v="Male"/>
    <n v="29"/>
    <n v="872"/>
    <n v="1351"/>
    <n v="25288"/>
    <n v="39179"/>
    <n v="13891"/>
    <s v="profit"/>
  </r>
  <r>
    <x v="141"/>
    <s v="august"/>
    <s v="Zenith Tech Ventures"/>
    <s v="Electronic"/>
    <x v="6"/>
    <s v="Uttar Pradesh"/>
    <s v="Male"/>
    <n v="27"/>
    <n v="674"/>
    <n v="1119"/>
    <n v="18198"/>
    <n v="30213"/>
    <n v="12015"/>
    <s v="profit"/>
  </r>
  <r>
    <x v="142"/>
    <s v="august"/>
    <s v="Stellar Health Services"/>
    <s v="Electronic"/>
    <x v="6"/>
    <s v="Uttar Pradesh"/>
    <s v="Female"/>
    <n v="27"/>
    <n v="583"/>
    <n v="1379"/>
    <n v="15741"/>
    <n v="37233"/>
    <n v="21492"/>
    <s v="profit"/>
  </r>
  <r>
    <x v="143"/>
    <s v="august"/>
    <s v="Pure Path Foods"/>
    <s v="Electronic"/>
    <x v="6"/>
    <s v="Tamil Nadu"/>
    <s v="Female"/>
    <n v="21"/>
    <n v="929"/>
    <n v="910"/>
    <n v="19509"/>
    <n v="19110"/>
    <n v="-399"/>
    <s v="loss"/>
  </r>
  <r>
    <x v="69"/>
    <s v="august"/>
    <s v="Apex Enterprise Solutions"/>
    <s v="Electronic"/>
    <x v="6"/>
    <s v="Andhra Pradesh"/>
    <s v="Male"/>
    <n v="23"/>
    <n v="884"/>
    <n v="1392"/>
    <n v="20332"/>
    <n v="32016"/>
    <n v="11684"/>
    <s v="profit"/>
  </r>
  <r>
    <x v="144"/>
    <s v="august"/>
    <s v="Bright Horizon Realty"/>
    <s v="Electronic"/>
    <x v="6"/>
    <s v="Rajasthan"/>
    <s v="Female"/>
    <n v="28"/>
    <n v="873"/>
    <n v="809"/>
    <n v="24444"/>
    <n v="22652"/>
    <n v="-1792"/>
    <s v="loss"/>
  </r>
  <r>
    <x v="146"/>
    <s v="october"/>
    <s v="Crystal Clear Consulting"/>
    <s v="Electronic"/>
    <x v="8"/>
    <s v="Rajasthan"/>
    <s v="Female"/>
    <n v="21"/>
    <n v="541"/>
    <n v="1339"/>
    <n v="11361"/>
    <n v="28119"/>
    <n v="16758"/>
    <s v="profit"/>
  </r>
  <r>
    <x v="147"/>
    <s v="october"/>
    <s v="Zenith Innovations"/>
    <s v="Electronic"/>
    <x v="8"/>
    <s v="Jharkhand"/>
    <s v="Male"/>
    <n v="22"/>
    <n v="725"/>
    <n v="1268"/>
    <n v="15950"/>
    <n v="27896"/>
    <n v="11946"/>
    <s v="profit"/>
  </r>
  <r>
    <x v="148"/>
    <s v="october"/>
    <s v="True Essence Innovations"/>
    <s v="Electronic"/>
    <x v="3"/>
    <s v="Assam"/>
    <s v="Male"/>
    <n v="21"/>
    <n v="596"/>
    <n v="838"/>
    <n v="12516"/>
    <n v="17598"/>
    <n v="5082"/>
    <s v="profit"/>
  </r>
  <r>
    <x v="150"/>
    <s v="november"/>
    <s v="Pinnacle Media Group"/>
    <s v="Electronic"/>
    <x v="3"/>
    <s v="Punjab"/>
    <s v="Male"/>
    <n v="30"/>
    <n v="910"/>
    <n v="1290"/>
    <n v="27300"/>
    <n v="38700"/>
    <n v="11400"/>
    <s v="profit"/>
  </r>
  <r>
    <x v="70"/>
    <s v="august"/>
    <s v="Prestige Solutions"/>
    <s v="Electronic"/>
    <x v="6"/>
    <s v="Tamil Nadu"/>
    <s v="Female"/>
    <n v="20"/>
    <n v="997"/>
    <n v="784"/>
    <n v="19940"/>
    <n v="15680"/>
    <n v="-4260"/>
    <s v="loss"/>
  </r>
  <r>
    <x v="152"/>
    <s v="november"/>
    <s v="Legacy Design Co."/>
    <s v="Electronic"/>
    <x v="3"/>
    <s v="Chhattisgarh"/>
    <s v="Male"/>
    <n v="25"/>
    <n v="532"/>
    <n v="1358"/>
    <n v="13300"/>
    <n v="33950"/>
    <n v="20650"/>
    <s v="profit"/>
  </r>
  <r>
    <x v="153"/>
    <s v="november"/>
    <s v="Apex Health Products"/>
    <s v="Electronic"/>
    <x v="3"/>
    <s v="West Bengal"/>
    <s v="Female"/>
    <n v="29"/>
    <n v="813"/>
    <n v="1241"/>
    <n v="23577"/>
    <n v="35989"/>
    <n v="12412"/>
    <s v="profit"/>
  </r>
  <r>
    <x v="154"/>
    <s v="november"/>
    <s v="Zenith Travel Ventures"/>
    <s v="Electronic"/>
    <x v="3"/>
    <s v="West Bengal"/>
    <s v="Female"/>
    <n v="28"/>
    <n v="858"/>
    <n v="1127"/>
    <n v="24024"/>
    <n v="31556"/>
    <n v="7532"/>
    <s v="profit"/>
  </r>
  <r>
    <x v="155"/>
    <s v="november"/>
    <s v="Pure Path Consulting"/>
    <s v="Electronic"/>
    <x v="3"/>
    <s v="Madhya Pradesh"/>
    <s v="Female"/>
    <n v="24"/>
    <n v="641"/>
    <n v="1337"/>
    <n v="15384"/>
    <n v="32088"/>
    <n v="16704"/>
    <s v="profit"/>
  </r>
  <r>
    <x v="157"/>
    <s v="november"/>
    <s v="Harmony Educational Group"/>
    <s v="Electronic"/>
    <x v="4"/>
    <s v="Karnataka"/>
    <s v="Male"/>
    <n v="25"/>
    <n v="709"/>
    <n v="1386"/>
    <n v="17725"/>
    <n v="34650"/>
    <n v="16925"/>
    <s v="profit"/>
  </r>
  <r>
    <x v="158"/>
    <s v="november"/>
    <s v="Radiant Design Studio"/>
    <s v="Electronic"/>
    <x v="4"/>
    <s v="Gujarat"/>
    <s v="Male"/>
    <n v="25"/>
    <n v="802"/>
    <n v="1126"/>
    <n v="20050"/>
    <n v="28150"/>
    <n v="8100"/>
    <s v="profit"/>
  </r>
  <r>
    <x v="159"/>
    <s v="november"/>
    <s v="Zenith Health Innovations"/>
    <s v="Electronic"/>
    <x v="4"/>
    <s v="Maharashtra"/>
    <s v="Male"/>
    <n v="23"/>
    <n v="893"/>
    <n v="761"/>
    <n v="20539"/>
    <n v="17503"/>
    <n v="-3036"/>
    <s v="loss"/>
  </r>
  <r>
    <x v="160"/>
    <s v="november"/>
    <s v="Apex Realty Ventures"/>
    <s v="Electronic"/>
    <x v="4"/>
    <s v="Rajasthan"/>
    <s v="Male"/>
    <n v="29"/>
    <n v="852"/>
    <n v="1452"/>
    <n v="24708"/>
    <n v="42108"/>
    <n v="17400"/>
    <s v="profit"/>
  </r>
  <r>
    <x v="71"/>
    <s v="august"/>
    <s v="Urban Wave Solutions"/>
    <s v="Fashion "/>
    <x v="5"/>
    <s v="Punjab"/>
    <s v="Male"/>
    <n v="64"/>
    <n v="580"/>
    <n v="1164"/>
    <n v="37120"/>
    <n v="74496"/>
    <n v="37376"/>
    <s v="profit"/>
  </r>
  <r>
    <x v="161"/>
    <s v="november"/>
    <s v="True Value Ventures"/>
    <s v="Electronic"/>
    <x v="4"/>
    <s v="Uttar Pradesh"/>
    <s v="Female"/>
    <n v="23"/>
    <n v="747"/>
    <n v="1340"/>
    <n v="17181"/>
    <n v="30820"/>
    <n v="13639"/>
    <s v="profit"/>
  </r>
  <r>
    <x v="162"/>
    <s v="november"/>
    <s v="Crystal Clear Designs"/>
    <s v="Electronic"/>
    <x v="4"/>
    <s v="Maharashtra"/>
    <s v="Male"/>
    <n v="26"/>
    <n v="625"/>
    <n v="1298"/>
    <n v="16250"/>
    <n v="33748"/>
    <n v="17498"/>
    <s v="profit"/>
  </r>
  <r>
    <x v="164"/>
    <s v="november"/>
    <s v="Pinnacle Innovations Co."/>
    <s v="Electronic"/>
    <x v="4"/>
    <s v="Madhya Pradesh"/>
    <s v="Male"/>
    <n v="23"/>
    <n v="706"/>
    <n v="988"/>
    <n v="16238"/>
    <n v="22724"/>
    <n v="6486"/>
    <s v="profit"/>
  </r>
  <r>
    <x v="166"/>
    <s v="november"/>
    <s v="Modern Pathways"/>
    <s v="Electronic"/>
    <x v="4"/>
    <s v="Maharashtra"/>
    <s v="Male"/>
    <n v="28"/>
    <n v="858"/>
    <n v="1113"/>
    <n v="24024"/>
    <n v="31164"/>
    <n v="7140"/>
    <s v="profit"/>
  </r>
  <r>
    <x v="72"/>
    <s v="september"/>
    <s v="Visionary Realty Solutions"/>
    <s v="Fashion "/>
    <x v="7"/>
    <s v="Jharkhand"/>
    <s v="Female"/>
    <n v="52"/>
    <n v="893"/>
    <n v="1055"/>
    <n v="46436"/>
    <n v="54860"/>
    <n v="8424"/>
    <s v="profit"/>
  </r>
  <r>
    <x v="168"/>
    <s v="november"/>
    <s v="Stellar Finance Co."/>
    <s v="Electronic"/>
    <x v="4"/>
    <s v="Chandigarh"/>
    <s v="Male"/>
    <n v="24"/>
    <n v="736"/>
    <n v="1406"/>
    <n v="17664"/>
    <n v="33744"/>
    <n v="16080"/>
    <s v="profit"/>
  </r>
  <r>
    <x v="169"/>
    <s v="november"/>
    <s v="Radiant Spectrum Group"/>
    <s v="Electronic"/>
    <x v="4"/>
    <s v="Madhya Pradesh"/>
    <s v="Male"/>
    <n v="20"/>
    <n v="599"/>
    <n v="1023"/>
    <n v="11980"/>
    <n v="20460"/>
    <n v="8480"/>
    <s v="profit"/>
  </r>
  <r>
    <x v="170"/>
    <s v="november"/>
    <s v="Harmony Design Ventures"/>
    <s v="Electronic"/>
    <x v="4"/>
    <s v="Andhra Pradesh"/>
    <s v="Female"/>
    <n v="22"/>
    <n v="524"/>
    <n v="1147"/>
    <n v="11528"/>
    <n v="25234"/>
    <n v="13706"/>
    <s v="profit"/>
  </r>
  <r>
    <x v="171"/>
    <s v="november"/>
    <s v="Elite Edge Products"/>
    <s v="Electronic"/>
    <x v="4"/>
    <s v="Bihar"/>
    <s v="Female"/>
    <n v="27"/>
    <n v="744"/>
    <n v="1253"/>
    <n v="20088"/>
    <n v="33831"/>
    <n v="13743"/>
    <s v="profit"/>
  </r>
  <r>
    <x v="172"/>
    <s v="november"/>
    <s v="Zenith Consulting Co."/>
    <s v="Electronic"/>
    <x v="6"/>
    <s v="Gujarat"/>
    <s v="Female"/>
    <n v="27"/>
    <n v="826"/>
    <n v="917"/>
    <n v="22302"/>
    <n v="24759"/>
    <n v="2457"/>
    <s v="profit"/>
  </r>
  <r>
    <x v="173"/>
    <s v="november"/>
    <s v="Apex Wellness Products"/>
    <s v="Electronic"/>
    <x v="6"/>
    <s v="Uttar Pradesh"/>
    <s v="Female"/>
    <n v="27"/>
    <n v="573"/>
    <n v="1266"/>
    <n v="15471"/>
    <n v="34182"/>
    <n v="18711"/>
    <s v="profit"/>
  </r>
  <r>
    <x v="175"/>
    <s v="december"/>
    <s v="Pure Harmony Innovations"/>
    <s v="Electronic"/>
    <x v="6"/>
    <s v="Tamil Nadu"/>
    <s v="Female"/>
    <n v="28"/>
    <n v="798"/>
    <n v="1131"/>
    <n v="22344"/>
    <n v="31668"/>
    <n v="9324"/>
    <s v="profit"/>
  </r>
  <r>
    <x v="176"/>
    <s v="december"/>
    <s v="Legacy Media Group"/>
    <s v="Electronic"/>
    <x v="6"/>
    <s v="Tamil Nadu"/>
    <s v="Female"/>
    <n v="25"/>
    <n v="982"/>
    <n v="1479"/>
    <n v="24550"/>
    <n v="36975"/>
    <n v="12425"/>
    <s v="profit"/>
  </r>
  <r>
    <x v="73"/>
    <s v="september"/>
    <s v="Pure Essence Solutions"/>
    <s v="Decor"/>
    <x v="2"/>
    <s v="Gujarat"/>
    <s v="Female"/>
    <n v="19"/>
    <n v="938"/>
    <n v="1348"/>
    <n v="17822"/>
    <n v="25612"/>
    <n v="7790"/>
    <s v="profit"/>
  </r>
  <r>
    <x v="177"/>
    <s v="december"/>
    <s v="Horizon Tech Innovations"/>
    <s v="Electronic"/>
    <x v="6"/>
    <s v="Uttar Pradesh"/>
    <s v="Male"/>
    <n v="29"/>
    <n v="841"/>
    <n v="854"/>
    <n v="24389"/>
    <n v="24766"/>
    <n v="377"/>
    <s v="profit"/>
  </r>
  <r>
    <x v="178"/>
    <s v="december"/>
    <s v="Crystal Spectrum Consulting"/>
    <s v="Electronic"/>
    <x v="6"/>
    <s v="Jharkhand"/>
    <s v="Male"/>
    <n v="21"/>
    <n v="691"/>
    <n v="1142"/>
    <n v="14511"/>
    <n v="23982"/>
    <n v="9471"/>
    <s v="profit"/>
  </r>
  <r>
    <x v="179"/>
    <s v="december"/>
    <s v="Stellar Creative Co."/>
    <s v="Electronic"/>
    <x v="6"/>
    <s v="Kerala"/>
    <s v="Male"/>
    <n v="24"/>
    <n v="526"/>
    <n v="808"/>
    <n v="12624"/>
    <n v="19392"/>
    <n v="6768"/>
    <s v="profit"/>
  </r>
  <r>
    <x v="181"/>
    <s v="december"/>
    <s v="Radiance Media Ventures"/>
    <s v="Electronic"/>
    <x v="6"/>
    <s v="Maharashtra"/>
    <s v="Female"/>
    <n v="29"/>
    <n v="932"/>
    <n v="1316"/>
    <n v="27028"/>
    <n v="38164"/>
    <n v="11136"/>
    <s v="profit"/>
  </r>
  <r>
    <x v="74"/>
    <s v="september"/>
    <s v="Crystal Health Solutions"/>
    <s v="Decor"/>
    <x v="2"/>
    <s v="Uttar Pradesh"/>
    <s v="Male"/>
    <n v="17"/>
    <n v="614"/>
    <n v="1273"/>
    <n v="10438"/>
    <n v="21641"/>
    <n v="11203"/>
    <s v="profit"/>
  </r>
  <r>
    <x v="182"/>
    <s v="december"/>
    <s v="Zenith Edge Services"/>
    <s v="Electronic"/>
    <x v="6"/>
    <s v="Uttarakhand"/>
    <s v="Male"/>
    <n v="22"/>
    <n v="603"/>
    <n v="794"/>
    <n v="13266"/>
    <n v="17468"/>
    <n v="4202"/>
    <s v="profit"/>
  </r>
  <r>
    <x v="183"/>
    <s v="february"/>
    <s v="Stellar Consulting Services"/>
    <s v="Electronic"/>
    <x v="6"/>
    <s v="Maharashtra"/>
    <s v="Female"/>
    <n v="30"/>
    <n v="946"/>
    <n v="1109"/>
    <n v="28380"/>
    <n v="33270"/>
    <n v="4890"/>
    <s v="profit"/>
  </r>
  <r>
    <x v="184"/>
    <s v="february"/>
    <s v="Radiant Ventures"/>
    <s v="Electronic"/>
    <x v="6"/>
    <s v="Himachal Pradesh"/>
    <s v="Female"/>
    <n v="24"/>
    <n v="580"/>
    <n v="809"/>
    <n v="13920"/>
    <n v="19416"/>
    <n v="5496"/>
    <s v="profit"/>
  </r>
  <r>
    <x v="185"/>
    <s v="february"/>
    <s v="Harmony Tech Co."/>
    <s v="Electronic"/>
    <x v="6"/>
    <s v="Uttarakhand"/>
    <s v="Female"/>
    <n v="30"/>
    <n v="732"/>
    <n v="944"/>
    <n v="21960"/>
    <n v="28320"/>
    <n v="6360"/>
    <s v="profit"/>
  </r>
  <r>
    <x v="187"/>
    <s v="february"/>
    <s v="Zenith Creative Ventures"/>
    <s v="Electronic"/>
    <x v="6"/>
    <s v="Assam"/>
    <s v="Male"/>
    <n v="20"/>
    <n v="552"/>
    <n v="1261"/>
    <n v="11040"/>
    <n v="25220"/>
    <n v="14180"/>
    <s v="profit"/>
  </r>
  <r>
    <x v="188"/>
    <s v="february"/>
    <s v="Apex Health Services"/>
    <s v="Electronic"/>
    <x v="6"/>
    <s v="Punjab"/>
    <s v="Male"/>
    <n v="21"/>
    <n v="876"/>
    <n v="1452"/>
    <n v="18396"/>
    <n v="30492"/>
    <n v="12096"/>
    <s v="profit"/>
  </r>
  <r>
    <x v="189"/>
    <s v="february"/>
    <s v="Pure Vision Media"/>
    <s v="Electronic"/>
    <x v="6"/>
    <s v="Chhattisgarh"/>
    <s v="Male"/>
    <n v="27"/>
    <n v="636"/>
    <n v="1284"/>
    <n v="17172"/>
    <n v="34668"/>
    <n v="17496"/>
    <s v="profit"/>
  </r>
  <r>
    <x v="191"/>
    <s v="february"/>
    <s v="Legacy Innovations Group"/>
    <s v="Electronic"/>
    <x v="6"/>
    <s v="West Bengal"/>
    <s v="Male"/>
    <n v="21"/>
    <n v="974"/>
    <n v="1363"/>
    <n v="20454"/>
    <n v="28623"/>
    <n v="8169"/>
    <s v="profit"/>
  </r>
  <r>
    <x v="75"/>
    <s v="september"/>
    <s v="Stellar Travel Solutions"/>
    <s v="Decor"/>
    <x v="0"/>
    <s v="Uttar Pradesh"/>
    <s v="Female"/>
    <n v="10"/>
    <n v="572"/>
    <n v="801"/>
    <n v="5720"/>
    <n v="8010"/>
    <n v="2290"/>
    <s v="profit"/>
  </r>
  <r>
    <x v="192"/>
    <s v="february"/>
    <s v="Pinnacle Consulting Co."/>
    <s v="Electronic"/>
    <x v="6"/>
    <s v="West Bengal"/>
    <s v="Male"/>
    <n v="30"/>
    <n v="518"/>
    <n v="858"/>
    <n v="15540"/>
    <n v="25740"/>
    <n v="10200"/>
    <s v="profit"/>
  </r>
  <r>
    <x v="76"/>
    <s v="september"/>
    <s v="Pure Harmony Solutions"/>
    <s v="Decor"/>
    <x v="0"/>
    <s v="Tamil Nadu"/>
    <s v="Female"/>
    <n v="12"/>
    <n v="674"/>
    <n v="1265"/>
    <n v="8088"/>
    <n v="15180"/>
    <n v="7092"/>
    <s v="profit"/>
  </r>
  <r>
    <x v="193"/>
    <s v="february"/>
    <s v="Stellar Finance Group"/>
    <s v="Electronic"/>
    <x v="6"/>
    <s v="Madhya Pradesh"/>
    <s v="Female"/>
    <n v="21"/>
    <n v="531"/>
    <n v="955"/>
    <n v="11151"/>
    <n v="20055"/>
    <n v="8904"/>
    <s v="profit"/>
  </r>
  <r>
    <x v="194"/>
    <s v="february"/>
    <s v="Harmony Ventures Group"/>
    <s v="Electronic"/>
    <x v="6"/>
    <s v="Gujarat"/>
    <s v="Female"/>
    <n v="26"/>
    <n v="842"/>
    <n v="1074"/>
    <n v="21892"/>
    <n v="27924"/>
    <n v="6032"/>
    <s v="profit"/>
  </r>
  <r>
    <x v="198"/>
    <s v="april"/>
    <s v="Golden Horizon Ventures"/>
    <s v="Fashion "/>
    <x v="1"/>
    <s v="Karnataka"/>
    <s v="Male"/>
    <n v="95"/>
    <n v="936"/>
    <n v="1350"/>
    <n v="88920"/>
    <n v="128250"/>
    <n v="39330"/>
    <s v="profit"/>
  </r>
  <r>
    <x v="199"/>
    <s v="april"/>
    <s v="Eternal Traditions"/>
    <s v="Fashion "/>
    <x v="1"/>
    <s v="Telangana"/>
    <s v="Male"/>
    <n v="84"/>
    <n v="784"/>
    <n v="965"/>
    <n v="65856"/>
    <n v="81060"/>
    <n v="15204"/>
    <s v="profit"/>
  </r>
  <r>
    <x v="200"/>
    <s v="april"/>
    <s v="Harmony Foods"/>
    <s v="Fashion "/>
    <x v="1"/>
    <s v="Maharashtra"/>
    <s v="Male"/>
    <n v="51"/>
    <n v="847"/>
    <n v="972"/>
    <n v="43197"/>
    <n v="49572"/>
    <n v="6375"/>
    <s v="profit"/>
  </r>
  <r>
    <x v="77"/>
    <s v="october"/>
    <s v="Modern Spectrum Solutions"/>
    <s v="Fashion "/>
    <x v="5"/>
    <s v="Maharashtra"/>
    <s v="Female"/>
    <n v="52"/>
    <n v="546"/>
    <n v="1482"/>
    <n v="28392"/>
    <n v="77064"/>
    <n v="48672"/>
    <s v="profit"/>
  </r>
  <r>
    <x v="201"/>
    <s v="april"/>
    <s v="Sacred Roots Apparel"/>
    <s v="Fashion "/>
    <x v="9"/>
    <s v="Maharashtra"/>
    <s v="Female"/>
    <n v="68"/>
    <n v="534"/>
    <n v="1085"/>
    <n v="36312"/>
    <n v="73780"/>
    <n v="37468"/>
    <s v="profit"/>
  </r>
  <r>
    <x v="202"/>
    <s v="april"/>
    <s v="Quantum Finance Services"/>
    <s v="Fashion "/>
    <x v="9"/>
    <s v="Chandigarh"/>
    <s v="Female"/>
    <n v="68"/>
    <n v="575"/>
    <n v="1242"/>
    <n v="39100"/>
    <n v="84456"/>
    <n v="45356"/>
    <s v="profit"/>
  </r>
  <r>
    <x v="203"/>
    <s v="april"/>
    <s v="Brilliant Minds Academy"/>
    <s v="Fashion "/>
    <x v="9"/>
    <s v="Madhya Pradesh"/>
    <s v="Female"/>
    <n v="79"/>
    <n v="537"/>
    <n v="850"/>
    <n v="42423"/>
    <n v="67150"/>
    <n v="24727"/>
    <s v="profit"/>
  </r>
  <r>
    <x v="204"/>
    <s v="april"/>
    <s v="Visionary Holdings"/>
    <s v="Fashion "/>
    <x v="9"/>
    <s v="Andhra Pradesh"/>
    <s v="Female"/>
    <n v="65"/>
    <n v="935"/>
    <n v="752"/>
    <n v="60775"/>
    <n v="48880"/>
    <n v="-11895"/>
    <s v="loss"/>
  </r>
  <r>
    <x v="205"/>
    <s v="april"/>
    <s v="Stellar Design Studio"/>
    <s v="Fashion "/>
    <x v="9"/>
    <s v="Bihar"/>
    <s v="Female"/>
    <n v="66"/>
    <n v="709"/>
    <n v="1021"/>
    <n v="46794"/>
    <n v="67386"/>
    <n v="20592"/>
    <s v="profit"/>
  </r>
  <r>
    <x v="206"/>
    <s v="april"/>
    <s v="Classic Cuisines"/>
    <s v="Fashion "/>
    <x v="9"/>
    <s v="Gujarat"/>
    <s v="Male"/>
    <n v="70"/>
    <n v="751"/>
    <n v="1485"/>
    <n v="52570"/>
    <n v="103950"/>
    <n v="51380"/>
    <s v="profit"/>
  </r>
  <r>
    <x v="81"/>
    <s v="october"/>
    <s v="Apex Creative Solutions"/>
    <s v="Fashion "/>
    <x v="7"/>
    <s v="West Bengal"/>
    <s v="Male"/>
    <n v="86"/>
    <n v="717"/>
    <n v="1445"/>
    <n v="61662"/>
    <n v="124270"/>
    <n v="62608"/>
    <s v="profit"/>
  </r>
  <r>
    <x v="207"/>
    <s v="april"/>
    <s v="Bold Ventures"/>
    <s v="Fashion "/>
    <x v="9"/>
    <s v="Uttar Pradesh"/>
    <s v="Male"/>
    <n v="75"/>
    <n v="686"/>
    <n v="1254"/>
    <n v="51450"/>
    <n v="94050"/>
    <n v="42600"/>
    <s v="profit"/>
  </r>
  <r>
    <x v="208"/>
    <s v="may"/>
    <s v="Radiance Spa"/>
    <s v="Fashion "/>
    <x v="5"/>
    <s v="Rajasthan"/>
    <s v="Male"/>
    <n v="91"/>
    <n v="518"/>
    <n v="1465"/>
    <n v="47138"/>
    <n v="133315"/>
    <n v="86177"/>
    <s v="profit"/>
  </r>
  <r>
    <x v="209"/>
    <s v="may"/>
    <s v="Verve Fitness Studio"/>
    <s v="Fashion "/>
    <x v="5"/>
    <s v="Uttar Pradesh"/>
    <s v="Female"/>
    <n v="96"/>
    <n v="791"/>
    <n v="931"/>
    <n v="75936"/>
    <n v="89376"/>
    <n v="13440"/>
    <s v="profit"/>
  </r>
  <r>
    <x v="210"/>
    <s v="may"/>
    <s v="Sparkle Cleaners"/>
    <s v="Fashion "/>
    <x v="5"/>
    <s v="Uttar Pradesh"/>
    <s v="Female"/>
    <n v="69"/>
    <n v="864"/>
    <n v="935"/>
    <n v="59616"/>
    <n v="64515"/>
    <n v="4899"/>
    <s v="profit"/>
  </r>
  <r>
    <x v="86"/>
    <s v="october"/>
    <s v="Radiance Solutions Group"/>
    <s v="Decor"/>
    <x v="2"/>
    <s v="Bihar"/>
    <s v="Female"/>
    <n v="20"/>
    <n v="784"/>
    <n v="1320"/>
    <n v="15680"/>
    <n v="26400"/>
    <n v="10720"/>
    <s v="profit"/>
  </r>
  <r>
    <x v="211"/>
    <s v="may"/>
    <s v="Global Reach Logistics"/>
    <s v="Fashion "/>
    <x v="5"/>
    <s v="Maharashtra"/>
    <s v="Female"/>
    <n v="55"/>
    <n v="782"/>
    <n v="1335"/>
    <n v="43010"/>
    <n v="73425"/>
    <n v="30415"/>
    <s v="profit"/>
  </r>
  <r>
    <x v="212"/>
    <s v="may"/>
    <s v="Noble Path Finance"/>
    <s v="Fashion "/>
    <x v="5"/>
    <s v="Madhya Pradesh"/>
    <s v="Female"/>
    <n v="71"/>
    <n v="653"/>
    <n v="963"/>
    <n v="46363"/>
    <n v="68373"/>
    <n v="22010"/>
    <s v="profit"/>
  </r>
  <r>
    <x v="89"/>
    <s v="october"/>
    <s v="Modern Edge Solutions"/>
    <s v="Decor"/>
    <x v="2"/>
    <s v="Uttar Pradesh"/>
    <s v="Female"/>
    <n v="19"/>
    <n v="664"/>
    <n v="1091"/>
    <n v="12616"/>
    <n v="20729"/>
    <n v="8113"/>
    <s v="profit"/>
  </r>
  <r>
    <x v="213"/>
    <s v="may"/>
    <s v="Dynamic Events Management"/>
    <s v="Fashion "/>
    <x v="5"/>
    <s v="Maharashtra"/>
    <s v="Female"/>
    <n v="88"/>
    <n v="959"/>
    <n v="985"/>
    <n v="84392"/>
    <n v="86680"/>
    <n v="2288"/>
    <s v="profit"/>
  </r>
  <r>
    <x v="91"/>
    <s v="october"/>
    <s v="Horizon Health Solutions"/>
    <s v="Electronic"/>
    <x v="3"/>
    <s v="Tamil Nadu"/>
    <s v="Female"/>
    <n v="26"/>
    <n v="674"/>
    <n v="857"/>
    <n v="17524"/>
    <n v="22282"/>
    <n v="4758"/>
    <s v="profit"/>
  </r>
  <r>
    <x v="214"/>
    <s v="may"/>
    <s v="Crystal Waters Resort"/>
    <s v="Fashion "/>
    <x v="5"/>
    <s v="Chandigarh"/>
    <s v="Female"/>
    <n v="72"/>
    <n v="805"/>
    <n v="826"/>
    <n v="57960"/>
    <n v="59472"/>
    <n v="1512"/>
    <s v="profit"/>
  </r>
  <r>
    <x v="93"/>
    <s v="october"/>
    <s v="Apex Marketing Solutions"/>
    <s v="Electronic"/>
    <x v="8"/>
    <s v="Uttar Pradesh"/>
    <s v="Male"/>
    <n v="29"/>
    <n v="774"/>
    <n v="793"/>
    <n v="22446"/>
    <n v="22997"/>
    <n v="551"/>
    <s v="profit"/>
  </r>
  <r>
    <x v="215"/>
    <s v="may"/>
    <s v="Excellence Tutors"/>
    <s v="Fashion "/>
    <x v="5"/>
    <s v="Madhya Pradesh"/>
    <s v="Female"/>
    <n v="53"/>
    <n v="665"/>
    <n v="1206"/>
    <n v="35245"/>
    <n v="63918"/>
    <n v="28673"/>
    <s v="profit"/>
  </r>
  <r>
    <x v="216"/>
    <s v="may"/>
    <s v="Horizon Builders"/>
    <s v="Fashion "/>
    <x v="5"/>
    <s v="Andhra Pradesh"/>
    <s v="Male"/>
    <n v="88"/>
    <n v="607"/>
    <n v="1268"/>
    <n v="53416"/>
    <n v="111584"/>
    <n v="58168"/>
    <s v="profit"/>
  </r>
  <r>
    <x v="217"/>
    <s v="may"/>
    <s v="Classic Heritage Crafts"/>
    <s v="Fashion "/>
    <x v="5"/>
    <s v="Gujarat"/>
    <s v="Male"/>
    <n v="99"/>
    <n v="657"/>
    <n v="1033"/>
    <n v="65043"/>
    <n v="102267"/>
    <n v="37224"/>
    <s v="profit"/>
  </r>
  <r>
    <x v="218"/>
    <s v="may"/>
    <s v="Prime Focus Media"/>
    <s v="Fashion "/>
    <x v="7"/>
    <s v="Uttar Pradesh"/>
    <s v="Male"/>
    <n v="88"/>
    <n v="977"/>
    <n v="1402"/>
    <n v="85976"/>
    <n v="123376"/>
    <n v="37400"/>
    <s v="profit"/>
  </r>
  <r>
    <x v="219"/>
    <s v="june"/>
    <s v="Noble Nutraceuticals"/>
    <s v="Fashion "/>
    <x v="7"/>
    <s v="Uttar Pradesh"/>
    <s v="Female"/>
    <n v="81"/>
    <n v="528"/>
    <n v="872"/>
    <n v="42768"/>
    <n v="70632"/>
    <n v="27864"/>
    <s v="profit"/>
  </r>
  <r>
    <x v="220"/>
    <s v="june"/>
    <s v="Supreme Travel Agency"/>
    <s v="Fashion "/>
    <x v="7"/>
    <s v="Tamil Nadu"/>
    <s v="Male"/>
    <n v="74"/>
    <n v="870"/>
    <n v="1490"/>
    <n v="64380"/>
    <n v="110260"/>
    <n v="45880"/>
    <s v="profit"/>
  </r>
  <r>
    <x v="221"/>
    <s v="june"/>
    <s v="Future Vision Tech"/>
    <s v="Fashion "/>
    <x v="7"/>
    <s v="Tamil Nadu"/>
    <s v="Male"/>
    <n v="83"/>
    <n v="655"/>
    <n v="1422"/>
    <n v="54365"/>
    <n v="118026"/>
    <n v="63661"/>
    <s v="profit"/>
  </r>
  <r>
    <x v="222"/>
    <s v="june"/>
    <s v="Urban Groove Apparel"/>
    <s v="Fashion "/>
    <x v="7"/>
    <s v="Rajasthan"/>
    <s v="Male"/>
    <n v="99"/>
    <n v="649"/>
    <n v="1415"/>
    <n v="64251"/>
    <n v="140085"/>
    <n v="75834"/>
    <s v="profit"/>
  </r>
  <r>
    <x v="223"/>
    <s v="june"/>
    <s v="Echo Real Estate"/>
    <s v="Fashion "/>
    <x v="7"/>
    <s v="Uttar Pradesh"/>
    <s v="Male"/>
    <n v="97"/>
    <n v="917"/>
    <n v="844"/>
    <n v="88949"/>
    <n v="81868"/>
    <n v="-7081"/>
    <s v="loss"/>
  </r>
  <r>
    <x v="224"/>
    <s v="june"/>
    <s v="Pinnacle Health Products"/>
    <s v="Fashion "/>
    <x v="7"/>
    <s v="Jharkhand"/>
    <s v="Female"/>
    <n v="57"/>
    <n v="793"/>
    <n v="761"/>
    <n v="45201"/>
    <n v="43377"/>
    <n v="-1824"/>
    <s v="loss"/>
  </r>
  <r>
    <x v="225"/>
    <s v="june"/>
    <s v="Apex Auto Care"/>
    <s v="Fashion "/>
    <x v="7"/>
    <s v="Kerala"/>
    <s v="Female"/>
    <n v="84"/>
    <n v="931"/>
    <n v="1475"/>
    <n v="78204"/>
    <n v="123900"/>
    <n v="45696"/>
    <s v="profit"/>
  </r>
  <r>
    <x v="105"/>
    <s v="november"/>
    <s v="Radiance Solutions Co."/>
    <s v="Fashion "/>
    <x v="9"/>
    <s v="Jharkhand"/>
    <s v="Female"/>
    <n v="74"/>
    <n v="714"/>
    <n v="1148"/>
    <n v="52836"/>
    <n v="84952"/>
    <n v="32116"/>
    <s v="profit"/>
  </r>
  <r>
    <x v="226"/>
    <s v="june"/>
    <s v="Royal Glow Cosmetics"/>
    <s v="Fashion "/>
    <x v="7"/>
    <s v="Maharashtra"/>
    <s v="Female"/>
    <n v="76"/>
    <n v="901"/>
    <n v="1471"/>
    <n v="68476"/>
    <n v="111796"/>
    <n v="43320"/>
    <s v="profit"/>
  </r>
  <r>
    <x v="227"/>
    <s v="june"/>
    <s v="Zenith Culinary Arts"/>
    <s v="Fashion "/>
    <x v="7"/>
    <s v="Himachal Pradesh"/>
    <s v="Female"/>
    <n v="93"/>
    <n v="658"/>
    <n v="1303"/>
    <n v="61194"/>
    <n v="121179"/>
    <n v="59985"/>
    <s v="profit"/>
  </r>
  <r>
    <x v="108"/>
    <s v="november"/>
    <s v="Horizon Creative Solutions"/>
    <s v="Fashion "/>
    <x v="9"/>
    <s v="Delhi"/>
    <s v="Female"/>
    <n v="73"/>
    <n v="957"/>
    <n v="814"/>
    <n v="69861"/>
    <n v="59422"/>
    <n v="-10439"/>
    <s v="loss"/>
  </r>
  <r>
    <x v="228"/>
    <s v="june"/>
    <s v="Visionary Tours"/>
    <s v="Fashion "/>
    <x v="7"/>
    <s v="Uttarakhand"/>
    <s v="Female"/>
    <n v="68"/>
    <n v="651"/>
    <n v="1061"/>
    <n v="44268"/>
    <n v="72148"/>
    <n v="27880"/>
    <s v="profit"/>
  </r>
  <r>
    <x v="229"/>
    <s v="june"/>
    <s v="Elite Essence Products"/>
    <s v="Fashion "/>
    <x v="5"/>
    <s v="West Bengal"/>
    <s v="Male"/>
    <n v="98"/>
    <n v="596"/>
    <n v="1155"/>
    <n v="58408"/>
    <n v="113190"/>
    <n v="54782"/>
    <s v="profit"/>
  </r>
  <r>
    <x v="230"/>
    <s v="june"/>
    <s v="Dynamic Creations"/>
    <s v="Fashion "/>
    <x v="5"/>
    <s v="Karnataka"/>
    <s v="Male"/>
    <n v="84"/>
    <n v="911"/>
    <n v="1370"/>
    <n v="76524"/>
    <n v="115080"/>
    <n v="38556"/>
    <s v="profit"/>
  </r>
  <r>
    <x v="231"/>
    <s v="june"/>
    <s v="Quantum Design Studio"/>
    <s v="Fashion "/>
    <x v="5"/>
    <s v="Delhi"/>
    <s v="Male"/>
    <n v="81"/>
    <n v="702"/>
    <n v="1494"/>
    <n v="56862"/>
    <n v="121014"/>
    <n v="64152"/>
    <s v="profit"/>
  </r>
  <r>
    <x v="113"/>
    <s v="november"/>
    <s v="Urban Spectrum Solutions"/>
    <s v="Electronic"/>
    <x v="4"/>
    <s v="Telangana"/>
    <s v="Male"/>
    <n v="24"/>
    <n v="553"/>
    <n v="964"/>
    <n v="13272"/>
    <n v="23136"/>
    <n v="9864"/>
    <s v="profit"/>
  </r>
  <r>
    <x v="232"/>
    <s v="june"/>
    <s v="Apex Construction"/>
    <s v="Fashion "/>
    <x v="5"/>
    <s v="West Bengal"/>
    <s v="Female"/>
    <n v="58"/>
    <n v="510"/>
    <n v="1456"/>
    <n v="29580"/>
    <n v="84448"/>
    <n v="54868"/>
    <s v="profit"/>
  </r>
  <r>
    <x v="233"/>
    <s v="june"/>
    <s v="Legacy Innovations"/>
    <s v="Fashion "/>
    <x v="7"/>
    <s v="Tamil Nadu"/>
    <s v="Female"/>
    <n v="59"/>
    <n v="506"/>
    <n v="1498"/>
    <n v="29854"/>
    <n v="88382"/>
    <n v="58528"/>
    <s v="profit"/>
  </r>
  <r>
    <x v="234"/>
    <s v="june"/>
    <s v="Pure Harmony Foods"/>
    <s v="Fashion "/>
    <x v="7"/>
    <s v="Karnataka"/>
    <s v="Male"/>
    <n v="51"/>
    <n v="868"/>
    <n v="938"/>
    <n v="44268"/>
    <n v="47838"/>
    <n v="3570"/>
    <s v="profit"/>
  </r>
  <r>
    <x v="117"/>
    <s v="november"/>
    <s v="Legacy Wellness Solutions"/>
    <s v="Electronic"/>
    <x v="4"/>
    <s v="Gujarat"/>
    <s v="Female"/>
    <n v="22"/>
    <n v="688"/>
    <n v="985"/>
    <n v="15136"/>
    <n v="21670"/>
    <n v="6534"/>
    <s v="profit"/>
  </r>
  <r>
    <x v="235"/>
    <s v="june"/>
    <s v="Zenith Security Systems"/>
    <s v="Fashion "/>
    <x v="7"/>
    <s v="Telangana"/>
    <s v="Male"/>
    <n v="76"/>
    <n v="602"/>
    <n v="1356"/>
    <n v="45752"/>
    <n v="103056"/>
    <n v="57304"/>
    <s v="profit"/>
  </r>
  <r>
    <x v="119"/>
    <s v="november"/>
    <s v="Horizon Media Solutions"/>
    <s v="Electronic"/>
    <x v="4"/>
    <s v="Uttar Pradesh"/>
    <s v="Female"/>
    <n v="27"/>
    <n v="933"/>
    <n v="983"/>
    <n v="25191"/>
    <n v="26541"/>
    <n v="1350"/>
    <s v="profit"/>
  </r>
  <r>
    <x v="236"/>
    <s v="june"/>
    <s v="Crystal Clear Beverages"/>
    <s v="Fashion "/>
    <x v="7"/>
    <s v="Gujarat"/>
    <s v="Male"/>
    <n v="55"/>
    <n v="928"/>
    <n v="1264"/>
    <n v="51040"/>
    <n v="69520"/>
    <n v="18480"/>
    <s v="profit"/>
  </r>
  <r>
    <x v="237"/>
    <s v="june"/>
    <s v="Metro Line Tech"/>
    <s v="Fashion "/>
    <x v="7"/>
    <s v="Maharashtra"/>
    <s v="Male"/>
    <n v="74"/>
    <n v="758"/>
    <n v="765"/>
    <n v="56092"/>
    <n v="56610"/>
    <n v="518"/>
    <s v="profit"/>
  </r>
  <r>
    <x v="238"/>
    <s v="june"/>
    <s v="Urban Pulse Consulting"/>
    <s v="Fashion "/>
    <x v="7"/>
    <s v="Rajasthan"/>
    <s v="Male"/>
    <n v="88"/>
    <n v="566"/>
    <n v="1093"/>
    <n v="49808"/>
    <n v="96184"/>
    <n v="46376"/>
    <s v="profit"/>
  </r>
  <r>
    <x v="239"/>
    <s v="july"/>
    <s v="Legacy Design Group"/>
    <s v="Fashion "/>
    <x v="5"/>
    <s v="Punjab"/>
    <s v="Female"/>
    <n v="58"/>
    <n v="898"/>
    <n v="1068"/>
    <n v="52084"/>
    <n v="61944"/>
    <n v="9860"/>
    <s v="profit"/>
  </r>
  <r>
    <x v="240"/>
    <s v="july"/>
    <s v="Supreme Wellness"/>
    <s v="Fashion "/>
    <x v="5"/>
    <s v="Chhattisgarh"/>
    <s v="Female"/>
    <n v="83"/>
    <n v="943"/>
    <n v="867"/>
    <n v="78269"/>
    <n v="71961"/>
    <n v="-6308"/>
    <s v="loss"/>
  </r>
  <r>
    <x v="241"/>
    <s v="july"/>
    <s v="Harmony Tech Innovations"/>
    <s v="Fashion "/>
    <x v="5"/>
    <s v="West Bengal"/>
    <s v="Female"/>
    <n v="85"/>
    <n v="641"/>
    <n v="892"/>
    <n v="54485"/>
    <n v="75820"/>
    <n v="21335"/>
    <s v="profit"/>
  </r>
  <r>
    <x v="242"/>
    <s v="july"/>
    <s v="Stellar Education Services"/>
    <s v="Fashion "/>
    <x v="5"/>
    <s v="West Bengal"/>
    <s v="Female"/>
    <n v="57"/>
    <n v="784"/>
    <n v="859"/>
    <n v="44688"/>
    <n v="48963"/>
    <n v="4275"/>
    <s v="profit"/>
  </r>
  <r>
    <x v="243"/>
    <s v="july"/>
    <s v="Visionary Health Products"/>
    <s v="Fashion "/>
    <x v="5"/>
    <s v="Madhya Pradesh"/>
    <s v="Female"/>
    <n v="98"/>
    <n v="579"/>
    <n v="1046"/>
    <n v="56742"/>
    <n v="102508"/>
    <n v="45766"/>
    <s v="profit"/>
  </r>
  <r>
    <x v="244"/>
    <s v="july"/>
    <s v="Crystal Innovations"/>
    <s v="Fashion "/>
    <x v="5"/>
    <s v="Jharkhand"/>
    <s v="Female"/>
    <n v="98"/>
    <n v="605"/>
    <n v="1155"/>
    <n v="59290"/>
    <n v="113190"/>
    <n v="53900"/>
    <s v="profit"/>
  </r>
  <r>
    <x v="129"/>
    <s v="november"/>
    <s v="Urban Vision Solutions"/>
    <s v="Electronic"/>
    <x v="6"/>
    <s v="Uttar Pradesh"/>
    <s v="Female"/>
    <n v="20"/>
    <n v="989"/>
    <n v="1298"/>
    <n v="19780"/>
    <n v="25960"/>
    <n v="6180"/>
    <s v="profit"/>
  </r>
  <r>
    <x v="245"/>
    <s v="july"/>
    <s v="Future Trends Retail"/>
    <s v="Fashion "/>
    <x v="5"/>
    <s v="West Bengal"/>
    <s v="Female"/>
    <n v="63"/>
    <n v="952"/>
    <n v="824"/>
    <n v="59976"/>
    <n v="51912"/>
    <n v="-8064"/>
    <s v="loss"/>
  </r>
  <r>
    <x v="246"/>
    <s v="july"/>
    <s v="Radiant Horizon Ventures"/>
    <s v="Fashion "/>
    <x v="5"/>
    <s v="Karnataka"/>
    <s v="Female"/>
    <n v="91"/>
    <n v="938"/>
    <n v="1156"/>
    <n v="85358"/>
    <n v="105196"/>
    <n v="19838"/>
    <s v="profit"/>
  </r>
  <r>
    <x v="132"/>
    <s v="december"/>
    <s v="Pinnacle Travel Solutions"/>
    <s v="Electronic"/>
    <x v="6"/>
    <s v="Rajasthan"/>
    <s v="Male"/>
    <n v="26"/>
    <n v="870"/>
    <n v="1123"/>
    <n v="22620"/>
    <n v="29198"/>
    <n v="6578"/>
    <s v="profit"/>
  </r>
  <r>
    <x v="247"/>
    <s v="july"/>
    <s v="Urban Edge Realty"/>
    <s v="Fashion "/>
    <x v="5"/>
    <s v="Delhi"/>
    <s v="Male"/>
    <n v="66"/>
    <n v="512"/>
    <n v="1208"/>
    <n v="33792"/>
    <n v="79728"/>
    <n v="45936"/>
    <s v="profit"/>
  </r>
  <r>
    <x v="248"/>
    <s v="july"/>
    <s v="Prime Focus Innovations"/>
    <s v="Fashion "/>
    <x v="5"/>
    <s v="Maharashtra"/>
    <s v="Male"/>
    <n v="88"/>
    <n v="691"/>
    <n v="1394"/>
    <n v="60808"/>
    <n v="122672"/>
    <n v="61864"/>
    <s v="profit"/>
  </r>
  <r>
    <x v="249"/>
    <s v="august"/>
    <s v="Elite Spectrum Consulting"/>
    <s v="Fashion "/>
    <x v="5"/>
    <s v="West Bengal"/>
    <s v="Male"/>
    <n v="54"/>
    <n v="518"/>
    <n v="1106"/>
    <n v="27972"/>
    <n v="59724"/>
    <n v="31752"/>
    <s v="profit"/>
  </r>
  <r>
    <x v="250"/>
    <s v="august"/>
    <s v="Dynamic Design Studio"/>
    <s v="Fashion "/>
    <x v="5"/>
    <s v="Tamil Nadu"/>
    <s v="Male"/>
    <n v="67"/>
    <n v="780"/>
    <n v="864"/>
    <n v="52260"/>
    <n v="57888"/>
    <n v="5628"/>
    <s v="profit"/>
  </r>
  <r>
    <x v="137"/>
    <s v="december"/>
    <s v="Harmony Health Solutions"/>
    <s v="Electronic"/>
    <x v="6"/>
    <s v="Himachal Pradesh"/>
    <s v="Male"/>
    <n v="23"/>
    <n v="945"/>
    <n v="1268"/>
    <n v="21735"/>
    <n v="29164"/>
    <n v="7429"/>
    <s v="profit"/>
  </r>
  <r>
    <x v="251"/>
    <s v="august"/>
    <s v="Royal Crest Foods"/>
    <s v="Fashion "/>
    <x v="7"/>
    <s v="Telangana"/>
    <s v="Female"/>
    <n v="85"/>
    <n v="853"/>
    <n v="1453"/>
    <n v="72505"/>
    <n v="123505"/>
    <n v="51000"/>
    <s v="profit"/>
  </r>
  <r>
    <x v="252"/>
    <s v="august"/>
    <s v="Zenith Travels"/>
    <s v="Fashion "/>
    <x v="7"/>
    <s v="Gujarat"/>
    <s v="Female"/>
    <n v="69"/>
    <n v="745"/>
    <n v="1075"/>
    <n v="51405"/>
    <n v="74175"/>
    <n v="22770"/>
    <s v="profit"/>
  </r>
  <r>
    <x v="140"/>
    <s v="december"/>
    <s v="Modern Vision Solutions"/>
    <s v="Fashion "/>
    <x v="5"/>
    <s v="Punjab"/>
    <s v="Male"/>
    <n v="78"/>
    <n v="522"/>
    <n v="1064"/>
    <n v="40716"/>
    <n v="82992"/>
    <n v="42276"/>
    <s v="profit"/>
  </r>
  <r>
    <x v="253"/>
    <s v="august"/>
    <s v="Quantum Media Group"/>
    <s v="Fashion "/>
    <x v="5"/>
    <s v="Uttar Pradesh"/>
    <s v="Female"/>
    <n v="63"/>
    <n v="525"/>
    <n v="1182"/>
    <n v="33075"/>
    <n v="74466"/>
    <n v="41391"/>
    <s v="profit"/>
  </r>
  <r>
    <x v="254"/>
    <s v="august"/>
    <s v="Legacy Builders"/>
    <s v="Fashion "/>
    <x v="5"/>
    <s v="Jharkhand"/>
    <s v="Female"/>
    <n v="73"/>
    <n v="709"/>
    <n v="1344"/>
    <n v="51757"/>
    <n v="98112"/>
    <n v="46355"/>
    <s v="profit"/>
  </r>
  <r>
    <x v="255"/>
    <s v="august"/>
    <s v="Apex Spa &amp; Wellness"/>
    <s v="Fashion "/>
    <x v="5"/>
    <s v="Kerala"/>
    <s v="Female"/>
    <n v="74"/>
    <n v="914"/>
    <n v="1031"/>
    <n v="67636"/>
    <n v="76294"/>
    <n v="8658"/>
    <s v="profit"/>
  </r>
  <r>
    <x v="256"/>
    <s v="august"/>
    <s v="Radiant Travel Services"/>
    <s v="Fashion "/>
    <x v="5"/>
    <s v="Maharashtra"/>
    <s v="Female"/>
    <n v="84"/>
    <n v="558"/>
    <n v="1477"/>
    <n v="46872"/>
    <n v="124068"/>
    <n v="77196"/>
    <s v="profit"/>
  </r>
  <r>
    <x v="145"/>
    <s v="december"/>
    <s v="Radiant Educational Solutions"/>
    <s v="Fashion "/>
    <x v="5"/>
    <s v="Uttar Pradesh"/>
    <s v="Female"/>
    <n v="60"/>
    <n v="642"/>
    <n v="1110"/>
    <n v="38520"/>
    <n v="66600"/>
    <n v="28080"/>
    <s v="profit"/>
  </r>
  <r>
    <x v="257"/>
    <s v="august"/>
    <s v="Modern Trends Consulting"/>
    <s v="Fashion "/>
    <x v="5"/>
    <s v="Himachal Pradesh"/>
    <s v="Female"/>
    <n v="99"/>
    <n v="934"/>
    <n v="1318"/>
    <n v="92466"/>
    <n v="130482"/>
    <n v="38016"/>
    <s v="profit"/>
  </r>
  <r>
    <x v="258"/>
    <s v="august"/>
    <s v="Global Horizon Ventures"/>
    <s v="Fashion "/>
    <x v="5"/>
    <s v="Uttarakhand"/>
    <s v="Female"/>
    <n v="52"/>
    <n v="576"/>
    <n v="1419"/>
    <n v="29952"/>
    <n v="73788"/>
    <n v="43836"/>
    <s v="profit"/>
  </r>
  <r>
    <x v="259"/>
    <s v="august"/>
    <s v="Elite Enterprises"/>
    <s v="Fashion "/>
    <x v="5"/>
    <s v="Assam"/>
    <s v="Male"/>
    <n v="98"/>
    <n v="769"/>
    <n v="1277"/>
    <n v="75362"/>
    <n v="125146"/>
    <n v="49784"/>
    <s v="profit"/>
  </r>
  <r>
    <x v="149"/>
    <s v="december"/>
    <s v="Zenith Creative Solutions"/>
    <s v="Fashion "/>
    <x v="5"/>
    <s v="Uttar Pradesh"/>
    <s v="Female"/>
    <n v="86"/>
    <n v="668"/>
    <n v="1278"/>
    <n v="57448"/>
    <n v="109908"/>
    <n v="52460"/>
    <s v="profit"/>
  </r>
  <r>
    <x v="260"/>
    <s v="september"/>
    <s v="Pinnacle Health Innovations"/>
    <s v="Fashion "/>
    <x v="5"/>
    <s v="Chhattisgarh"/>
    <s v="Male"/>
    <n v="73"/>
    <n v="627"/>
    <n v="769"/>
    <n v="45771"/>
    <n v="56137"/>
    <n v="10366"/>
    <s v="profit"/>
  </r>
  <r>
    <x v="151"/>
    <s v="december"/>
    <s v="Pure Vision Solutions"/>
    <s v="Fashion "/>
    <x v="7"/>
    <s v="Kerala"/>
    <s v="Female"/>
    <n v="57"/>
    <n v="995"/>
    <n v="912"/>
    <n v="56715"/>
    <n v="51984"/>
    <n v="-4731"/>
    <s v="loss"/>
  </r>
  <r>
    <x v="261"/>
    <s v="september"/>
    <s v="Horizon Fashion"/>
    <s v="Fashion "/>
    <x v="7"/>
    <s v="West Bengal"/>
    <s v="Male"/>
    <n v="93"/>
    <n v="847"/>
    <n v="1258"/>
    <n v="78771"/>
    <n v="116994"/>
    <n v="38223"/>
    <s v="profit"/>
  </r>
  <r>
    <x v="262"/>
    <s v="september"/>
    <s v="Crystal Essence Beverages"/>
    <s v="Fashion "/>
    <x v="7"/>
    <s v="West Bengal"/>
    <s v="Male"/>
    <n v="84"/>
    <n v="522"/>
    <n v="929"/>
    <n v="43848"/>
    <n v="78036"/>
    <n v="34188"/>
    <s v="profit"/>
  </r>
  <r>
    <x v="263"/>
    <s v="september"/>
    <s v="Dynamic Pathways"/>
    <s v="Fashion "/>
    <x v="7"/>
    <s v="Madhya Pradesh"/>
    <s v="Female"/>
    <n v="85"/>
    <n v="564"/>
    <n v="1049"/>
    <n v="47940"/>
    <n v="89165"/>
    <n v="41225"/>
    <s v="profit"/>
  </r>
  <r>
    <x v="264"/>
    <s v="september"/>
    <s v="Radiance Apparel"/>
    <s v="Fashion "/>
    <x v="7"/>
    <s v="West Bengal"/>
    <s v="Female"/>
    <n v="93"/>
    <n v="579"/>
    <n v="1402"/>
    <n v="53847"/>
    <n v="130386"/>
    <n v="76539"/>
    <s v="profit"/>
  </r>
  <r>
    <x v="156"/>
    <s v="december"/>
    <s v="Harmony Edge Solutions"/>
    <s v="Fashion "/>
    <x v="7"/>
    <s v="Punjab"/>
    <s v="Male"/>
    <n v="93"/>
    <n v="886"/>
    <n v="1199"/>
    <n v="82398"/>
    <n v="111507"/>
    <n v="29109"/>
    <s v="profit"/>
  </r>
  <r>
    <x v="265"/>
    <s v="september"/>
    <s v="Zenith Design Group"/>
    <s v="Fashion "/>
    <x v="7"/>
    <s v="Karnataka"/>
    <s v="Male"/>
    <n v="56"/>
    <n v="724"/>
    <n v="1391"/>
    <n v="40544"/>
    <n v="77896"/>
    <n v="37352"/>
    <s v="profit"/>
  </r>
  <r>
    <x v="266"/>
    <s v="september"/>
    <s v="Modern Horizons Consulting"/>
    <s v="Fashion "/>
    <x v="7"/>
    <s v="Maharashtra"/>
    <s v="Male"/>
    <n v="60"/>
    <n v="783"/>
    <n v="881"/>
    <n v="46980"/>
    <n v="52860"/>
    <n v="5880"/>
    <s v="profit"/>
  </r>
  <r>
    <x v="267"/>
    <s v="september"/>
    <s v="Apex Realty Services"/>
    <s v="Fashion "/>
    <x v="7"/>
    <s v="Madhya Pradesh"/>
    <s v="Male"/>
    <n v="81"/>
    <n v="948"/>
    <n v="904"/>
    <n v="76788"/>
    <n v="73224"/>
    <n v="-3564"/>
    <s v="loss"/>
  </r>
  <r>
    <x v="268"/>
    <s v="september"/>
    <s v="Zenith Educational Group"/>
    <s v="Fashion "/>
    <x v="7"/>
    <s v="Maharashtra"/>
    <s v="Male"/>
    <n v="80"/>
    <n v="771"/>
    <n v="1090"/>
    <n v="61680"/>
    <n v="87200"/>
    <n v="25520"/>
    <s v="profit"/>
  </r>
  <r>
    <x v="269"/>
    <s v="september"/>
    <s v="True Path Ventures"/>
    <s v="Fashion "/>
    <x v="7"/>
    <s v="Chandigarh"/>
    <s v="Female"/>
    <n v="88"/>
    <n v="943"/>
    <n v="1082"/>
    <n v="82984"/>
    <n v="95216"/>
    <n v="12232"/>
    <s v="profit"/>
  </r>
  <r>
    <x v="270"/>
    <s v="september"/>
    <s v="Radiance Media"/>
    <s v="Fashion "/>
    <x v="7"/>
    <s v="Madhya Pradesh"/>
    <s v="Male"/>
    <n v="68"/>
    <n v="909"/>
    <n v="1329"/>
    <n v="61812"/>
    <n v="90372"/>
    <n v="28560"/>
    <s v="profit"/>
  </r>
  <r>
    <x v="163"/>
    <s v="january"/>
    <s v="Pinnacle Media Solutions"/>
    <s v="Decor"/>
    <x v="0"/>
    <s v="Karnataka"/>
    <s v="Female"/>
    <n v="11"/>
    <n v="676"/>
    <n v="1050"/>
    <n v="7436"/>
    <n v="11550"/>
    <n v="4114"/>
    <s v="profit"/>
  </r>
  <r>
    <x v="271"/>
    <s v="september"/>
    <s v="Legacy Health Systems"/>
    <s v="Fashion "/>
    <x v="7"/>
    <s v="Andhra Pradesh"/>
    <s v="Male"/>
    <n v="65"/>
    <n v="568"/>
    <n v="1482"/>
    <n v="36920"/>
    <n v="96330"/>
    <n v="59410"/>
    <s v="profit"/>
  </r>
  <r>
    <x v="165"/>
    <s v="january"/>
    <s v="Radiant Tech Solutions"/>
    <s v="Decor"/>
    <x v="0"/>
    <s v="Maharashtra"/>
    <s v="Female"/>
    <n v="13"/>
    <n v="521"/>
    <n v="1433"/>
    <n v="6773"/>
    <n v="18629"/>
    <n v="11856"/>
    <s v="profit"/>
  </r>
  <r>
    <x v="272"/>
    <s v="september"/>
    <s v="Urban Focus Products"/>
    <s v="Fashion "/>
    <x v="7"/>
    <s v="Bihar"/>
    <s v="Male"/>
    <n v="58"/>
    <n v="758"/>
    <n v="1241"/>
    <n v="43964"/>
    <n v="71978"/>
    <n v="28014"/>
    <s v="profit"/>
  </r>
  <r>
    <x v="167"/>
    <s v="january"/>
    <s v="Elite Creative Solutions"/>
    <s v="Decor"/>
    <x v="0"/>
    <s v="Chhattisgarh"/>
    <s v="Female"/>
    <n v="16"/>
    <n v="887"/>
    <n v="1059"/>
    <n v="14192"/>
    <n v="16944"/>
    <n v="2752"/>
    <s v="profit"/>
  </r>
  <r>
    <x v="273"/>
    <s v="october"/>
    <s v="Visionary Innovations"/>
    <s v="Fashion "/>
    <x v="5"/>
    <s v="Jharkhand"/>
    <s v="Female"/>
    <n v="61"/>
    <n v="604"/>
    <n v="1251"/>
    <n v="36844"/>
    <n v="76311"/>
    <n v="39467"/>
    <s v="profit"/>
  </r>
  <r>
    <x v="274"/>
    <s v="october"/>
    <s v="Horizon Design Studio"/>
    <s v="Fashion "/>
    <x v="5"/>
    <s v="Kerala"/>
    <s v="Female"/>
    <n v="62"/>
    <n v="641"/>
    <n v="869"/>
    <n v="39742"/>
    <n v="53878"/>
    <n v="14136"/>
    <s v="profit"/>
  </r>
  <r>
    <x v="275"/>
    <s v="october"/>
    <s v="Legacy Tech Products"/>
    <s v="Fashion "/>
    <x v="5"/>
    <s v="Himachal Pradesh"/>
    <s v="Female"/>
    <n v="53"/>
    <n v="913"/>
    <n v="1369"/>
    <n v="48389"/>
    <n v="72557"/>
    <n v="24168"/>
    <s v="profit"/>
  </r>
  <r>
    <x v="276"/>
    <s v="october"/>
    <s v="Pinnacle Wellness Services"/>
    <s v="Fashion "/>
    <x v="5"/>
    <s v="Uttarakhand"/>
    <s v="Female"/>
    <n v="56"/>
    <n v="840"/>
    <n v="1353"/>
    <n v="47040"/>
    <n v="75768"/>
    <n v="28728"/>
    <s v="profit"/>
  </r>
  <r>
    <x v="277"/>
    <s v="october"/>
    <s v="Urban Insight Consulting"/>
    <s v="Fashion "/>
    <x v="7"/>
    <s v="Assam"/>
    <s v="Female"/>
    <n v="85"/>
    <n v="541"/>
    <n v="1331"/>
    <n v="45985"/>
    <n v="113135"/>
    <n v="67150"/>
    <s v="profit"/>
  </r>
  <r>
    <x v="278"/>
    <s v="october"/>
    <s v="Crystal Horizons"/>
    <s v="Fashion "/>
    <x v="7"/>
    <s v="Punjab"/>
    <s v="Female"/>
    <n v="56"/>
    <n v="611"/>
    <n v="1240"/>
    <n v="34216"/>
    <n v="69440"/>
    <n v="35224"/>
    <s v="profit"/>
  </r>
  <r>
    <x v="174"/>
    <s v="january"/>
    <s v="Pinnacle Design Solutions"/>
    <s v="Fashion "/>
    <x v="7"/>
    <s v="Rajasthan"/>
    <s v="Male"/>
    <n v="90"/>
    <n v="554"/>
    <n v="940"/>
    <n v="49860"/>
    <n v="84600"/>
    <n v="34740"/>
    <s v="profit"/>
  </r>
  <r>
    <x v="279"/>
    <s v="october"/>
    <s v="Radiant Apparel"/>
    <s v="Fashion "/>
    <x v="7"/>
    <s v="Chhattisgarh"/>
    <s v="Female"/>
    <n v="91"/>
    <n v="867"/>
    <n v="957"/>
    <n v="78897"/>
    <n v="87087"/>
    <n v="8190"/>
    <s v="profit"/>
  </r>
  <r>
    <x v="280"/>
    <s v="october"/>
    <s v="True Value Products"/>
    <s v="Fashion "/>
    <x v="7"/>
    <s v="West Bengal"/>
    <s v="Female"/>
    <n v="95"/>
    <n v="508"/>
    <n v="783"/>
    <n v="48260"/>
    <n v="74385"/>
    <n v="26125"/>
    <s v="profit"/>
  </r>
  <r>
    <x v="281"/>
    <s v="october"/>
    <s v="Zenith Health Products"/>
    <s v="Fashion "/>
    <x v="7"/>
    <s v="Madhya Pradesh"/>
    <s v="Male"/>
    <n v="75"/>
    <n v="549"/>
    <n v="1108"/>
    <n v="41175"/>
    <n v="83100"/>
    <n v="41925"/>
    <s v="profit"/>
  </r>
  <r>
    <x v="282"/>
    <s v="october"/>
    <s v="Stellar Wellness Products"/>
    <s v="Fashion "/>
    <x v="1"/>
    <s v="Kerala"/>
    <s v="Male"/>
    <n v="95"/>
    <n v="845"/>
    <n v="1102"/>
    <n v="80275"/>
    <n v="104690"/>
    <n v="24415"/>
    <s v="profit"/>
  </r>
  <r>
    <x v="283"/>
    <s v="october"/>
    <s v="Radiant Consulting Group"/>
    <s v="Fashion "/>
    <x v="1"/>
    <s v="Maharashtra"/>
    <s v="Male"/>
    <n v="86"/>
    <n v="949"/>
    <n v="924"/>
    <n v="81614"/>
    <n v="79464"/>
    <n v="-2150"/>
    <s v="loss"/>
  </r>
  <r>
    <x v="180"/>
    <s v="january"/>
    <s v="Pure Harmony Solutions"/>
    <s v="Decor"/>
    <x v="2"/>
    <s v="Uttarakhand"/>
    <s v="Female"/>
    <n v="11"/>
    <n v="587"/>
    <n v="1386"/>
    <n v="6457"/>
    <n v="15246"/>
    <n v="8789"/>
    <s v="profit"/>
  </r>
  <r>
    <x v="284"/>
    <s v="october"/>
    <s v="Harmony Ventures Co."/>
    <s v="Fashion "/>
    <x v="1"/>
    <s v="Himachal Pradesh"/>
    <s v="Female"/>
    <n v="73"/>
    <n v="801"/>
    <n v="1092"/>
    <n v="58473"/>
    <n v="79716"/>
    <n v="21243"/>
    <s v="profit"/>
  </r>
  <r>
    <x v="285"/>
    <s v="october"/>
    <s v="Urban Path Technologies"/>
    <s v="Fashion "/>
    <x v="1"/>
    <s v="Uttarakhand"/>
    <s v="Male"/>
    <n v="70"/>
    <n v="699"/>
    <n v="1090"/>
    <n v="48930"/>
    <n v="76300"/>
    <n v="27370"/>
    <s v="profit"/>
  </r>
  <r>
    <x v="286"/>
    <s v="november"/>
    <s v="Modern Vision Ventures"/>
    <s v="Fashion "/>
    <x v="9"/>
    <s v="West Bengal"/>
    <s v="Female"/>
    <n v="67"/>
    <n v="674"/>
    <n v="1413"/>
    <n v="45158"/>
    <n v="94671"/>
    <n v="49513"/>
    <s v="profit"/>
  </r>
  <r>
    <x v="287"/>
    <s v="november"/>
    <s v="Elite Travel Services"/>
    <s v="Fashion "/>
    <x v="9"/>
    <s v="Karnataka"/>
    <s v="Female"/>
    <n v="55"/>
    <n v="599"/>
    <n v="1482"/>
    <n v="32945"/>
    <n v="81510"/>
    <n v="48565"/>
    <s v="profit"/>
  </r>
  <r>
    <x v="288"/>
    <s v="november"/>
    <s v="Crystal Innovations Group"/>
    <s v="Fashion "/>
    <x v="9"/>
    <s v="Maharashtra"/>
    <s v="Female"/>
    <n v="90"/>
    <n v="962"/>
    <n v="1495"/>
    <n v="86580"/>
    <n v="134550"/>
    <n v="47970"/>
    <s v="profit"/>
  </r>
  <r>
    <x v="186"/>
    <s v="january"/>
    <s v="Zenith Path Solutions"/>
    <s v="Decor"/>
    <x v="2"/>
    <s v="Madhya Pradesh"/>
    <s v="Female"/>
    <n v="18"/>
    <n v="910"/>
    <n v="1065"/>
    <n v="16380"/>
    <n v="19170"/>
    <n v="2790"/>
    <s v="profit"/>
  </r>
  <r>
    <x v="289"/>
    <s v="november"/>
    <s v="Pinnacle Fitness Studio"/>
    <s v="Fashion "/>
    <x v="9"/>
    <s v="West Bengal"/>
    <s v="Female"/>
    <n v="71"/>
    <n v="739"/>
    <n v="1353"/>
    <n v="52469"/>
    <n v="96063"/>
    <n v="43594"/>
    <s v="profit"/>
  </r>
  <r>
    <x v="290"/>
    <s v="november"/>
    <s v="Stellar Travel Agency"/>
    <s v="Fashion "/>
    <x v="9"/>
    <s v="Tamil Nadu"/>
    <s v="Female"/>
    <n v="63"/>
    <n v="691"/>
    <n v="1058"/>
    <n v="43533"/>
    <n v="66654"/>
    <n v="23121"/>
    <s v="profit"/>
  </r>
  <r>
    <x v="291"/>
    <s v="december"/>
    <s v="Apex Travel Ventures"/>
    <s v="Fashion "/>
    <x v="5"/>
    <s v="Assam"/>
    <s v="Male"/>
    <n v="99"/>
    <n v="705"/>
    <n v="1356"/>
    <n v="69795"/>
    <n v="134244"/>
    <n v="64449"/>
    <s v="profit"/>
  </r>
  <r>
    <x v="190"/>
    <s v="january"/>
    <s v="Legacy Media Solutions"/>
    <s v="Decor"/>
    <x v="2"/>
    <s v="Jharkhand"/>
    <s v="Male"/>
    <n v="11"/>
    <n v="543"/>
    <n v="1153"/>
    <n v="5973"/>
    <n v="12683"/>
    <n v="6710"/>
    <s v="profit"/>
  </r>
  <r>
    <x v="292"/>
    <s v="december"/>
    <s v="True Path Consulting"/>
    <s v="Fashion "/>
    <x v="5"/>
    <s v="Chhattisgarh"/>
    <s v="Female"/>
    <n v="74"/>
    <n v="922"/>
    <n v="970"/>
    <n v="68228"/>
    <n v="71780"/>
    <n v="3552"/>
    <s v="profit"/>
  </r>
  <r>
    <x v="293"/>
    <s v="december"/>
    <s v="Legacy Finance Group"/>
    <s v="Fashion "/>
    <x v="5"/>
    <s v="West Bengal"/>
    <s v="Female"/>
    <n v="72"/>
    <n v="560"/>
    <n v="918"/>
    <n v="40320"/>
    <n v="66096"/>
    <n v="25776"/>
    <s v="profit"/>
  </r>
  <r>
    <x v="294"/>
    <s v="december"/>
    <s v="Pinnacle Design Ventures"/>
    <s v="Fashion "/>
    <x v="5"/>
    <s v="Gujarat"/>
    <s v="Female"/>
    <n v="59"/>
    <n v="834"/>
    <n v="951"/>
    <n v="49206"/>
    <n v="56109"/>
    <n v="6903"/>
    <s v="profit"/>
  </r>
  <r>
    <x v="295"/>
    <s v="december"/>
    <s v="Stellar Innovations Co."/>
    <s v="Fashion "/>
    <x v="5"/>
    <s v="Uttar Pradesh"/>
    <s v="Female"/>
    <n v="83"/>
    <n v="840"/>
    <n v="828"/>
    <n v="69720"/>
    <n v="68724"/>
    <n v="-996"/>
    <s v="loss"/>
  </r>
  <r>
    <x v="296"/>
    <s v="december"/>
    <s v="Harmony Marketing Co."/>
    <s v="Fashion "/>
    <x v="5"/>
    <s v="Tamil Nadu"/>
    <s v="Female"/>
    <n v="64"/>
    <n v="965"/>
    <n v="1357"/>
    <n v="61760"/>
    <n v="86848"/>
    <n v="25088"/>
    <s v="profit"/>
  </r>
  <r>
    <x v="297"/>
    <s v="december"/>
    <s v="Urban Tech Innovations"/>
    <s v="Fashion "/>
    <x v="5"/>
    <s v="Tamil Nadu"/>
    <s v="Female"/>
    <n v="59"/>
    <n v="671"/>
    <n v="1410"/>
    <n v="39589"/>
    <n v="83190"/>
    <n v="43601"/>
    <s v="profit"/>
  </r>
  <r>
    <x v="298"/>
    <s v="december"/>
    <s v="Crystal Wellness Group"/>
    <s v="Fashion "/>
    <x v="5"/>
    <s v="Rajasthan"/>
    <s v="Female"/>
    <n v="85"/>
    <n v="761"/>
    <n v="926"/>
    <n v="64685"/>
    <n v="78710"/>
    <n v="14025"/>
    <s v="profit"/>
  </r>
  <r>
    <x v="299"/>
    <s v="december"/>
    <s v="Apex Media Co."/>
    <s v="Fashion "/>
    <x v="5"/>
    <s v="Jharkhand"/>
    <s v="Female"/>
    <n v="81"/>
    <n v="522"/>
    <n v="1238"/>
    <n v="42282"/>
    <n v="100278"/>
    <n v="57996"/>
    <s v="profit"/>
  </r>
  <r>
    <x v="300"/>
    <s v="december"/>
    <s v="Legacy Health Ventures"/>
    <s v="Fashion "/>
    <x v="7"/>
    <s v="Maharashtra"/>
    <s v="Female"/>
    <n v="72"/>
    <n v="943"/>
    <n v="1233"/>
    <n v="67896"/>
    <n v="88776"/>
    <n v="20880"/>
    <s v="profit"/>
  </r>
  <r>
    <x v="301"/>
    <s v="december"/>
    <s v="Pinnacle Spectrum Co."/>
    <s v="Fashion "/>
    <x v="7"/>
    <s v="Himachal Pradesh"/>
    <s v="Female"/>
    <n v="67"/>
    <n v="801"/>
    <n v="1220"/>
    <n v="53667"/>
    <n v="81740"/>
    <n v="28073"/>
    <s v="profit"/>
  </r>
  <r>
    <x v="195"/>
    <s v="february"/>
    <s v="Radiant Solutions Co."/>
    <s v="Electronic"/>
    <x v="6"/>
    <s v="Jharkhand"/>
    <s v="Female"/>
    <n v="29"/>
    <n v="725"/>
    <n v="792"/>
    <n v="21025"/>
    <n v="22968"/>
    <n v="1943"/>
    <s v="profit"/>
  </r>
  <r>
    <x v="302"/>
    <s v="december"/>
    <s v="Stellar Travel Products"/>
    <s v="Fashion "/>
    <x v="7"/>
    <s v="Uttarakhand"/>
    <s v="Female"/>
    <n v="57"/>
    <n v="647"/>
    <n v="905"/>
    <n v="36879"/>
    <n v="51585"/>
    <n v="14706"/>
    <s v="profit"/>
  </r>
  <r>
    <x v="303"/>
    <s v="december"/>
    <s v="Radiance Finance Services"/>
    <s v="Fashion "/>
    <x v="7"/>
    <s v="Assam"/>
    <s v="Female"/>
    <n v="91"/>
    <n v="906"/>
    <n v="925"/>
    <n v="82446"/>
    <n v="84175"/>
    <n v="1729"/>
    <s v="profit"/>
  </r>
  <r>
    <x v="304"/>
    <s v="december"/>
    <s v="Modern Travel Agency"/>
    <s v="Fashion "/>
    <x v="7"/>
    <s v="Chhattisgarh"/>
    <s v="Male"/>
    <n v="82"/>
    <n v="955"/>
    <n v="1218"/>
    <n v="78310"/>
    <n v="99876"/>
    <n v="21566"/>
    <s v="profit"/>
  </r>
  <r>
    <x v="196"/>
    <s v="february"/>
    <s v="Modern Travel Solutions"/>
    <s v="Fashion "/>
    <x v="5"/>
    <s v="Tamil Nadu"/>
    <s v="Female"/>
    <n v="59"/>
    <n v="725"/>
    <n v="1113"/>
    <n v="42775"/>
    <n v="65667"/>
    <n v="22892"/>
    <s v="profit"/>
  </r>
  <r>
    <x v="305"/>
    <s v="december"/>
    <s v="Crystal Path Consulting"/>
    <s v="Fashion "/>
    <x v="7"/>
    <s v="West Bengal"/>
    <s v="Male"/>
    <n v="72"/>
    <n v="829"/>
    <n v="1165"/>
    <n v="59688"/>
    <n v="83880"/>
    <n v="24192"/>
    <s v="profit"/>
  </r>
  <r>
    <x v="306"/>
    <s v="december"/>
    <s v="Zenith Educational Services"/>
    <s v="Fashion "/>
    <x v="7"/>
    <s v="West Bengal"/>
    <s v="Male"/>
    <n v="62"/>
    <n v="680"/>
    <n v="912"/>
    <n v="42160"/>
    <n v="56544"/>
    <n v="14384"/>
    <s v="profit"/>
  </r>
  <r>
    <x v="307"/>
    <s v="december"/>
    <s v="Apex Innovations Co."/>
    <s v="Fashion "/>
    <x v="7"/>
    <s v="Madhya Pradesh"/>
    <s v="Male"/>
    <n v="67"/>
    <n v="600"/>
    <n v="1328"/>
    <n v="40200"/>
    <n v="88976"/>
    <n v="48776"/>
    <s v="profit"/>
  </r>
  <r>
    <x v="308"/>
    <s v="january"/>
    <s v="Pure Harmony Health"/>
    <s v="Fashion "/>
    <x v="7"/>
    <s v="Jharkhand"/>
    <s v="Female"/>
    <n v="97"/>
    <n v="946"/>
    <n v="1297"/>
    <n v="91762"/>
    <n v="125809"/>
    <n v="34047"/>
    <s v="profit"/>
  </r>
  <r>
    <x v="309"/>
    <s v="january"/>
    <s v="Apex Travel Innovations"/>
    <s v="Fashion "/>
    <x v="5"/>
    <s v="Gujarat"/>
    <s v="Male"/>
    <n v="62"/>
    <n v="800"/>
    <n v="882"/>
    <n v="49600"/>
    <n v="54684"/>
    <n v="5084"/>
    <s v="profit"/>
  </r>
  <r>
    <x v="310"/>
    <s v="january"/>
    <s v="Modern Health Products"/>
    <s v="Fashion "/>
    <x v="5"/>
    <s v="Uttar Pradesh"/>
    <s v="Male"/>
    <n v="65"/>
    <n v="875"/>
    <n v="1361"/>
    <n v="56875"/>
    <n v="88465"/>
    <n v="31590"/>
    <s v="profit"/>
  </r>
  <r>
    <x v="197"/>
    <s v="february"/>
    <s v="Zenith Tech Solutions"/>
    <s v="Fashion "/>
    <x v="5"/>
    <s v="Himachal Pradesh"/>
    <s v="Male"/>
    <n v="100"/>
    <n v="831"/>
    <n v="1466"/>
    <n v="83100"/>
    <n v="146600"/>
    <n v="63500"/>
    <s v="profit"/>
  </r>
  <r>
    <x v="311"/>
    <s v="january"/>
    <s v="Harmony Finance Group"/>
    <s v="Fashion "/>
    <x v="5"/>
    <s v="Uttar Pradesh"/>
    <s v="Male"/>
    <n v="88"/>
    <n v="823"/>
    <n v="1026"/>
    <n v="72424"/>
    <n v="90288"/>
    <n v="17864"/>
    <s v="profit"/>
  </r>
  <r>
    <x v="312"/>
    <s v="january"/>
    <s v="Pure Vision Consulting"/>
    <s v="Fashion "/>
    <x v="5"/>
    <s v="Tamil Nadu"/>
    <s v="Female"/>
    <n v="54"/>
    <n v="664"/>
    <n v="761"/>
    <n v="35856"/>
    <n v="41094"/>
    <n v="5238"/>
    <s v="profit"/>
  </r>
  <r>
    <x v="313"/>
    <s v="january"/>
    <s v="Legacy Spectrum Co."/>
    <s v="Fashion "/>
    <x v="5"/>
    <s v="Tamil Nadu"/>
    <s v="Male"/>
    <n v="52"/>
    <n v="538"/>
    <n v="1257"/>
    <n v="27976"/>
    <n v="65364"/>
    <n v="37388"/>
    <s v="profit"/>
  </r>
  <r>
    <x v="314"/>
    <s v="january"/>
    <s v="Stellar Media Services"/>
    <s v="Fashion "/>
    <x v="7"/>
    <s v="Uttar Pradesh"/>
    <s v="Male"/>
    <n v="81"/>
    <n v="556"/>
    <n v="1345"/>
    <n v="45036"/>
    <n v="108945"/>
    <n v="63909"/>
    <s v="profit"/>
  </r>
  <r>
    <x v="315"/>
    <s v="january"/>
    <s v="Radiant Innovations Group"/>
    <s v="Fashion "/>
    <x v="7"/>
    <s v="Jharkhand"/>
    <s v="Male"/>
    <n v="72"/>
    <n v="608"/>
    <n v="1209"/>
    <n v="43776"/>
    <n v="87048"/>
    <n v="43272"/>
    <s v="profit"/>
  </r>
  <r>
    <x v="316"/>
    <s v="january"/>
    <s v="Horizon Path Ventures"/>
    <s v="Fashion "/>
    <x v="7"/>
    <s v="Kerala"/>
    <s v="Female"/>
    <n v="61"/>
    <n v="994"/>
    <n v="886"/>
    <n v="60634"/>
    <n v="54046"/>
    <n v="-6588"/>
    <s v="loss"/>
  </r>
  <r>
    <x v="317"/>
    <s v="january"/>
    <s v="Zenith Tech Co."/>
    <s v="Fashion "/>
    <x v="7"/>
    <s v="Maharashtra"/>
    <s v="Female"/>
    <n v="57"/>
    <n v="566"/>
    <n v="830"/>
    <n v="32262"/>
    <n v="47310"/>
    <n v="15048"/>
    <s v="profit"/>
  </r>
  <r>
    <x v="318"/>
    <s v="january"/>
    <s v="Apex Finance Ventures"/>
    <s v="Fashion "/>
    <x v="7"/>
    <s v="Himachal Pradesh"/>
    <s v="Female"/>
    <n v="50"/>
    <n v="714"/>
    <n v="1071"/>
    <n v="35700"/>
    <n v="53550"/>
    <n v="17850"/>
    <s v="profit"/>
  </r>
  <r>
    <x v="319"/>
    <s v="february"/>
    <s v="Zenith Wellness Co."/>
    <s v="Fashion "/>
    <x v="5"/>
    <s v="Uttar Pradesh"/>
    <s v="Female"/>
    <n v="80"/>
    <n v="636"/>
    <n v="1259"/>
    <n v="50880"/>
    <n v="100720"/>
    <n v="49840"/>
    <s v="profit"/>
  </r>
  <r>
    <x v="320"/>
    <s v="february"/>
    <s v="Apex Design Services"/>
    <s v="Fashion "/>
    <x v="5"/>
    <s v="Uttar Pradesh"/>
    <s v="Female"/>
    <n v="50"/>
    <n v="581"/>
    <n v="1380"/>
    <n v="29050"/>
    <n v="69000"/>
    <n v="39950"/>
    <s v="profit"/>
  </r>
  <r>
    <x v="6"/>
    <s v="april"/>
    <s v="Apex Solutions"/>
    <s v="Fashion "/>
    <x v="1"/>
    <s v="Gujarat"/>
    <s v="Male"/>
    <n v="78"/>
    <n v="655"/>
    <n v="790"/>
    <n v="51090"/>
    <n v="61620"/>
    <n v="10530"/>
    <s v="profit"/>
  </r>
  <r>
    <x v="321"/>
    <s v="february"/>
    <s v="Pure Health Ventures"/>
    <s v="Fashion "/>
    <x v="5"/>
    <s v="Tamil Nadu"/>
    <s v="Female"/>
    <n v="78"/>
    <n v="964"/>
    <n v="1264"/>
    <n v="75192"/>
    <n v="98592"/>
    <n v="23400"/>
    <s v="profit"/>
  </r>
  <r>
    <x v="322"/>
    <s v="february"/>
    <s v="Legacy Spectrum Group"/>
    <s v="Fashion "/>
    <x v="5"/>
    <s v="Rajasthan"/>
    <s v="Male"/>
    <n v="97"/>
    <n v="982"/>
    <n v="1243"/>
    <n v="95254"/>
    <n v="120571"/>
    <n v="25317"/>
    <s v="profit"/>
  </r>
  <r>
    <x v="323"/>
    <s v="february"/>
    <s v="Pinnacle Media Ventures"/>
    <s v="Fashion "/>
    <x v="5"/>
    <s v="Uttar Pradesh"/>
    <s v="Male"/>
    <n v="93"/>
    <n v="736"/>
    <n v="864"/>
    <n v="68448"/>
    <n v="80352"/>
    <n v="11904"/>
    <s v="profit"/>
  </r>
  <r>
    <x v="324"/>
    <s v="february"/>
    <s v="Stellar Innovations Group"/>
    <s v="Fashion "/>
    <x v="5"/>
    <s v="Jharkhand"/>
    <s v="Male"/>
    <n v="51"/>
    <n v="608"/>
    <n v="1179"/>
    <n v="31008"/>
    <n v="60129"/>
    <n v="29121"/>
    <s v="profit"/>
  </r>
  <r>
    <x v="325"/>
    <s v="february"/>
    <s v="Radiant Educational Co."/>
    <s v="Fashion "/>
    <x v="5"/>
    <s v="Kerala"/>
    <s v="Male"/>
    <n v="95"/>
    <n v="642"/>
    <n v="796"/>
    <n v="60990"/>
    <n v="75620"/>
    <n v="14630"/>
    <s v="profit"/>
  </r>
  <r>
    <x v="12"/>
    <s v="april"/>
    <s v="Metro Tech Solutions"/>
    <s v="Electronic"/>
    <x v="3"/>
    <s v="Maharashtra"/>
    <s v="Female"/>
    <n v="22"/>
    <n v="755"/>
    <n v="996"/>
    <n v="16610"/>
    <n v="21912"/>
    <n v="5302"/>
    <s v="profit"/>
  </r>
  <r>
    <x v="326"/>
    <s v="february"/>
    <s v="Harmony Edge Ventures"/>
    <s v="Fashion "/>
    <x v="5"/>
    <s v="Maharashtra"/>
    <s v="Female"/>
    <n v="90"/>
    <n v="713"/>
    <n v="1148"/>
    <n v="64170"/>
    <n v="103320"/>
    <n v="39150"/>
    <s v="profit"/>
  </r>
  <r>
    <x v="327"/>
    <s v="february"/>
    <s v="Apex Finance Group"/>
    <s v="Fashion "/>
    <x v="5"/>
    <s v="Uttarakhand"/>
    <s v="Male"/>
    <n v="81"/>
    <n v="813"/>
    <n v="1428"/>
    <n v="65853"/>
    <n v="115668"/>
    <n v="49815"/>
    <s v="profit"/>
  </r>
  <r>
    <x v="328"/>
    <s v="february"/>
    <s v="Pure Harmony Media"/>
    <s v="Fashion "/>
    <x v="5"/>
    <s v="Assam"/>
    <s v="Male"/>
    <n v="57"/>
    <n v="912"/>
    <n v="1246"/>
    <n v="51984"/>
    <n v="71022"/>
    <n v="19038"/>
    <s v="profit"/>
  </r>
  <r>
    <x v="329"/>
    <s v="february"/>
    <s v="Legacy Health Co."/>
    <s v="Fashion "/>
    <x v="7"/>
    <s v="Punjab"/>
    <s v="Male"/>
    <n v="61"/>
    <n v="565"/>
    <n v="1212"/>
    <n v="34465"/>
    <n v="73932"/>
    <n v="39467"/>
    <s v="profit"/>
  </r>
  <r>
    <x v="330"/>
    <s v="february"/>
    <s v="ACCOUNTS EXPERT"/>
    <s v="Fashion "/>
    <x v="10"/>
    <s v="Punjab"/>
    <s v="Male"/>
    <n v="62"/>
    <n v="805"/>
    <n v="1163"/>
    <n v="49910"/>
    <n v="72106"/>
    <n v="22196"/>
    <s v="profit"/>
  </r>
  <r>
    <x v="198"/>
    <s v="april"/>
    <s v="Golden Horizon Ventures"/>
    <s v="Fashion "/>
    <x v="1"/>
    <s v="Karnataka"/>
    <s v="Male"/>
    <n v="74"/>
    <n v="743"/>
    <n v="1265"/>
    <n v="54982"/>
    <n v="93610"/>
    <n v="38628"/>
    <s v="profit"/>
  </r>
  <r>
    <x v="199"/>
    <s v="april"/>
    <s v="Eternal Traditions"/>
    <s v="Fashion "/>
    <x v="1"/>
    <s v="Telangana"/>
    <s v="Male"/>
    <n v="83"/>
    <n v="594"/>
    <n v="852"/>
    <n v="49302"/>
    <n v="70716"/>
    <n v="21414"/>
    <s v="profit"/>
  </r>
  <r>
    <x v="200"/>
    <s v="april"/>
    <s v="Harmony Foods"/>
    <s v="Fashion "/>
    <x v="1"/>
    <s v="Maharashtra"/>
    <s v="Male"/>
    <n v="70"/>
    <n v="878"/>
    <n v="844"/>
    <n v="61460"/>
    <n v="59080"/>
    <n v="-2380"/>
    <s v="loss"/>
  </r>
  <r>
    <x v="201"/>
    <s v="april"/>
    <s v="Sacred Roots Apparel"/>
    <s v="Fashion "/>
    <x v="9"/>
    <s v="Maharashtra"/>
    <s v="Female"/>
    <n v="57"/>
    <n v="724"/>
    <n v="839"/>
    <n v="41268"/>
    <n v="47823"/>
    <n v="6555"/>
    <s v="profit"/>
  </r>
  <r>
    <x v="22"/>
    <s v="april"/>
    <s v="Elite Marketing Solutions"/>
    <s v="Electronic"/>
    <x v="4"/>
    <s v="Tamil Nadu"/>
    <s v="Male"/>
    <n v="23"/>
    <n v="627"/>
    <n v="855"/>
    <n v="14421"/>
    <n v="19665"/>
    <n v="5244"/>
    <s v="profit"/>
  </r>
  <r>
    <x v="202"/>
    <s v="april"/>
    <s v="Quantum Finance Services"/>
    <s v="Fashion "/>
    <x v="9"/>
    <s v="Chandigarh"/>
    <s v="Female"/>
    <n v="50"/>
    <n v="537"/>
    <n v="1172"/>
    <n v="26850"/>
    <n v="58600"/>
    <n v="31750"/>
    <s v="profit"/>
  </r>
  <r>
    <x v="24"/>
    <s v="april"/>
    <s v="Crystal Clear Solutions"/>
    <s v="Electronic"/>
    <x v="4"/>
    <s v="Rajasthan"/>
    <s v="Female"/>
    <n v="23"/>
    <n v="938"/>
    <n v="1336"/>
    <n v="21574"/>
    <n v="30728"/>
    <n v="9154"/>
    <s v="profit"/>
  </r>
  <r>
    <x v="203"/>
    <s v="april"/>
    <s v="Brilliant Minds Academy"/>
    <s v="Fashion "/>
    <x v="9"/>
    <s v="Madhya Pradesh"/>
    <s v="Female"/>
    <n v="67"/>
    <n v="989"/>
    <n v="956"/>
    <n v="66263"/>
    <n v="64052"/>
    <n v="-2211"/>
    <s v="loss"/>
  </r>
  <r>
    <x v="204"/>
    <s v="april"/>
    <s v="Visionary Holdings"/>
    <s v="Fashion "/>
    <x v="9"/>
    <s v="Andhra Pradesh"/>
    <s v="Female"/>
    <n v="83"/>
    <n v="917"/>
    <n v="989"/>
    <n v="76111"/>
    <n v="82087"/>
    <n v="5976"/>
    <s v="profit"/>
  </r>
  <r>
    <x v="205"/>
    <s v="april"/>
    <s v="Stellar Design Studio"/>
    <s v="Fashion "/>
    <x v="9"/>
    <s v="Bihar"/>
    <s v="Female"/>
    <n v="74"/>
    <n v="645"/>
    <n v="879"/>
    <n v="47730"/>
    <n v="65046"/>
    <n v="17316"/>
    <s v="profit"/>
  </r>
  <r>
    <x v="206"/>
    <s v="april"/>
    <s v="Classic Cuisines"/>
    <s v="Fashion "/>
    <x v="9"/>
    <s v="Gujarat"/>
    <s v="Male"/>
    <n v="76"/>
    <n v="943"/>
    <n v="1394"/>
    <n v="71668"/>
    <n v="105944"/>
    <n v="34276"/>
    <s v="profit"/>
  </r>
  <r>
    <x v="207"/>
    <s v="april"/>
    <s v="Bold Ventures"/>
    <s v="Fashion "/>
    <x v="9"/>
    <s v="Uttar Pradesh"/>
    <s v="Male"/>
    <n v="85"/>
    <n v="505"/>
    <n v="1435"/>
    <n v="42925"/>
    <n v="121975"/>
    <n v="79050"/>
    <s v="profit"/>
  </r>
  <r>
    <x v="208"/>
    <s v="may"/>
    <s v="Radiance Spa"/>
    <s v="Fashion "/>
    <x v="5"/>
    <s v="Rajasthan"/>
    <s v="Male"/>
    <n v="82"/>
    <n v="928"/>
    <n v="1428"/>
    <n v="76096"/>
    <n v="117096"/>
    <n v="41000"/>
    <s v="profit"/>
  </r>
  <r>
    <x v="209"/>
    <s v="may"/>
    <s v="Verve Fitness Studio"/>
    <s v="Fashion "/>
    <x v="5"/>
    <s v="Uttar Pradesh"/>
    <s v="Female"/>
    <n v="72"/>
    <n v="605"/>
    <n v="1081"/>
    <n v="43560"/>
    <n v="77832"/>
    <n v="34272"/>
    <s v="profit"/>
  </r>
  <r>
    <x v="210"/>
    <s v="may"/>
    <s v="Sparkle Cleaners"/>
    <s v="Fashion "/>
    <x v="5"/>
    <s v="Uttar Pradesh"/>
    <s v="Female"/>
    <n v="82"/>
    <n v="993"/>
    <n v="823"/>
    <n v="81426"/>
    <n v="67486"/>
    <n v="-13940"/>
    <s v="loss"/>
  </r>
  <r>
    <x v="211"/>
    <s v="may"/>
    <s v="Global Reach Logistics"/>
    <s v="Fashion "/>
    <x v="5"/>
    <s v="Maharashtra"/>
    <s v="Female"/>
    <n v="53"/>
    <n v="803"/>
    <n v="1335"/>
    <n v="42559"/>
    <n v="70755"/>
    <n v="28196"/>
    <s v="profit"/>
  </r>
  <r>
    <x v="212"/>
    <s v="may"/>
    <s v="Noble Path Finance"/>
    <s v="Fashion "/>
    <x v="5"/>
    <s v="Madhya Pradesh"/>
    <s v="Female"/>
    <n v="87"/>
    <n v="742"/>
    <n v="856"/>
    <n v="64554"/>
    <n v="74472"/>
    <n v="9918"/>
    <s v="profit"/>
  </r>
  <r>
    <x v="213"/>
    <s v="may"/>
    <s v="Dynamic Events Management"/>
    <s v="Fashion "/>
    <x v="5"/>
    <s v="Maharashtra"/>
    <s v="Female"/>
    <n v="70"/>
    <n v="605"/>
    <n v="1489"/>
    <n v="42350"/>
    <n v="104230"/>
    <n v="61880"/>
    <s v="profit"/>
  </r>
  <r>
    <x v="214"/>
    <s v="may"/>
    <s v="Crystal Waters Resort"/>
    <s v="Fashion "/>
    <x v="5"/>
    <s v="Chandigarh"/>
    <s v="Female"/>
    <n v="94"/>
    <n v="754"/>
    <n v="1354"/>
    <n v="70876"/>
    <n v="127276"/>
    <n v="56400"/>
    <s v="profit"/>
  </r>
  <r>
    <x v="215"/>
    <s v="may"/>
    <s v="Excellence Tutors"/>
    <s v="Fashion "/>
    <x v="5"/>
    <s v="Madhya Pradesh"/>
    <s v="Female"/>
    <n v="80"/>
    <n v="622"/>
    <n v="1168"/>
    <n v="49760"/>
    <n v="93440"/>
    <n v="43680"/>
    <s v="profit"/>
  </r>
  <r>
    <x v="216"/>
    <s v="may"/>
    <s v="Horizon Builders"/>
    <s v="Fashion "/>
    <x v="5"/>
    <s v="Andhra Pradesh"/>
    <s v="Male"/>
    <n v="88"/>
    <n v="625"/>
    <n v="1324"/>
    <n v="55000"/>
    <n v="116512"/>
    <n v="61512"/>
    <s v="profit"/>
  </r>
  <r>
    <x v="217"/>
    <s v="may"/>
    <s v="Classic Heritage Crafts"/>
    <s v="Fashion "/>
    <x v="5"/>
    <s v="Gujarat"/>
    <s v="Male"/>
    <n v="67"/>
    <n v="760"/>
    <n v="1006"/>
    <n v="50920"/>
    <n v="67402"/>
    <n v="16482"/>
    <s v="profit"/>
  </r>
  <r>
    <x v="218"/>
    <s v="may"/>
    <s v="Prime Focus Media"/>
    <s v="Fashion "/>
    <x v="7"/>
    <s v="Uttar Pradesh"/>
    <s v="Male"/>
    <n v="75"/>
    <n v="966"/>
    <n v="1355"/>
    <n v="72450"/>
    <n v="101625"/>
    <n v="29175"/>
    <s v="profit"/>
  </r>
  <r>
    <x v="219"/>
    <s v="june"/>
    <s v="Noble Nutraceuticals"/>
    <s v="Fashion "/>
    <x v="7"/>
    <s v="Uttar Pradesh"/>
    <s v="Female"/>
    <n v="51"/>
    <n v="749"/>
    <n v="1060"/>
    <n v="38199"/>
    <n v="54060"/>
    <n v="15861"/>
    <s v="profit"/>
  </r>
  <r>
    <x v="220"/>
    <s v="june"/>
    <s v="Supreme Travel Agency"/>
    <s v="Fashion "/>
    <x v="7"/>
    <s v="Tamil Nadu"/>
    <s v="Male"/>
    <n v="94"/>
    <n v="721"/>
    <n v="996"/>
    <n v="67774"/>
    <n v="93624"/>
    <n v="25850"/>
    <s v="profit"/>
  </r>
  <r>
    <x v="221"/>
    <s v="june"/>
    <s v="Future Vision Tech"/>
    <s v="Fashion "/>
    <x v="7"/>
    <s v="Tamil Nadu"/>
    <s v="Male"/>
    <n v="71"/>
    <n v="869"/>
    <n v="753"/>
    <n v="61699"/>
    <n v="53463"/>
    <n v="-8236"/>
    <s v="loss"/>
  </r>
  <r>
    <x v="222"/>
    <s v="june"/>
    <s v="Urban Groove Apparel"/>
    <s v="Fashion "/>
    <x v="7"/>
    <s v="Rajasthan"/>
    <s v="Male"/>
    <n v="52"/>
    <n v="550"/>
    <n v="869"/>
    <n v="28600"/>
    <n v="45188"/>
    <n v="16588"/>
    <s v="profit"/>
  </r>
  <r>
    <x v="223"/>
    <s v="june"/>
    <s v="Echo Real Estate"/>
    <s v="Fashion "/>
    <x v="7"/>
    <s v="Uttar Pradesh"/>
    <s v="Male"/>
    <n v="77"/>
    <n v="513"/>
    <n v="871"/>
    <n v="39501"/>
    <n v="67067"/>
    <n v="27566"/>
    <s v="profit"/>
  </r>
  <r>
    <x v="224"/>
    <s v="june"/>
    <s v="Pinnacle Health Products"/>
    <s v="Fashion "/>
    <x v="7"/>
    <s v="Jharkhand"/>
    <s v="Female"/>
    <n v="84"/>
    <n v="739"/>
    <n v="1161"/>
    <n v="62076"/>
    <n v="97524"/>
    <n v="35448"/>
    <s v="profit"/>
  </r>
  <r>
    <x v="225"/>
    <s v="june"/>
    <s v="Apex Auto Care"/>
    <s v="Fashion "/>
    <x v="7"/>
    <s v="Kerala"/>
    <s v="Female"/>
    <n v="71"/>
    <n v="923"/>
    <n v="996"/>
    <n v="65533"/>
    <n v="70716"/>
    <n v="5183"/>
    <s v="profit"/>
  </r>
  <r>
    <x v="226"/>
    <s v="june"/>
    <s v="Royal Glow Cosmetics"/>
    <s v="Fashion "/>
    <x v="7"/>
    <s v="Maharashtra"/>
    <s v="Female"/>
    <n v="59"/>
    <n v="862"/>
    <n v="1233"/>
    <n v="50858"/>
    <n v="72747"/>
    <n v="21889"/>
    <s v="profit"/>
  </r>
  <r>
    <x v="49"/>
    <s v="may"/>
    <s v="Absolute Solutions"/>
    <s v="Fashion "/>
    <x v="5"/>
    <s v="Gujarat"/>
    <s v="Male"/>
    <n v="90"/>
    <n v="718"/>
    <n v="1353"/>
    <n v="64620"/>
    <n v="121770"/>
    <n v="57150"/>
    <s v="profit"/>
  </r>
  <r>
    <x v="227"/>
    <s v="june"/>
    <s v="Zenith Culinary Arts"/>
    <s v="Fashion "/>
    <x v="7"/>
    <s v="Himachal Pradesh"/>
    <s v="Female"/>
    <n v="77"/>
    <n v="882"/>
    <n v="914"/>
    <n v="67914"/>
    <n v="70378"/>
    <n v="2464"/>
    <s v="profit"/>
  </r>
  <r>
    <x v="228"/>
    <s v="june"/>
    <s v="Visionary Tours"/>
    <s v="Fashion "/>
    <x v="7"/>
    <s v="Uttarakhand"/>
    <s v="Female"/>
    <n v="90"/>
    <n v="862"/>
    <n v="902"/>
    <n v="77580"/>
    <n v="81180"/>
    <n v="3600"/>
    <s v="profit"/>
  </r>
  <r>
    <x v="229"/>
    <s v="june"/>
    <s v="Elite Essence Products"/>
    <s v="Fashion "/>
    <x v="5"/>
    <s v="West Bengal"/>
    <s v="Male"/>
    <n v="73"/>
    <n v="541"/>
    <n v="1114"/>
    <n v="39493"/>
    <n v="81322"/>
    <n v="41829"/>
    <s v="profit"/>
  </r>
  <r>
    <x v="230"/>
    <s v="june"/>
    <s v="Dynamic Creations"/>
    <s v="Fashion "/>
    <x v="5"/>
    <s v="Karnataka"/>
    <s v="Male"/>
    <n v="94"/>
    <n v="772"/>
    <n v="1390"/>
    <n v="72568"/>
    <n v="130660"/>
    <n v="58092"/>
    <s v="profit"/>
  </r>
  <r>
    <x v="231"/>
    <s v="june"/>
    <s v="Quantum Design Studio"/>
    <s v="Fashion "/>
    <x v="5"/>
    <s v="Delhi"/>
    <s v="Male"/>
    <n v="66"/>
    <n v="771"/>
    <n v="1419"/>
    <n v="50886"/>
    <n v="93654"/>
    <n v="42768"/>
    <s v="profit"/>
  </r>
  <r>
    <x v="232"/>
    <s v="june"/>
    <s v="Apex Construction"/>
    <s v="Fashion "/>
    <x v="5"/>
    <s v="West Bengal"/>
    <s v="Female"/>
    <n v="65"/>
    <n v="762"/>
    <n v="1394"/>
    <n v="49530"/>
    <n v="90610"/>
    <n v="41080"/>
    <s v="profit"/>
  </r>
  <r>
    <x v="233"/>
    <s v="june"/>
    <s v="Legacy Innovations"/>
    <s v="Fashion "/>
    <x v="7"/>
    <s v="Tamil Nadu"/>
    <s v="Female"/>
    <n v="78"/>
    <n v="918"/>
    <n v="1469"/>
    <n v="71604"/>
    <n v="114582"/>
    <n v="42978"/>
    <s v="profit"/>
  </r>
  <r>
    <x v="234"/>
    <s v="june"/>
    <s v="Pure Harmony Foods"/>
    <s v="Fashion "/>
    <x v="7"/>
    <s v="Karnataka"/>
    <s v="Male"/>
    <n v="76"/>
    <n v="624"/>
    <n v="899"/>
    <n v="47424"/>
    <n v="68324"/>
    <n v="20900"/>
    <s v="profit"/>
  </r>
  <r>
    <x v="58"/>
    <s v="may"/>
    <s v="Synergy Tech Solutions"/>
    <s v="Fashion "/>
    <x v="5"/>
    <s v="Bihar"/>
    <s v="Male"/>
    <n v="59"/>
    <n v="716"/>
    <n v="1257"/>
    <n v="42244"/>
    <n v="74163"/>
    <n v="31919"/>
    <s v="profit"/>
  </r>
  <r>
    <x v="235"/>
    <s v="june"/>
    <s v="Zenith Security Systems"/>
    <s v="Fashion "/>
    <x v="7"/>
    <s v="Telangana"/>
    <s v="Male"/>
    <n v="99"/>
    <n v="598"/>
    <n v="1404"/>
    <n v="59202"/>
    <n v="138996"/>
    <n v="79794"/>
    <s v="profit"/>
  </r>
  <r>
    <x v="236"/>
    <s v="june"/>
    <s v="Crystal Clear Beverages"/>
    <s v="Fashion "/>
    <x v="7"/>
    <s v="Gujarat"/>
    <s v="Male"/>
    <n v="78"/>
    <n v="761"/>
    <n v="1174"/>
    <n v="59358"/>
    <n v="91572"/>
    <n v="32214"/>
    <s v="profit"/>
  </r>
  <r>
    <x v="237"/>
    <s v="june"/>
    <s v="Metro Line Tech"/>
    <s v="Fashion "/>
    <x v="7"/>
    <s v="Maharashtra"/>
    <s v="Male"/>
    <n v="96"/>
    <n v="512"/>
    <n v="970"/>
    <n v="49152"/>
    <n v="93120"/>
    <n v="43968"/>
    <s v="profit"/>
  </r>
  <r>
    <x v="238"/>
    <s v="june"/>
    <s v="Urban Pulse Consulting"/>
    <s v="Fashion "/>
    <x v="7"/>
    <s v="Rajasthan"/>
    <s v="Male"/>
    <n v="85"/>
    <n v="765"/>
    <n v="1024"/>
    <n v="65025"/>
    <n v="87040"/>
    <n v="22015"/>
    <s v="profit"/>
  </r>
  <r>
    <x v="239"/>
    <s v="july"/>
    <s v="Legacy Design Group"/>
    <s v="Fashion "/>
    <x v="5"/>
    <s v="Punjab"/>
    <s v="Female"/>
    <n v="59"/>
    <n v="663"/>
    <n v="872"/>
    <n v="39117"/>
    <n v="51448"/>
    <n v="12331"/>
    <s v="profit"/>
  </r>
  <r>
    <x v="240"/>
    <s v="july"/>
    <s v="Supreme Wellness"/>
    <s v="Fashion "/>
    <x v="5"/>
    <s v="Chhattisgarh"/>
    <s v="Female"/>
    <n v="75"/>
    <n v="871"/>
    <n v="1274"/>
    <n v="65325"/>
    <n v="95550"/>
    <n v="30225"/>
    <s v="profit"/>
  </r>
  <r>
    <x v="241"/>
    <s v="july"/>
    <s v="Harmony Tech Innovations"/>
    <s v="Fashion "/>
    <x v="5"/>
    <s v="West Bengal"/>
    <s v="Female"/>
    <n v="87"/>
    <n v="869"/>
    <n v="1247"/>
    <n v="75603"/>
    <n v="108489"/>
    <n v="32886"/>
    <s v="profit"/>
  </r>
  <r>
    <x v="242"/>
    <s v="july"/>
    <s v="Stellar Education Services"/>
    <s v="Fashion "/>
    <x v="5"/>
    <s v="West Bengal"/>
    <s v="Female"/>
    <n v="100"/>
    <n v="605"/>
    <n v="1249"/>
    <n v="60500"/>
    <n v="124900"/>
    <n v="64400"/>
    <s v="profit"/>
  </r>
  <r>
    <x v="243"/>
    <s v="july"/>
    <s v="Visionary Health Products"/>
    <s v="Fashion "/>
    <x v="5"/>
    <s v="Madhya Pradesh"/>
    <s v="Female"/>
    <n v="51"/>
    <n v="798"/>
    <n v="910"/>
    <n v="40698"/>
    <n v="46410"/>
    <n v="5712"/>
    <s v="profit"/>
  </r>
  <r>
    <x v="244"/>
    <s v="july"/>
    <s v="Crystal Innovations"/>
    <s v="Fashion "/>
    <x v="5"/>
    <s v="Jharkhand"/>
    <s v="Female"/>
    <n v="52"/>
    <n v="984"/>
    <n v="992"/>
    <n v="51168"/>
    <n v="51584"/>
    <n v="416"/>
    <s v="profit"/>
  </r>
  <r>
    <x v="245"/>
    <s v="july"/>
    <s v="Future Trends Retail"/>
    <s v="Fashion "/>
    <x v="5"/>
    <s v="West Bengal"/>
    <s v="Female"/>
    <n v="97"/>
    <n v="565"/>
    <n v="995"/>
    <n v="54805"/>
    <n v="96515"/>
    <n v="41710"/>
    <s v="profit"/>
  </r>
  <r>
    <x v="246"/>
    <s v="july"/>
    <s v="Radiant Horizon Ventures"/>
    <s v="Fashion "/>
    <x v="5"/>
    <s v="Karnataka"/>
    <s v="Female"/>
    <n v="58"/>
    <n v="799"/>
    <n v="1273"/>
    <n v="46342"/>
    <n v="73834"/>
    <n v="27492"/>
    <s v="profit"/>
  </r>
  <r>
    <x v="247"/>
    <s v="july"/>
    <s v="Urban Edge Realty"/>
    <s v="Fashion "/>
    <x v="5"/>
    <s v="Delhi"/>
    <s v="Male"/>
    <n v="69"/>
    <n v="524"/>
    <n v="893"/>
    <n v="36156"/>
    <n v="61617"/>
    <n v="25461"/>
    <s v="profit"/>
  </r>
  <r>
    <x v="248"/>
    <s v="july"/>
    <s v="Prime Focus Innovations"/>
    <s v="Fashion "/>
    <x v="5"/>
    <s v="Maharashtra"/>
    <s v="Male"/>
    <n v="81"/>
    <n v="903"/>
    <n v="1306"/>
    <n v="73143"/>
    <n v="105786"/>
    <n v="32643"/>
    <s v="profit"/>
  </r>
  <r>
    <x v="249"/>
    <s v="august"/>
    <s v="Elite Spectrum Consulting"/>
    <s v="Fashion "/>
    <x v="5"/>
    <s v="West Bengal"/>
    <s v="Male"/>
    <n v="89"/>
    <n v="584"/>
    <n v="777"/>
    <n v="51976"/>
    <n v="69153"/>
    <n v="17177"/>
    <s v="profit"/>
  </r>
  <r>
    <x v="250"/>
    <s v="august"/>
    <s v="Dynamic Design Studio"/>
    <s v="Fashion "/>
    <x v="5"/>
    <s v="Tamil Nadu"/>
    <s v="Male"/>
    <n v="75"/>
    <n v="906"/>
    <n v="954"/>
    <n v="67950"/>
    <n v="71550"/>
    <n v="3600"/>
    <s v="profit"/>
  </r>
  <r>
    <x v="63"/>
    <s v="june"/>
    <s v="Radiant Enterprise Solutions"/>
    <s v="Decor"/>
    <x v="0"/>
    <s v="West Bengal"/>
    <s v="Female"/>
    <n v="17"/>
    <n v="901"/>
    <n v="1283"/>
    <n v="15317"/>
    <n v="21811"/>
    <n v="6494"/>
    <s v="profit"/>
  </r>
  <r>
    <x v="251"/>
    <s v="august"/>
    <s v="Royal Crest Foods"/>
    <s v="Fashion "/>
    <x v="7"/>
    <s v="Telangana"/>
    <s v="Female"/>
    <n v="98"/>
    <n v="925"/>
    <n v="904"/>
    <n v="90650"/>
    <n v="88592"/>
    <n v="-2058"/>
    <s v="loss"/>
  </r>
  <r>
    <x v="252"/>
    <s v="august"/>
    <s v="Zenith Travels"/>
    <s v="Fashion "/>
    <x v="7"/>
    <s v="Gujarat"/>
    <s v="Female"/>
    <n v="73"/>
    <n v="508"/>
    <n v="1324"/>
    <n v="37084"/>
    <n v="96652"/>
    <n v="59568"/>
    <s v="profit"/>
  </r>
  <r>
    <x v="253"/>
    <s v="august"/>
    <s v="Quantum Media Group"/>
    <s v="Fashion "/>
    <x v="5"/>
    <s v="Uttar Pradesh"/>
    <s v="Female"/>
    <n v="87"/>
    <n v="876"/>
    <n v="880"/>
    <n v="76212"/>
    <n v="76560"/>
    <n v="348"/>
    <s v="profit"/>
  </r>
  <r>
    <x v="254"/>
    <s v="august"/>
    <s v="Legacy Builders"/>
    <s v="Fashion "/>
    <x v="5"/>
    <s v="Jharkhand"/>
    <s v="Female"/>
    <n v="69"/>
    <n v="993"/>
    <n v="862"/>
    <n v="68517"/>
    <n v="59478"/>
    <n v="-9039"/>
    <s v="loss"/>
  </r>
  <r>
    <x v="255"/>
    <s v="august"/>
    <s v="Apex Spa &amp; Wellness"/>
    <s v="Fashion "/>
    <x v="5"/>
    <s v="Kerala"/>
    <s v="Female"/>
    <n v="62"/>
    <n v="781"/>
    <n v="946"/>
    <n v="48422"/>
    <n v="58652"/>
    <n v="10230"/>
    <s v="profit"/>
  </r>
  <r>
    <x v="64"/>
    <s v="june"/>
    <s v="Infinite Solutions"/>
    <s v="Fashion "/>
    <x v="5"/>
    <s v="Maharashtra"/>
    <s v="Female"/>
    <n v="83"/>
    <n v="889"/>
    <n v="1075"/>
    <n v="73787"/>
    <n v="89225"/>
    <n v="15438"/>
    <s v="profit"/>
  </r>
  <r>
    <x v="256"/>
    <s v="august"/>
    <s v="Radiant Travel Services"/>
    <s v="Fashion "/>
    <x v="5"/>
    <s v="Maharashtra"/>
    <s v="Female"/>
    <n v="63"/>
    <n v="718"/>
    <n v="1047"/>
    <n v="45234"/>
    <n v="65961"/>
    <n v="20727"/>
    <s v="profit"/>
  </r>
  <r>
    <x v="257"/>
    <s v="august"/>
    <s v="Modern Trends Consulting"/>
    <s v="Fashion "/>
    <x v="5"/>
    <s v="Himachal Pradesh"/>
    <s v="Female"/>
    <n v="72"/>
    <n v="673"/>
    <n v="1027"/>
    <n v="48456"/>
    <n v="73944"/>
    <n v="25488"/>
    <s v="profit"/>
  </r>
  <r>
    <x v="258"/>
    <s v="august"/>
    <s v="Global Horizon Ventures"/>
    <s v="Fashion "/>
    <x v="5"/>
    <s v="Uttarakhand"/>
    <s v="Female"/>
    <n v="76"/>
    <n v="567"/>
    <n v="897"/>
    <n v="43092"/>
    <n v="68172"/>
    <n v="25080"/>
    <s v="profit"/>
  </r>
  <r>
    <x v="259"/>
    <s v="august"/>
    <s v="Elite Enterprises"/>
    <s v="Fashion "/>
    <x v="5"/>
    <s v="Assam"/>
    <s v="Male"/>
    <n v="70"/>
    <n v="751"/>
    <n v="1026"/>
    <n v="52570"/>
    <n v="71820"/>
    <n v="19250"/>
    <s v="profit"/>
  </r>
  <r>
    <x v="260"/>
    <s v="september"/>
    <s v="Pinnacle Health Innovations"/>
    <s v="Fashion "/>
    <x v="5"/>
    <s v="Chhattisgarh"/>
    <s v="Male"/>
    <n v="56"/>
    <n v="559"/>
    <n v="1151"/>
    <n v="31304"/>
    <n v="64456"/>
    <n v="33152"/>
    <s v="profit"/>
  </r>
  <r>
    <x v="261"/>
    <s v="september"/>
    <s v="Horizon Fashion"/>
    <s v="Fashion "/>
    <x v="7"/>
    <s v="West Bengal"/>
    <s v="Male"/>
    <n v="72"/>
    <n v="719"/>
    <n v="911"/>
    <n v="51768"/>
    <n v="65592"/>
    <n v="13824"/>
    <s v="profit"/>
  </r>
  <r>
    <x v="262"/>
    <s v="september"/>
    <s v="Crystal Essence Beverages"/>
    <s v="Fashion "/>
    <x v="7"/>
    <s v="West Bengal"/>
    <s v="Male"/>
    <n v="89"/>
    <n v="703"/>
    <n v="795"/>
    <n v="62567"/>
    <n v="70755"/>
    <n v="8188"/>
    <s v="profit"/>
  </r>
  <r>
    <x v="263"/>
    <s v="september"/>
    <s v="Dynamic Pathways"/>
    <s v="Fashion "/>
    <x v="7"/>
    <s v="Madhya Pradesh"/>
    <s v="Female"/>
    <n v="77"/>
    <n v="780"/>
    <n v="967"/>
    <n v="60060"/>
    <n v="74459"/>
    <n v="14399"/>
    <s v="profit"/>
  </r>
  <r>
    <x v="264"/>
    <s v="september"/>
    <s v="Radiance Apparel"/>
    <s v="Fashion "/>
    <x v="7"/>
    <s v="West Bengal"/>
    <s v="Female"/>
    <n v="54"/>
    <n v="762"/>
    <n v="1186"/>
    <n v="41148"/>
    <n v="64044"/>
    <n v="22896"/>
    <s v="profit"/>
  </r>
  <r>
    <x v="265"/>
    <s v="september"/>
    <s v="Zenith Design Group"/>
    <s v="Fashion "/>
    <x v="7"/>
    <s v="Karnataka"/>
    <s v="Male"/>
    <n v="91"/>
    <n v="647"/>
    <n v="1073"/>
    <n v="58877"/>
    <n v="97643"/>
    <n v="38766"/>
    <s v="profit"/>
  </r>
  <r>
    <x v="65"/>
    <s v="july"/>
    <s v="Synergy Solutions Group"/>
    <s v="Decor"/>
    <x v="2"/>
    <s v="Maharashtra"/>
    <s v="Female"/>
    <n v="14"/>
    <n v="684"/>
    <n v="1483"/>
    <n v="9576"/>
    <n v="20762"/>
    <n v="11186"/>
    <s v="profit"/>
  </r>
  <r>
    <x v="266"/>
    <s v="september"/>
    <s v="Modern Horizons Consulting"/>
    <s v="Fashion "/>
    <x v="7"/>
    <s v="Maharashtra"/>
    <s v="Male"/>
    <n v="63"/>
    <n v="720"/>
    <n v="1458"/>
    <n v="45360"/>
    <n v="91854"/>
    <n v="46494"/>
    <s v="profit"/>
  </r>
  <r>
    <x v="267"/>
    <s v="september"/>
    <s v="Apex Realty Services"/>
    <s v="Fashion "/>
    <x v="7"/>
    <s v="Madhya Pradesh"/>
    <s v="Male"/>
    <n v="66"/>
    <n v="958"/>
    <n v="1017"/>
    <n v="63228"/>
    <n v="67122"/>
    <n v="3894"/>
    <s v="profit"/>
  </r>
  <r>
    <x v="268"/>
    <s v="september"/>
    <s v="Zenith Educational Group"/>
    <s v="Fashion "/>
    <x v="7"/>
    <s v="Maharashtra"/>
    <s v="Male"/>
    <n v="54"/>
    <n v="663"/>
    <n v="943"/>
    <n v="35802"/>
    <n v="50922"/>
    <n v="15120"/>
    <s v="profit"/>
  </r>
  <r>
    <x v="269"/>
    <s v="september"/>
    <s v="True Path Ventures"/>
    <s v="Fashion "/>
    <x v="7"/>
    <s v="Chandigarh"/>
    <s v="Female"/>
    <n v="73"/>
    <n v="540"/>
    <n v="1397"/>
    <n v="39420"/>
    <n v="101981"/>
    <n v="62561"/>
    <s v="profit"/>
  </r>
  <r>
    <x v="270"/>
    <s v="september"/>
    <s v="Radiance Media"/>
    <s v="Fashion "/>
    <x v="7"/>
    <s v="Madhya Pradesh"/>
    <s v="Male"/>
    <n v="76"/>
    <n v="744"/>
    <n v="1145"/>
    <n v="56544"/>
    <n v="87020"/>
    <n v="30476"/>
    <s v="profit"/>
  </r>
  <r>
    <x v="271"/>
    <s v="september"/>
    <s v="Legacy Health Systems"/>
    <s v="Fashion "/>
    <x v="7"/>
    <s v="Andhra Pradesh"/>
    <s v="Male"/>
    <n v="94"/>
    <n v="874"/>
    <n v="895"/>
    <n v="82156"/>
    <n v="84130"/>
    <n v="1974"/>
    <s v="profit"/>
  </r>
  <r>
    <x v="272"/>
    <s v="september"/>
    <s v="Urban Focus Products"/>
    <s v="Fashion "/>
    <x v="7"/>
    <s v="Bihar"/>
    <s v="Male"/>
    <n v="97"/>
    <n v="752"/>
    <n v="1286"/>
    <n v="72944"/>
    <n v="124742"/>
    <n v="51798"/>
    <s v="profit"/>
  </r>
  <r>
    <x v="273"/>
    <s v="october"/>
    <s v="Visionary Innovations"/>
    <s v="Fashion "/>
    <x v="5"/>
    <s v="Jharkhand"/>
    <s v="Female"/>
    <n v="77"/>
    <n v="951"/>
    <n v="1432"/>
    <n v="73227"/>
    <n v="110264"/>
    <n v="37037"/>
    <s v="profit"/>
  </r>
  <r>
    <x v="274"/>
    <s v="october"/>
    <s v="Horizon Design Studio"/>
    <s v="Fashion "/>
    <x v="5"/>
    <s v="Kerala"/>
    <s v="Female"/>
    <n v="52"/>
    <n v="633"/>
    <n v="1226"/>
    <n v="32916"/>
    <n v="63752"/>
    <n v="30836"/>
    <s v="profit"/>
  </r>
  <r>
    <x v="275"/>
    <s v="october"/>
    <s v="Legacy Tech Products"/>
    <s v="Fashion "/>
    <x v="5"/>
    <s v="Himachal Pradesh"/>
    <s v="Female"/>
    <n v="80"/>
    <n v="982"/>
    <n v="1224"/>
    <n v="78560"/>
    <n v="97920"/>
    <n v="19360"/>
    <s v="profit"/>
  </r>
  <r>
    <x v="276"/>
    <s v="october"/>
    <s v="Pinnacle Wellness Services"/>
    <s v="Fashion "/>
    <x v="5"/>
    <s v="Uttarakhand"/>
    <s v="Female"/>
    <n v="81"/>
    <n v="917"/>
    <n v="1344"/>
    <n v="74277"/>
    <n v="108864"/>
    <n v="34587"/>
    <s v="profit"/>
  </r>
  <r>
    <x v="277"/>
    <s v="october"/>
    <s v="Urban Insight Consulting"/>
    <s v="Fashion "/>
    <x v="7"/>
    <s v="Assam"/>
    <s v="Female"/>
    <n v="63"/>
    <n v="747"/>
    <n v="778"/>
    <n v="47061"/>
    <n v="49014"/>
    <n v="1953"/>
    <s v="profit"/>
  </r>
  <r>
    <x v="66"/>
    <s v="july"/>
    <s v="Horizon Tech Solutions"/>
    <s v="Electronic"/>
    <x v="6"/>
    <s v="Uttar Pradesh"/>
    <s v="Female"/>
    <n v="23"/>
    <n v="559"/>
    <n v="1456"/>
    <n v="12857"/>
    <n v="33488"/>
    <n v="20631"/>
    <s v="profit"/>
  </r>
  <r>
    <x v="278"/>
    <s v="october"/>
    <s v="Crystal Horizons"/>
    <s v="Fashion "/>
    <x v="7"/>
    <s v="Punjab"/>
    <s v="Female"/>
    <n v="88"/>
    <n v="978"/>
    <n v="1231"/>
    <n v="86064"/>
    <n v="108328"/>
    <n v="22264"/>
    <s v="profit"/>
  </r>
  <r>
    <x v="279"/>
    <s v="october"/>
    <s v="Radiant Apparel"/>
    <s v="Fashion "/>
    <x v="7"/>
    <s v="Chhattisgarh"/>
    <s v="Female"/>
    <n v="82"/>
    <n v="652"/>
    <n v="994"/>
    <n v="53464"/>
    <n v="81508"/>
    <n v="28044"/>
    <s v="profit"/>
  </r>
  <r>
    <x v="280"/>
    <s v="october"/>
    <s v="True Value Products"/>
    <s v="Fashion "/>
    <x v="7"/>
    <s v="West Bengal"/>
    <s v="Female"/>
    <n v="80"/>
    <n v="841"/>
    <n v="1490"/>
    <n v="67280"/>
    <n v="119200"/>
    <n v="51920"/>
    <s v="profit"/>
  </r>
  <r>
    <x v="281"/>
    <s v="october"/>
    <s v="Zenith Health Products"/>
    <s v="Fashion "/>
    <x v="7"/>
    <s v="Madhya Pradesh"/>
    <s v="Male"/>
    <n v="70"/>
    <n v="798"/>
    <n v="1318"/>
    <n v="55860"/>
    <n v="92260"/>
    <n v="36400"/>
    <s v="profit"/>
  </r>
  <r>
    <x v="282"/>
    <s v="october"/>
    <s v="Stellar Wellness Products"/>
    <s v="Fashion "/>
    <x v="1"/>
    <s v="Kerala"/>
    <s v="Male"/>
    <n v="69"/>
    <n v="921"/>
    <n v="1177"/>
    <n v="63549"/>
    <n v="81213"/>
    <n v="17664"/>
    <s v="profit"/>
  </r>
  <r>
    <x v="283"/>
    <s v="october"/>
    <s v="Radiant Consulting Group"/>
    <s v="Fashion "/>
    <x v="1"/>
    <s v="Maharashtra"/>
    <s v="Male"/>
    <n v="60"/>
    <n v="729"/>
    <n v="759"/>
    <n v="43740"/>
    <n v="45540"/>
    <n v="1800"/>
    <s v="profit"/>
  </r>
  <r>
    <x v="284"/>
    <s v="october"/>
    <s v="Harmony Ventures Co."/>
    <s v="Fashion "/>
    <x v="1"/>
    <s v="Himachal Pradesh"/>
    <s v="Female"/>
    <n v="99"/>
    <n v="880"/>
    <n v="1318"/>
    <n v="87120"/>
    <n v="130482"/>
    <n v="43362"/>
    <s v="profit"/>
  </r>
  <r>
    <x v="285"/>
    <s v="october"/>
    <s v="Urban Path Technologies"/>
    <s v="Fashion "/>
    <x v="1"/>
    <s v="Uttarakhand"/>
    <s v="Male"/>
    <n v="88"/>
    <n v="552"/>
    <n v="1422"/>
    <n v="48576"/>
    <n v="125136"/>
    <n v="76560"/>
    <s v="profit"/>
  </r>
  <r>
    <x v="286"/>
    <s v="november"/>
    <s v="Modern Vision Ventures"/>
    <s v="Fashion "/>
    <x v="9"/>
    <s v="West Bengal"/>
    <s v="Female"/>
    <n v="60"/>
    <n v="827"/>
    <n v="762"/>
    <n v="49620"/>
    <n v="45720"/>
    <n v="-3900"/>
    <s v="loss"/>
  </r>
  <r>
    <x v="287"/>
    <s v="november"/>
    <s v="Elite Travel Services"/>
    <s v="Fashion "/>
    <x v="9"/>
    <s v="Karnataka"/>
    <s v="Female"/>
    <n v="64"/>
    <n v="529"/>
    <n v="1195"/>
    <n v="33856"/>
    <n v="76480"/>
    <n v="42624"/>
    <s v="profit"/>
  </r>
  <r>
    <x v="288"/>
    <s v="november"/>
    <s v="Crystal Innovations Group"/>
    <s v="Fashion "/>
    <x v="9"/>
    <s v="Maharashtra"/>
    <s v="Female"/>
    <n v="51"/>
    <n v="859"/>
    <n v="1243"/>
    <n v="43809"/>
    <n v="63393"/>
    <n v="19584"/>
    <s v="profit"/>
  </r>
  <r>
    <x v="289"/>
    <s v="november"/>
    <s v="Pinnacle Fitness Studio"/>
    <s v="Fashion "/>
    <x v="9"/>
    <s v="West Bengal"/>
    <s v="Female"/>
    <n v="68"/>
    <n v="756"/>
    <n v="887"/>
    <n v="51408"/>
    <n v="60316"/>
    <n v="8908"/>
    <s v="profit"/>
  </r>
  <r>
    <x v="290"/>
    <s v="november"/>
    <s v="Stellar Travel Agency"/>
    <s v="Fashion "/>
    <x v="9"/>
    <s v="Tamil Nadu"/>
    <s v="Female"/>
    <n v="87"/>
    <n v="882"/>
    <n v="1211"/>
    <n v="76734"/>
    <n v="105357"/>
    <n v="28623"/>
    <s v="profit"/>
  </r>
  <r>
    <x v="291"/>
    <s v="december"/>
    <s v="Apex Travel Ventures"/>
    <s v="Fashion "/>
    <x v="5"/>
    <s v="Assam"/>
    <s v="Male"/>
    <n v="51"/>
    <n v="685"/>
    <n v="1224"/>
    <n v="34935"/>
    <n v="62424"/>
    <n v="27489"/>
    <s v="profit"/>
  </r>
  <r>
    <x v="292"/>
    <s v="december"/>
    <s v="True Path Consulting"/>
    <s v="Fashion "/>
    <x v="5"/>
    <s v="Chhattisgarh"/>
    <s v="Female"/>
    <n v="72"/>
    <n v="765"/>
    <n v="1368"/>
    <n v="55080"/>
    <n v="98496"/>
    <n v="43416"/>
    <s v="profit"/>
  </r>
  <r>
    <x v="293"/>
    <s v="december"/>
    <s v="Legacy Finance Group"/>
    <s v="Fashion "/>
    <x v="5"/>
    <s v="West Bengal"/>
    <s v="Female"/>
    <n v="54"/>
    <n v="702"/>
    <n v="930"/>
    <n v="37908"/>
    <n v="50220"/>
    <n v="12312"/>
    <s v="profit"/>
  </r>
  <r>
    <x v="294"/>
    <s v="december"/>
    <s v="Pinnacle Design Ventures"/>
    <s v="Fashion "/>
    <x v="5"/>
    <s v="Gujarat"/>
    <s v="Female"/>
    <n v="97"/>
    <n v="917"/>
    <n v="1203"/>
    <n v="88949"/>
    <n v="116691"/>
    <n v="27742"/>
    <s v="profit"/>
  </r>
  <r>
    <x v="295"/>
    <s v="december"/>
    <s v="Stellar Innovations Co."/>
    <s v="Fashion "/>
    <x v="5"/>
    <s v="Uttar Pradesh"/>
    <s v="Female"/>
    <n v="84"/>
    <n v="516"/>
    <n v="820"/>
    <n v="43344"/>
    <n v="68880"/>
    <n v="25536"/>
    <s v="profit"/>
  </r>
  <r>
    <x v="67"/>
    <s v="august"/>
    <s v="Apex Wellness Solutions"/>
    <s v="Fashion "/>
    <x v="7"/>
    <s v="Karnataka"/>
    <s v="Male"/>
    <n v="66"/>
    <n v="715"/>
    <n v="1460"/>
    <n v="47190"/>
    <n v="96360"/>
    <n v="49170"/>
    <s v="profit"/>
  </r>
  <r>
    <x v="296"/>
    <s v="december"/>
    <s v="Harmony Marketing Co."/>
    <s v="Fashion "/>
    <x v="5"/>
    <s v="Tamil Nadu"/>
    <s v="Female"/>
    <n v="92"/>
    <n v="789"/>
    <n v="1229"/>
    <n v="72588"/>
    <n v="113068"/>
    <n v="40480"/>
    <s v="profit"/>
  </r>
  <r>
    <x v="297"/>
    <s v="december"/>
    <s v="Urban Tech Innovations"/>
    <s v="Fashion "/>
    <x v="5"/>
    <s v="Tamil Nadu"/>
    <s v="Female"/>
    <n v="53"/>
    <n v="962"/>
    <n v="1442"/>
    <n v="50986"/>
    <n v="76426"/>
    <n v="25440"/>
    <s v="profit"/>
  </r>
  <r>
    <x v="298"/>
    <s v="december"/>
    <s v="Crystal Wellness Group"/>
    <s v="Fashion "/>
    <x v="5"/>
    <s v="Rajasthan"/>
    <s v="Female"/>
    <n v="81"/>
    <n v="565"/>
    <n v="1224"/>
    <n v="45765"/>
    <n v="99144"/>
    <n v="53379"/>
    <s v="profit"/>
  </r>
  <r>
    <x v="299"/>
    <s v="december"/>
    <s v="Apex Media Co."/>
    <s v="Fashion "/>
    <x v="5"/>
    <s v="Jharkhand"/>
    <s v="Female"/>
    <n v="96"/>
    <n v="715"/>
    <n v="1171"/>
    <n v="68640"/>
    <n v="112416"/>
    <n v="43776"/>
    <s v="profit"/>
  </r>
  <r>
    <x v="68"/>
    <s v="august"/>
    <s v="Radiance Tech Solutions"/>
    <s v="Decor"/>
    <x v="2"/>
    <s v="Gujarat"/>
    <s v="Female"/>
    <n v="10"/>
    <n v="812"/>
    <n v="1112"/>
    <n v="8120"/>
    <n v="11120"/>
    <n v="3000"/>
    <s v="profit"/>
  </r>
  <r>
    <x v="300"/>
    <s v="december"/>
    <s v="Legacy Health Ventures"/>
    <s v="Fashion "/>
    <x v="7"/>
    <s v="Maharashtra"/>
    <s v="Female"/>
    <n v="69"/>
    <n v="699"/>
    <n v="835"/>
    <n v="48231"/>
    <n v="57615"/>
    <n v="9384"/>
    <s v="profit"/>
  </r>
  <r>
    <x v="301"/>
    <s v="december"/>
    <s v="Pinnacle Spectrum Co."/>
    <s v="Fashion "/>
    <x v="7"/>
    <s v="Himachal Pradesh"/>
    <s v="Female"/>
    <n v="58"/>
    <n v="924"/>
    <n v="990"/>
    <n v="53592"/>
    <n v="57420"/>
    <n v="3828"/>
    <s v="profit"/>
  </r>
  <r>
    <x v="302"/>
    <s v="december"/>
    <s v="Stellar Travel Products"/>
    <s v="Fashion "/>
    <x v="7"/>
    <s v="Uttarakhand"/>
    <s v="Female"/>
    <n v="83"/>
    <n v="790"/>
    <n v="1164"/>
    <n v="65570"/>
    <n v="96612"/>
    <n v="31042"/>
    <s v="profit"/>
  </r>
  <r>
    <x v="303"/>
    <s v="december"/>
    <s v="Radiance Finance Services"/>
    <s v="Fashion "/>
    <x v="7"/>
    <s v="Assam"/>
    <s v="Female"/>
    <n v="60"/>
    <n v="867"/>
    <n v="854"/>
    <n v="52020"/>
    <n v="51240"/>
    <n v="-780"/>
    <s v="loss"/>
  </r>
  <r>
    <x v="304"/>
    <s v="december"/>
    <s v="Modern Travel Agency"/>
    <s v="Fashion "/>
    <x v="7"/>
    <s v="Chhattisgarh"/>
    <s v="Male"/>
    <n v="89"/>
    <n v="702"/>
    <n v="1314"/>
    <n v="62478"/>
    <n v="116946"/>
    <n v="54468"/>
    <s v="profit"/>
  </r>
  <r>
    <x v="305"/>
    <s v="december"/>
    <s v="Crystal Path Consulting"/>
    <s v="Fashion "/>
    <x v="7"/>
    <s v="West Bengal"/>
    <s v="Male"/>
    <n v="91"/>
    <n v="805"/>
    <n v="1361"/>
    <n v="73255"/>
    <n v="123851"/>
    <n v="50596"/>
    <s v="profit"/>
  </r>
  <r>
    <x v="306"/>
    <s v="december"/>
    <s v="Zenith Educational Services"/>
    <s v="Fashion "/>
    <x v="7"/>
    <s v="West Bengal"/>
    <s v="Male"/>
    <n v="78"/>
    <n v="682"/>
    <n v="962"/>
    <n v="53196"/>
    <n v="75036"/>
    <n v="21840"/>
    <s v="profit"/>
  </r>
  <r>
    <x v="69"/>
    <s v="august"/>
    <s v="Apex Enterprise Solutions"/>
    <s v="Electronic"/>
    <x v="6"/>
    <s v="Andhra Pradesh"/>
    <s v="Male"/>
    <n v="22"/>
    <n v="888"/>
    <n v="1284"/>
    <n v="19536"/>
    <n v="28248"/>
    <n v="8712"/>
    <s v="profit"/>
  </r>
  <r>
    <x v="307"/>
    <s v="december"/>
    <s v="Apex Innovations Co."/>
    <s v="Fashion "/>
    <x v="7"/>
    <s v="Madhya Pradesh"/>
    <s v="Male"/>
    <n v="54"/>
    <n v="990"/>
    <n v="970"/>
    <n v="53460"/>
    <n v="52380"/>
    <n v="-1080"/>
    <s v="loss"/>
  </r>
  <r>
    <x v="308"/>
    <s v="january"/>
    <s v="Pure Harmony Health"/>
    <s v="Fashion "/>
    <x v="7"/>
    <s v="Jharkhand"/>
    <s v="Female"/>
    <n v="72"/>
    <n v="749"/>
    <n v="1262"/>
    <n v="53928"/>
    <n v="90864"/>
    <n v="36936"/>
    <s v="profit"/>
  </r>
  <r>
    <x v="309"/>
    <s v="january"/>
    <s v="Apex Travel Innovations"/>
    <s v="Fashion "/>
    <x v="5"/>
    <s v="Gujarat"/>
    <s v="Male"/>
    <n v="51"/>
    <n v="925"/>
    <n v="750"/>
    <n v="47175"/>
    <n v="38250"/>
    <n v="-8925"/>
    <s v="loss"/>
  </r>
  <r>
    <x v="310"/>
    <s v="january"/>
    <s v="Modern Health Products"/>
    <s v="Fashion "/>
    <x v="5"/>
    <s v="Uttar Pradesh"/>
    <s v="Male"/>
    <n v="56"/>
    <n v="782"/>
    <n v="1353"/>
    <n v="43792"/>
    <n v="75768"/>
    <n v="31976"/>
    <s v="profit"/>
  </r>
  <r>
    <x v="311"/>
    <s v="january"/>
    <s v="Harmony Finance Group"/>
    <s v="Fashion "/>
    <x v="5"/>
    <s v="Uttar Pradesh"/>
    <s v="Male"/>
    <n v="92"/>
    <n v="978"/>
    <n v="1062"/>
    <n v="89976"/>
    <n v="97704"/>
    <n v="7728"/>
    <s v="profit"/>
  </r>
  <r>
    <x v="70"/>
    <s v="august"/>
    <s v="Prestige Solutions"/>
    <s v="Electronic"/>
    <x v="6"/>
    <s v="Tamil Nadu"/>
    <s v="Female"/>
    <n v="29"/>
    <n v="818"/>
    <n v="999"/>
    <n v="23722"/>
    <n v="28971"/>
    <n v="5249"/>
    <s v="profit"/>
  </r>
  <r>
    <x v="312"/>
    <s v="january"/>
    <s v="Pure Vision Consulting"/>
    <s v="Fashion "/>
    <x v="5"/>
    <s v="Tamil Nadu"/>
    <s v="Female"/>
    <n v="75"/>
    <n v="539"/>
    <n v="1068"/>
    <n v="40425"/>
    <n v="80100"/>
    <n v="39675"/>
    <s v="profit"/>
  </r>
  <r>
    <x v="313"/>
    <s v="january"/>
    <s v="Legacy Spectrum Co."/>
    <s v="Fashion "/>
    <x v="5"/>
    <s v="Tamil Nadu"/>
    <s v="Male"/>
    <n v="78"/>
    <n v="608"/>
    <n v="1496"/>
    <n v="47424"/>
    <n v="116688"/>
    <n v="69264"/>
    <s v="profit"/>
  </r>
  <r>
    <x v="314"/>
    <s v="january"/>
    <s v="Stellar Media Services"/>
    <s v="Fashion "/>
    <x v="7"/>
    <s v="Uttar Pradesh"/>
    <s v="Male"/>
    <n v="66"/>
    <n v="831"/>
    <n v="787"/>
    <n v="54846"/>
    <n v="51942"/>
    <n v="-2904"/>
    <s v="loss"/>
  </r>
  <r>
    <x v="315"/>
    <s v="january"/>
    <s v="Radiant Innovations Group"/>
    <s v="Fashion "/>
    <x v="7"/>
    <s v="Jharkhand"/>
    <s v="Male"/>
    <n v="86"/>
    <n v="855"/>
    <n v="930"/>
    <n v="73530"/>
    <n v="79980"/>
    <n v="6450"/>
    <s v="profit"/>
  </r>
  <r>
    <x v="316"/>
    <s v="january"/>
    <s v="Horizon Path Ventures"/>
    <s v="Fashion "/>
    <x v="7"/>
    <s v="Kerala"/>
    <s v="Female"/>
    <n v="84"/>
    <n v="948"/>
    <n v="1156"/>
    <n v="79632"/>
    <n v="97104"/>
    <n v="17472"/>
    <s v="profit"/>
  </r>
  <r>
    <x v="317"/>
    <s v="january"/>
    <s v="Zenith Tech Co."/>
    <s v="Fashion "/>
    <x v="7"/>
    <s v="Maharashtra"/>
    <s v="Female"/>
    <n v="90"/>
    <n v="962"/>
    <n v="970"/>
    <n v="86580"/>
    <n v="87300"/>
    <n v="720"/>
    <s v="profit"/>
  </r>
  <r>
    <x v="318"/>
    <s v="january"/>
    <s v="Apex Finance Ventures"/>
    <s v="Fashion "/>
    <x v="7"/>
    <s v="Himachal Pradesh"/>
    <s v="Female"/>
    <n v="84"/>
    <n v="521"/>
    <n v="1320"/>
    <n v="43764"/>
    <n v="110880"/>
    <n v="67116"/>
    <s v="profit"/>
  </r>
  <r>
    <x v="319"/>
    <s v="february"/>
    <s v="Zenith Wellness Co."/>
    <s v="Fashion "/>
    <x v="5"/>
    <s v="Uttar Pradesh"/>
    <s v="Female"/>
    <n v="85"/>
    <n v="938"/>
    <n v="802"/>
    <n v="79730"/>
    <n v="68170"/>
    <n v="-11560"/>
    <s v="loss"/>
  </r>
  <r>
    <x v="71"/>
    <s v="august"/>
    <s v="Urban Wave Solutions"/>
    <s v="Fashion "/>
    <x v="5"/>
    <s v="Punjab"/>
    <s v="Male"/>
    <n v="60"/>
    <n v="645"/>
    <n v="936"/>
    <n v="38700"/>
    <n v="56160"/>
    <n v="17460"/>
    <s v="profit"/>
  </r>
  <r>
    <x v="320"/>
    <s v="february"/>
    <s v="Apex Design Services"/>
    <s v="Fashion "/>
    <x v="5"/>
    <s v="Uttar Pradesh"/>
    <s v="Female"/>
    <n v="62"/>
    <n v="562"/>
    <n v="884"/>
    <n v="34844"/>
    <n v="54808"/>
    <n v="19964"/>
    <s v="profit"/>
  </r>
  <r>
    <x v="321"/>
    <s v="february"/>
    <s v="Pure Health Ventures"/>
    <s v="Fashion "/>
    <x v="5"/>
    <s v="Tamil Nadu"/>
    <s v="Female"/>
    <n v="50"/>
    <n v="887"/>
    <n v="1068"/>
    <n v="44350"/>
    <n v="53400"/>
    <n v="9050"/>
    <s v="profit"/>
  </r>
  <r>
    <x v="322"/>
    <s v="february"/>
    <s v="Legacy Spectrum Group"/>
    <s v="Fashion "/>
    <x v="5"/>
    <s v="Rajasthan"/>
    <s v="Male"/>
    <n v="66"/>
    <n v="771"/>
    <n v="1492"/>
    <n v="50886"/>
    <n v="98472"/>
    <n v="47586"/>
    <s v="profit"/>
  </r>
  <r>
    <x v="323"/>
    <s v="february"/>
    <s v="Pinnacle Media Ventures"/>
    <s v="Fashion "/>
    <x v="5"/>
    <s v="Uttar Pradesh"/>
    <s v="Male"/>
    <n v="61"/>
    <n v="529"/>
    <n v="1419"/>
    <n v="32269"/>
    <n v="86559"/>
    <n v="54290"/>
    <s v="profit"/>
  </r>
  <r>
    <x v="72"/>
    <s v="september"/>
    <s v="Visionary Realty Solutions"/>
    <s v="Fashion "/>
    <x v="7"/>
    <s v="Jharkhand"/>
    <s v="Female"/>
    <n v="68"/>
    <n v="777"/>
    <n v="1433"/>
    <n v="52836"/>
    <n v="97444"/>
    <n v="44608"/>
    <s v="profit"/>
  </r>
  <r>
    <x v="324"/>
    <s v="february"/>
    <s v="Stellar Innovations Group"/>
    <s v="Fashion "/>
    <x v="5"/>
    <s v="Jharkhand"/>
    <s v="Male"/>
    <n v="78"/>
    <n v="511"/>
    <n v="1368"/>
    <n v="39858"/>
    <n v="106704"/>
    <n v="66846"/>
    <s v="profit"/>
  </r>
  <r>
    <x v="325"/>
    <s v="february"/>
    <s v="Radiant Educational Co."/>
    <s v="Fashion "/>
    <x v="5"/>
    <s v="Kerala"/>
    <s v="Male"/>
    <n v="96"/>
    <n v="790"/>
    <n v="1335"/>
    <n v="75840"/>
    <n v="128160"/>
    <n v="52320"/>
    <s v="profit"/>
  </r>
  <r>
    <x v="326"/>
    <s v="february"/>
    <s v="Harmony Edge Ventures"/>
    <s v="Fashion "/>
    <x v="5"/>
    <s v="Maharashtra"/>
    <s v="Female"/>
    <n v="63"/>
    <n v="722"/>
    <n v="1374"/>
    <n v="45486"/>
    <n v="86562"/>
    <n v="41076"/>
    <s v="profit"/>
  </r>
  <r>
    <x v="327"/>
    <s v="february"/>
    <s v="Apex Finance Group"/>
    <s v="Fashion "/>
    <x v="5"/>
    <s v="Uttarakhand"/>
    <s v="Male"/>
    <n v="92"/>
    <n v="521"/>
    <n v="1414"/>
    <n v="47932"/>
    <n v="130088"/>
    <n v="82156"/>
    <s v="profit"/>
  </r>
  <r>
    <x v="328"/>
    <s v="february"/>
    <s v="Pure Harmony Media"/>
    <s v="Fashion "/>
    <x v="5"/>
    <s v="Assam"/>
    <s v="Male"/>
    <n v="65"/>
    <n v="661"/>
    <n v="1425"/>
    <n v="42965"/>
    <n v="92625"/>
    <n v="49660"/>
    <s v="profit"/>
  </r>
  <r>
    <x v="329"/>
    <s v="february"/>
    <s v="Legacy Health Co."/>
    <s v="Fashion "/>
    <x v="7"/>
    <s v="Punjab"/>
    <s v="Male"/>
    <n v="77"/>
    <n v="595"/>
    <n v="1470"/>
    <n v="45815"/>
    <n v="113190"/>
    <n v="67375"/>
    <s v="profit"/>
  </r>
  <r>
    <x v="330"/>
    <s v="february"/>
    <s v="ACCOUNTS EXPERT"/>
    <s v="Fashion "/>
    <x v="10"/>
    <s v="Punjab"/>
    <s v="Male"/>
    <n v="62"/>
    <n v="774"/>
    <n v="1050"/>
    <n v="47988"/>
    <n v="65100"/>
    <n v="17112"/>
    <s v="profit"/>
  </r>
  <r>
    <x v="198"/>
    <s v="april"/>
    <s v="Golden Horizon Ventures"/>
    <s v="Fashion "/>
    <x v="1"/>
    <s v="Karnataka"/>
    <s v="Male"/>
    <n v="65"/>
    <n v="816"/>
    <n v="1347"/>
    <n v="53040"/>
    <n v="87555"/>
    <n v="34515"/>
    <s v="profit"/>
  </r>
  <r>
    <x v="73"/>
    <s v="september"/>
    <s v="Pure Essence Solutions"/>
    <s v="Decor"/>
    <x v="2"/>
    <s v="Gujarat"/>
    <s v="Female"/>
    <n v="19"/>
    <n v="576"/>
    <n v="1181"/>
    <n v="10944"/>
    <n v="22439"/>
    <n v="11495"/>
    <s v="profit"/>
  </r>
  <r>
    <x v="199"/>
    <s v="april"/>
    <s v="Eternal Traditions"/>
    <s v="Fashion "/>
    <x v="1"/>
    <s v="Telangana"/>
    <s v="Male"/>
    <n v="100"/>
    <n v="893"/>
    <n v="1460"/>
    <n v="89300"/>
    <n v="146000"/>
    <n v="56700"/>
    <s v="profit"/>
  </r>
  <r>
    <x v="200"/>
    <s v="april"/>
    <s v="Harmony Foods"/>
    <s v="Fashion "/>
    <x v="1"/>
    <s v="Maharashtra"/>
    <s v="Male"/>
    <n v="79"/>
    <n v="632"/>
    <n v="1271"/>
    <n v="49928"/>
    <n v="100409"/>
    <n v="50481"/>
    <s v="profit"/>
  </r>
  <r>
    <x v="201"/>
    <s v="april"/>
    <s v="Sacred Roots Apparel"/>
    <s v="Fashion "/>
    <x v="9"/>
    <s v="Maharashtra"/>
    <s v="Female"/>
    <n v="74"/>
    <n v="859"/>
    <n v="1315"/>
    <n v="63566"/>
    <n v="97310"/>
    <n v="33744"/>
    <s v="profit"/>
  </r>
  <r>
    <x v="202"/>
    <s v="april"/>
    <s v="Quantum Finance Services"/>
    <s v="Fashion "/>
    <x v="9"/>
    <s v="Chandigarh"/>
    <s v="Female"/>
    <n v="77"/>
    <n v="579"/>
    <n v="1178"/>
    <n v="44583"/>
    <n v="90706"/>
    <n v="46123"/>
    <s v="profit"/>
  </r>
  <r>
    <x v="74"/>
    <s v="september"/>
    <s v="Crystal Health Solutions"/>
    <s v="Decor"/>
    <x v="2"/>
    <s v="Uttar Pradesh"/>
    <s v="Male"/>
    <n v="16"/>
    <n v="689"/>
    <n v="1068"/>
    <n v="11024"/>
    <n v="17088"/>
    <n v="6064"/>
    <s v="profit"/>
  </r>
  <r>
    <x v="203"/>
    <s v="april"/>
    <s v="Brilliant Minds Academy"/>
    <s v="Fashion "/>
    <x v="9"/>
    <s v="Madhya Pradesh"/>
    <s v="Female"/>
    <n v="61"/>
    <n v="865"/>
    <n v="894"/>
    <n v="52765"/>
    <n v="54534"/>
    <n v="1769"/>
    <s v="profit"/>
  </r>
  <r>
    <x v="204"/>
    <s v="april"/>
    <s v="Visionary Holdings"/>
    <s v="Fashion "/>
    <x v="9"/>
    <s v="Andhra Pradesh"/>
    <s v="Female"/>
    <n v="57"/>
    <n v="881"/>
    <n v="1185"/>
    <n v="50217"/>
    <n v="67545"/>
    <n v="17328"/>
    <s v="profit"/>
  </r>
  <r>
    <x v="205"/>
    <s v="april"/>
    <s v="Stellar Design Studio"/>
    <s v="Fashion "/>
    <x v="9"/>
    <s v="Bihar"/>
    <s v="Female"/>
    <n v="57"/>
    <n v="548"/>
    <n v="1306"/>
    <n v="31236"/>
    <n v="74442"/>
    <n v="43206"/>
    <s v="profit"/>
  </r>
  <r>
    <x v="206"/>
    <s v="april"/>
    <s v="Classic Cuisines"/>
    <s v="Fashion "/>
    <x v="9"/>
    <s v="Gujarat"/>
    <s v="Male"/>
    <n v="84"/>
    <n v="702"/>
    <n v="787"/>
    <n v="58968"/>
    <n v="66108"/>
    <n v="7140"/>
    <s v="profit"/>
  </r>
  <r>
    <x v="207"/>
    <s v="april"/>
    <s v="Bold Ventures"/>
    <s v="Fashion "/>
    <x v="9"/>
    <s v="Uttar Pradesh"/>
    <s v="Male"/>
    <n v="76"/>
    <n v="875"/>
    <n v="1268"/>
    <n v="66500"/>
    <n v="96368"/>
    <n v="29868"/>
    <s v="profit"/>
  </r>
  <r>
    <x v="208"/>
    <s v="may"/>
    <s v="Radiance Spa"/>
    <s v="Fashion "/>
    <x v="5"/>
    <s v="Rajasthan"/>
    <s v="Male"/>
    <n v="50"/>
    <n v="885"/>
    <n v="927"/>
    <n v="44250"/>
    <n v="46350"/>
    <n v="2100"/>
    <s v="profit"/>
  </r>
  <r>
    <x v="209"/>
    <s v="may"/>
    <s v="Verve Fitness Studio"/>
    <s v="Fashion "/>
    <x v="5"/>
    <s v="Uttar Pradesh"/>
    <s v="Female"/>
    <n v="53"/>
    <n v="950"/>
    <n v="875"/>
    <n v="50350"/>
    <n v="46375"/>
    <n v="-3975"/>
    <s v="loss"/>
  </r>
  <r>
    <x v="210"/>
    <s v="may"/>
    <s v="Sparkle Cleaners"/>
    <s v="Fashion "/>
    <x v="5"/>
    <s v="Uttar Pradesh"/>
    <s v="Female"/>
    <n v="62"/>
    <n v="623"/>
    <n v="1253"/>
    <n v="38626"/>
    <n v="77686"/>
    <n v="39060"/>
    <s v="profit"/>
  </r>
  <r>
    <x v="75"/>
    <s v="september"/>
    <s v="Stellar Travel Solutions"/>
    <s v="Decor"/>
    <x v="0"/>
    <s v="Uttar Pradesh"/>
    <s v="Female"/>
    <n v="18"/>
    <n v="835"/>
    <n v="1234"/>
    <n v="15030"/>
    <n v="22212"/>
    <n v="7182"/>
    <s v="profit"/>
  </r>
  <r>
    <x v="211"/>
    <s v="may"/>
    <s v="Global Reach Logistics"/>
    <s v="Fashion "/>
    <x v="5"/>
    <s v="Maharashtra"/>
    <s v="Female"/>
    <n v="72"/>
    <n v="920"/>
    <n v="753"/>
    <n v="66240"/>
    <n v="54216"/>
    <n v="-12024"/>
    <s v="loss"/>
  </r>
  <r>
    <x v="76"/>
    <s v="september"/>
    <s v="Pure Harmony Solutions"/>
    <s v="Decor"/>
    <x v="0"/>
    <s v="Tamil Nadu"/>
    <s v="Female"/>
    <n v="13"/>
    <n v="855"/>
    <n v="951"/>
    <n v="11115"/>
    <n v="12363"/>
    <n v="1248"/>
    <s v="profit"/>
  </r>
  <r>
    <x v="212"/>
    <s v="may"/>
    <s v="Noble Path Finance"/>
    <s v="Fashion "/>
    <x v="5"/>
    <s v="Madhya Pradesh"/>
    <s v="Female"/>
    <n v="69"/>
    <n v="860"/>
    <n v="1081"/>
    <n v="59340"/>
    <n v="74589"/>
    <n v="15249"/>
    <s v="profit"/>
  </r>
  <r>
    <x v="213"/>
    <s v="may"/>
    <s v="Dynamic Events Management"/>
    <s v="Fashion "/>
    <x v="5"/>
    <s v="Maharashtra"/>
    <s v="Female"/>
    <n v="80"/>
    <n v="765"/>
    <n v="924"/>
    <n v="61200"/>
    <n v="73920"/>
    <n v="12720"/>
    <s v="profit"/>
  </r>
  <r>
    <x v="214"/>
    <s v="may"/>
    <s v="Crystal Waters Resort"/>
    <s v="Fashion "/>
    <x v="5"/>
    <s v="Chandigarh"/>
    <s v="Female"/>
    <n v="75"/>
    <n v="690"/>
    <n v="817"/>
    <n v="51750"/>
    <n v="61275"/>
    <n v="9525"/>
    <s v="profit"/>
  </r>
  <r>
    <x v="215"/>
    <s v="may"/>
    <s v="Excellence Tutors"/>
    <s v="Fashion "/>
    <x v="5"/>
    <s v="Madhya Pradesh"/>
    <s v="Female"/>
    <n v="100"/>
    <n v="795"/>
    <n v="1136"/>
    <n v="79500"/>
    <n v="113600"/>
    <n v="34100"/>
    <s v="profit"/>
  </r>
  <r>
    <x v="216"/>
    <s v="may"/>
    <s v="Horizon Builders"/>
    <s v="Fashion "/>
    <x v="5"/>
    <s v="Andhra Pradesh"/>
    <s v="Male"/>
    <n v="85"/>
    <n v="845"/>
    <n v="1155"/>
    <n v="71825"/>
    <n v="98175"/>
    <n v="26350"/>
    <s v="profit"/>
  </r>
  <r>
    <x v="77"/>
    <s v="october"/>
    <s v="Modern Spectrum Solutions"/>
    <s v="Fashion "/>
    <x v="5"/>
    <s v="Maharashtra"/>
    <s v="Female"/>
    <n v="79"/>
    <n v="683"/>
    <n v="1444"/>
    <n v="53957"/>
    <n v="114076"/>
    <n v="60119"/>
    <s v="profit"/>
  </r>
  <r>
    <x v="217"/>
    <s v="may"/>
    <s v="Classic Heritage Crafts"/>
    <s v="Fashion "/>
    <x v="5"/>
    <s v="Gujarat"/>
    <s v="Male"/>
    <n v="51"/>
    <n v="876"/>
    <n v="1252"/>
    <n v="44676"/>
    <n v="63852"/>
    <n v="19176"/>
    <s v="profit"/>
  </r>
  <r>
    <x v="218"/>
    <s v="may"/>
    <s v="Prime Focus Media"/>
    <s v="Fashion "/>
    <x v="7"/>
    <s v="Uttar Pradesh"/>
    <s v="Male"/>
    <n v="55"/>
    <n v="793"/>
    <n v="1045"/>
    <n v="43615"/>
    <n v="57475"/>
    <n v="13860"/>
    <s v="profit"/>
  </r>
  <r>
    <x v="219"/>
    <s v="june"/>
    <s v="Noble Nutraceuticals"/>
    <s v="Fashion "/>
    <x v="7"/>
    <s v="Uttar Pradesh"/>
    <s v="Female"/>
    <n v="82"/>
    <n v="641"/>
    <n v="809"/>
    <n v="52562"/>
    <n v="66338"/>
    <n v="13776"/>
    <s v="profit"/>
  </r>
  <r>
    <x v="220"/>
    <s v="june"/>
    <s v="Supreme Travel Agency"/>
    <s v="Fashion "/>
    <x v="7"/>
    <s v="Tamil Nadu"/>
    <s v="Male"/>
    <n v="80"/>
    <n v="678"/>
    <n v="1016"/>
    <n v="54240"/>
    <n v="81280"/>
    <n v="27040"/>
    <s v="profit"/>
  </r>
  <r>
    <x v="221"/>
    <s v="june"/>
    <s v="Future Vision Tech"/>
    <s v="Fashion "/>
    <x v="7"/>
    <s v="Tamil Nadu"/>
    <s v="Male"/>
    <n v="76"/>
    <n v="585"/>
    <n v="1366"/>
    <n v="44460"/>
    <n v="103816"/>
    <n v="59356"/>
    <s v="profit"/>
  </r>
  <r>
    <x v="222"/>
    <s v="june"/>
    <s v="Urban Groove Apparel"/>
    <s v="Fashion "/>
    <x v="7"/>
    <s v="Rajasthan"/>
    <s v="Male"/>
    <n v="93"/>
    <n v="662"/>
    <n v="1319"/>
    <n v="61566"/>
    <n v="122667"/>
    <n v="61101"/>
    <s v="profit"/>
  </r>
  <r>
    <x v="81"/>
    <s v="october"/>
    <s v="Apex Creative Solutions"/>
    <s v="Fashion "/>
    <x v="7"/>
    <s v="West Bengal"/>
    <s v="Male"/>
    <n v="67"/>
    <n v="711"/>
    <n v="1280"/>
    <n v="47637"/>
    <n v="85760"/>
    <n v="38123"/>
    <s v="profit"/>
  </r>
  <r>
    <x v="223"/>
    <s v="june"/>
    <s v="Echo Real Estate"/>
    <s v="Fashion "/>
    <x v="7"/>
    <s v="Uttar Pradesh"/>
    <s v="Male"/>
    <n v="51"/>
    <n v="744"/>
    <n v="782"/>
    <n v="37944"/>
    <n v="39882"/>
    <n v="1938"/>
    <s v="profit"/>
  </r>
  <r>
    <x v="224"/>
    <s v="june"/>
    <s v="Pinnacle Health Products"/>
    <s v="Fashion "/>
    <x v="7"/>
    <s v="Jharkhand"/>
    <s v="Female"/>
    <n v="88"/>
    <n v="820"/>
    <n v="1241"/>
    <n v="72160"/>
    <n v="109208"/>
    <n v="37048"/>
    <s v="profit"/>
  </r>
  <r>
    <x v="225"/>
    <s v="june"/>
    <s v="Apex Auto Care"/>
    <s v="Fashion "/>
    <x v="7"/>
    <s v="Kerala"/>
    <s v="Female"/>
    <n v="72"/>
    <n v="937"/>
    <n v="1154"/>
    <n v="67464"/>
    <n v="83088"/>
    <n v="15624"/>
    <s v="profit"/>
  </r>
  <r>
    <x v="226"/>
    <s v="june"/>
    <s v="Royal Glow Cosmetics"/>
    <s v="Fashion "/>
    <x v="7"/>
    <s v="Maharashtra"/>
    <s v="Female"/>
    <n v="55"/>
    <n v="685"/>
    <n v="824"/>
    <n v="37675"/>
    <n v="45320"/>
    <n v="7645"/>
    <s v="profit"/>
  </r>
  <r>
    <x v="86"/>
    <s v="october"/>
    <s v="Radiance Solutions Group"/>
    <s v="Decor"/>
    <x v="2"/>
    <s v="Bihar"/>
    <s v="Female"/>
    <n v="20"/>
    <n v="963"/>
    <n v="865"/>
    <n v="19260"/>
    <n v="17300"/>
    <n v="-1960"/>
    <s v="loss"/>
  </r>
  <r>
    <x v="227"/>
    <s v="june"/>
    <s v="Zenith Culinary Arts"/>
    <s v="Fashion "/>
    <x v="7"/>
    <s v="Himachal Pradesh"/>
    <s v="Female"/>
    <n v="55"/>
    <n v="661"/>
    <n v="1133"/>
    <n v="36355"/>
    <n v="62315"/>
    <n v="25960"/>
    <s v="profit"/>
  </r>
  <r>
    <x v="228"/>
    <s v="june"/>
    <s v="Visionary Tours"/>
    <s v="Fashion "/>
    <x v="7"/>
    <s v="Uttarakhand"/>
    <s v="Female"/>
    <n v="72"/>
    <n v="804"/>
    <n v="833"/>
    <n v="57888"/>
    <n v="59976"/>
    <n v="2088"/>
    <s v="profit"/>
  </r>
  <r>
    <x v="89"/>
    <s v="october"/>
    <s v="Modern Edge Solutions"/>
    <s v="Decor"/>
    <x v="2"/>
    <s v="Uttar Pradesh"/>
    <s v="Female"/>
    <n v="14"/>
    <n v="913"/>
    <n v="1155"/>
    <n v="12782"/>
    <n v="16170"/>
    <n v="3388"/>
    <s v="profit"/>
  </r>
  <r>
    <x v="229"/>
    <s v="june"/>
    <s v="Elite Essence Products"/>
    <s v="Fashion "/>
    <x v="5"/>
    <s v="West Bengal"/>
    <s v="Male"/>
    <n v="87"/>
    <n v="616"/>
    <n v="1447"/>
    <n v="53592"/>
    <n v="125889"/>
    <n v="72297"/>
    <s v="profit"/>
  </r>
  <r>
    <x v="91"/>
    <s v="october"/>
    <s v="Horizon Health Solutions"/>
    <s v="Electronic"/>
    <x v="3"/>
    <s v="Tamil Nadu"/>
    <s v="Female"/>
    <n v="23"/>
    <n v="616"/>
    <n v="919"/>
    <n v="14168"/>
    <n v="21137"/>
    <n v="6969"/>
    <s v="profit"/>
  </r>
  <r>
    <x v="230"/>
    <s v="june"/>
    <s v="Dynamic Creations"/>
    <s v="Fashion "/>
    <x v="5"/>
    <s v="Karnataka"/>
    <s v="Male"/>
    <n v="57"/>
    <n v="724"/>
    <n v="1432"/>
    <n v="41268"/>
    <n v="81624"/>
    <n v="40356"/>
    <s v="profit"/>
  </r>
  <r>
    <x v="93"/>
    <s v="october"/>
    <s v="Apex Marketing Solutions"/>
    <s v="Electronic"/>
    <x v="8"/>
    <s v="Uttar Pradesh"/>
    <s v="Male"/>
    <n v="28"/>
    <n v="539"/>
    <n v="1106"/>
    <n v="15092"/>
    <n v="30968"/>
    <n v="15876"/>
    <s v="profit"/>
  </r>
  <r>
    <x v="231"/>
    <s v="june"/>
    <s v="Quantum Design Studio"/>
    <s v="Fashion "/>
    <x v="5"/>
    <s v="Delhi"/>
    <s v="Male"/>
    <n v="85"/>
    <n v="639"/>
    <n v="1447"/>
    <n v="54315"/>
    <n v="122995"/>
    <n v="68680"/>
    <s v="profit"/>
  </r>
  <r>
    <x v="232"/>
    <s v="june"/>
    <s v="Apex Construction"/>
    <s v="Fashion "/>
    <x v="5"/>
    <s v="West Bengal"/>
    <s v="Female"/>
    <n v="81"/>
    <n v="776"/>
    <n v="895"/>
    <n v="62856"/>
    <n v="72495"/>
    <n v="9639"/>
    <s v="profit"/>
  </r>
  <r>
    <x v="233"/>
    <s v="june"/>
    <s v="Legacy Innovations"/>
    <s v="Fashion "/>
    <x v="7"/>
    <s v="Tamil Nadu"/>
    <s v="Female"/>
    <n v="86"/>
    <n v="705"/>
    <n v="1483"/>
    <n v="60630"/>
    <n v="127538"/>
    <n v="66908"/>
    <s v="profit"/>
  </r>
  <r>
    <x v="234"/>
    <s v="june"/>
    <s v="Pure Harmony Foods"/>
    <s v="Fashion "/>
    <x v="7"/>
    <s v="Karnataka"/>
    <s v="Male"/>
    <n v="80"/>
    <n v="901"/>
    <n v="1109"/>
    <n v="72080"/>
    <n v="88720"/>
    <n v="16640"/>
    <s v="profit"/>
  </r>
  <r>
    <x v="235"/>
    <s v="june"/>
    <s v="Zenith Security Systems"/>
    <s v="Fashion "/>
    <x v="7"/>
    <s v="Telangana"/>
    <s v="Male"/>
    <n v="59"/>
    <n v="502"/>
    <n v="1212"/>
    <n v="29618"/>
    <n v="71508"/>
    <n v="41890"/>
    <s v="profit"/>
  </r>
  <r>
    <x v="236"/>
    <s v="june"/>
    <s v="Crystal Clear Beverages"/>
    <s v="Fashion "/>
    <x v="7"/>
    <s v="Gujarat"/>
    <s v="Male"/>
    <n v="52"/>
    <n v="556"/>
    <n v="1402"/>
    <n v="28912"/>
    <n v="72904"/>
    <n v="43992"/>
    <s v="profit"/>
  </r>
  <r>
    <x v="237"/>
    <s v="june"/>
    <s v="Metro Line Tech"/>
    <s v="Fashion "/>
    <x v="7"/>
    <s v="Maharashtra"/>
    <s v="Male"/>
    <n v="92"/>
    <n v="953"/>
    <n v="790"/>
    <n v="87676"/>
    <n v="72680"/>
    <n v="-14996"/>
    <s v="loss"/>
  </r>
  <r>
    <x v="238"/>
    <s v="june"/>
    <s v="Urban Pulse Consulting"/>
    <s v="Fashion "/>
    <x v="7"/>
    <s v="Rajasthan"/>
    <s v="Male"/>
    <n v="96"/>
    <n v="961"/>
    <n v="1174"/>
    <n v="92256"/>
    <n v="112704"/>
    <n v="20448"/>
    <s v="profit"/>
  </r>
  <r>
    <x v="239"/>
    <s v="july"/>
    <s v="Legacy Design Group"/>
    <s v="Fashion "/>
    <x v="5"/>
    <s v="Punjab"/>
    <s v="Female"/>
    <n v="79"/>
    <n v="880"/>
    <n v="1403"/>
    <n v="69520"/>
    <n v="110837"/>
    <n v="41317"/>
    <s v="profit"/>
  </r>
  <r>
    <x v="240"/>
    <s v="july"/>
    <s v="Supreme Wellness"/>
    <s v="Fashion "/>
    <x v="5"/>
    <s v="Chhattisgarh"/>
    <s v="Female"/>
    <n v="62"/>
    <n v="936"/>
    <n v="1364"/>
    <n v="58032"/>
    <n v="84568"/>
    <n v="26536"/>
    <s v="profit"/>
  </r>
  <r>
    <x v="241"/>
    <s v="july"/>
    <s v="Harmony Tech Innovations"/>
    <s v="Fashion "/>
    <x v="5"/>
    <s v="West Bengal"/>
    <s v="Female"/>
    <n v="53"/>
    <n v="791"/>
    <n v="1253"/>
    <n v="41923"/>
    <n v="66409"/>
    <n v="24486"/>
    <s v="profit"/>
  </r>
  <r>
    <x v="105"/>
    <s v="november"/>
    <s v="Radiance Solutions Co."/>
    <s v="Fashion "/>
    <x v="9"/>
    <s v="Jharkhand"/>
    <s v="Female"/>
    <n v="74"/>
    <n v="636"/>
    <n v="955"/>
    <n v="47064"/>
    <n v="70670"/>
    <n v="23606"/>
    <s v="profit"/>
  </r>
  <r>
    <x v="242"/>
    <s v="july"/>
    <s v="Stellar Education Services"/>
    <s v="Fashion "/>
    <x v="5"/>
    <s v="West Bengal"/>
    <s v="Female"/>
    <n v="56"/>
    <n v="740"/>
    <n v="1464"/>
    <n v="41440"/>
    <n v="81984"/>
    <n v="40544"/>
    <s v="profit"/>
  </r>
  <r>
    <x v="243"/>
    <s v="july"/>
    <s v="Visionary Health Products"/>
    <s v="Fashion "/>
    <x v="5"/>
    <s v="Madhya Pradesh"/>
    <s v="Female"/>
    <n v="63"/>
    <n v="519"/>
    <n v="826"/>
    <n v="32697"/>
    <n v="52038"/>
    <n v="19341"/>
    <s v="profit"/>
  </r>
  <r>
    <x v="108"/>
    <s v="november"/>
    <s v="Horizon Creative Solutions"/>
    <s v="Fashion "/>
    <x v="9"/>
    <s v="Delhi"/>
    <s v="Female"/>
    <n v="83"/>
    <n v="569"/>
    <n v="1232"/>
    <n v="47227"/>
    <n v="102256"/>
    <n v="55029"/>
    <s v="profit"/>
  </r>
  <r>
    <x v="244"/>
    <s v="july"/>
    <s v="Crystal Innovations"/>
    <s v="Fashion "/>
    <x v="5"/>
    <s v="Jharkhand"/>
    <s v="Female"/>
    <n v="73"/>
    <n v="857"/>
    <n v="1024"/>
    <n v="62561"/>
    <n v="74752"/>
    <n v="12191"/>
    <s v="profit"/>
  </r>
  <r>
    <x v="245"/>
    <s v="july"/>
    <s v="Future Trends Retail"/>
    <s v="Fashion "/>
    <x v="5"/>
    <s v="West Bengal"/>
    <s v="Female"/>
    <n v="67"/>
    <n v="725"/>
    <n v="884"/>
    <n v="48575"/>
    <n v="59228"/>
    <n v="10653"/>
    <s v="profit"/>
  </r>
  <r>
    <x v="246"/>
    <s v="july"/>
    <s v="Radiant Horizon Ventures"/>
    <s v="Fashion "/>
    <x v="5"/>
    <s v="Karnataka"/>
    <s v="Female"/>
    <n v="74"/>
    <n v="691"/>
    <n v="871"/>
    <n v="51134"/>
    <n v="64454"/>
    <n v="13320"/>
    <s v="profit"/>
  </r>
  <r>
    <x v="247"/>
    <s v="july"/>
    <s v="Urban Edge Realty"/>
    <s v="Fashion "/>
    <x v="5"/>
    <s v="Delhi"/>
    <s v="Male"/>
    <n v="92"/>
    <n v="981"/>
    <n v="1157"/>
    <n v="90252"/>
    <n v="106444"/>
    <n v="16192"/>
    <s v="profit"/>
  </r>
  <r>
    <x v="113"/>
    <s v="november"/>
    <s v="Urban Spectrum Solutions"/>
    <s v="Electronic"/>
    <x v="4"/>
    <s v="Telangana"/>
    <s v="Male"/>
    <n v="23"/>
    <n v="663"/>
    <n v="1215"/>
    <n v="15249"/>
    <n v="27945"/>
    <n v="12696"/>
    <s v="profit"/>
  </r>
  <r>
    <x v="248"/>
    <s v="july"/>
    <s v="Prime Focus Innovations"/>
    <s v="Fashion "/>
    <x v="5"/>
    <s v="Maharashtra"/>
    <s v="Male"/>
    <n v="63"/>
    <n v="547"/>
    <n v="1150"/>
    <n v="34461"/>
    <n v="72450"/>
    <n v="37989"/>
    <s v="profit"/>
  </r>
  <r>
    <x v="249"/>
    <s v="august"/>
    <s v="Elite Spectrum Consulting"/>
    <s v="Fashion "/>
    <x v="5"/>
    <s v="West Bengal"/>
    <s v="Male"/>
    <n v="69"/>
    <n v="531"/>
    <n v="1210"/>
    <n v="36639"/>
    <n v="83490"/>
    <n v="46851"/>
    <s v="profit"/>
  </r>
  <r>
    <x v="250"/>
    <s v="august"/>
    <s v="Dynamic Design Studio"/>
    <s v="Fashion "/>
    <x v="5"/>
    <s v="Tamil Nadu"/>
    <s v="Male"/>
    <n v="84"/>
    <n v="806"/>
    <n v="1242"/>
    <n v="67704"/>
    <n v="104328"/>
    <n v="36624"/>
    <s v="profit"/>
  </r>
  <r>
    <x v="117"/>
    <s v="november"/>
    <s v="Legacy Wellness Solutions"/>
    <s v="Electronic"/>
    <x v="4"/>
    <s v="Gujarat"/>
    <s v="Female"/>
    <n v="26"/>
    <n v="878"/>
    <n v="1492"/>
    <n v="22828"/>
    <n v="38792"/>
    <n v="15964"/>
    <s v="profit"/>
  </r>
  <r>
    <x v="251"/>
    <s v="august"/>
    <s v="Royal Crest Foods"/>
    <s v="Fashion "/>
    <x v="7"/>
    <s v="Telangana"/>
    <s v="Female"/>
    <n v="71"/>
    <n v="565"/>
    <n v="807"/>
    <n v="40115"/>
    <n v="57297"/>
    <n v="17182"/>
    <s v="profit"/>
  </r>
  <r>
    <x v="119"/>
    <s v="november"/>
    <s v="Horizon Media Solutions"/>
    <s v="Electronic"/>
    <x v="4"/>
    <s v="Uttar Pradesh"/>
    <s v="Female"/>
    <n v="25"/>
    <n v="547"/>
    <n v="1342"/>
    <n v="13675"/>
    <n v="33550"/>
    <n v="19875"/>
    <s v="profit"/>
  </r>
  <r>
    <x v="252"/>
    <s v="august"/>
    <s v="Zenith Travels"/>
    <s v="Fashion "/>
    <x v="7"/>
    <s v="Gujarat"/>
    <s v="Female"/>
    <n v="90"/>
    <n v="634"/>
    <n v="1465"/>
    <n v="57060"/>
    <n v="131850"/>
    <n v="74790"/>
    <s v="profit"/>
  </r>
  <r>
    <x v="253"/>
    <s v="august"/>
    <s v="Quantum Media Group"/>
    <s v="Fashion "/>
    <x v="5"/>
    <s v="Uttar Pradesh"/>
    <s v="Female"/>
    <n v="61"/>
    <n v="675"/>
    <n v="770"/>
    <n v="41175"/>
    <n v="46970"/>
    <n v="5795"/>
    <s v="profit"/>
  </r>
  <r>
    <x v="254"/>
    <s v="august"/>
    <s v="Legacy Builders"/>
    <s v="Fashion "/>
    <x v="5"/>
    <s v="Jharkhand"/>
    <s v="Female"/>
    <n v="58"/>
    <n v="720"/>
    <n v="1356"/>
    <n v="41760"/>
    <n v="78648"/>
    <n v="36888"/>
    <s v="profit"/>
  </r>
  <r>
    <x v="255"/>
    <s v="august"/>
    <s v="Apex Spa &amp; Wellness"/>
    <s v="Fashion "/>
    <x v="5"/>
    <s v="Kerala"/>
    <s v="Female"/>
    <n v="60"/>
    <n v="676"/>
    <n v="768"/>
    <n v="40560"/>
    <n v="46080"/>
    <n v="5520"/>
    <s v="profit"/>
  </r>
  <r>
    <x v="256"/>
    <s v="august"/>
    <s v="Radiant Travel Services"/>
    <s v="Fashion "/>
    <x v="5"/>
    <s v="Maharashtra"/>
    <s v="Female"/>
    <n v="91"/>
    <n v="808"/>
    <n v="928"/>
    <n v="73528"/>
    <n v="84448"/>
    <n v="10920"/>
    <s v="profit"/>
  </r>
  <r>
    <x v="257"/>
    <s v="august"/>
    <s v="Modern Trends Consulting"/>
    <s v="Fashion "/>
    <x v="5"/>
    <s v="Himachal Pradesh"/>
    <s v="Female"/>
    <n v="99"/>
    <n v="528"/>
    <n v="985"/>
    <n v="52272"/>
    <n v="97515"/>
    <n v="45243"/>
    <s v="profit"/>
  </r>
  <r>
    <x v="258"/>
    <s v="august"/>
    <s v="Global Horizon Ventures"/>
    <s v="Fashion "/>
    <x v="5"/>
    <s v="Uttarakhand"/>
    <s v="Female"/>
    <n v="73"/>
    <n v="783"/>
    <n v="903"/>
    <n v="57159"/>
    <n v="65919"/>
    <n v="8760"/>
    <s v="profit"/>
  </r>
  <r>
    <x v="259"/>
    <s v="august"/>
    <s v="Elite Enterprises"/>
    <s v="Fashion "/>
    <x v="5"/>
    <s v="Assam"/>
    <s v="Male"/>
    <n v="59"/>
    <n v="638"/>
    <n v="1080"/>
    <n v="37642"/>
    <n v="63720"/>
    <n v="26078"/>
    <s v="profit"/>
  </r>
  <r>
    <x v="260"/>
    <s v="september"/>
    <s v="Pinnacle Health Innovations"/>
    <s v="Fashion "/>
    <x v="5"/>
    <s v="Chhattisgarh"/>
    <s v="Male"/>
    <n v="68"/>
    <n v="881"/>
    <n v="1266"/>
    <n v="59908"/>
    <n v="86088"/>
    <n v="26180"/>
    <s v="profit"/>
  </r>
  <r>
    <x v="129"/>
    <s v="november"/>
    <s v="Urban Vision Solutions"/>
    <s v="Electronic"/>
    <x v="6"/>
    <s v="Uttar Pradesh"/>
    <s v="Female"/>
    <n v="22"/>
    <n v="606"/>
    <n v="1459"/>
    <n v="13332"/>
    <n v="32098"/>
    <n v="18766"/>
    <s v="profit"/>
  </r>
  <r>
    <x v="261"/>
    <s v="september"/>
    <s v="Horizon Fashion"/>
    <s v="Fashion "/>
    <x v="7"/>
    <s v="West Bengal"/>
    <s v="Male"/>
    <n v="55"/>
    <n v="639"/>
    <n v="1311"/>
    <n v="35145"/>
    <n v="72105"/>
    <n v="36960"/>
    <s v="profit"/>
  </r>
  <r>
    <x v="262"/>
    <s v="september"/>
    <s v="Crystal Essence Beverages"/>
    <s v="Fashion "/>
    <x v="7"/>
    <s v="West Bengal"/>
    <s v="Male"/>
    <n v="52"/>
    <n v="718"/>
    <n v="919"/>
    <n v="37336"/>
    <n v="47788"/>
    <n v="10452"/>
    <s v="profit"/>
  </r>
  <r>
    <x v="132"/>
    <s v="december"/>
    <s v="Pinnacle Travel Solutions"/>
    <s v="Electronic"/>
    <x v="6"/>
    <s v="Rajasthan"/>
    <s v="Male"/>
    <n v="28"/>
    <n v="507"/>
    <n v="1379"/>
    <n v="14196"/>
    <n v="38612"/>
    <n v="24416"/>
    <s v="profit"/>
  </r>
  <r>
    <x v="263"/>
    <s v="september"/>
    <s v="Dynamic Pathways"/>
    <s v="Fashion "/>
    <x v="7"/>
    <s v="Madhya Pradesh"/>
    <s v="Female"/>
    <n v="95"/>
    <n v="944"/>
    <n v="1263"/>
    <n v="89680"/>
    <n v="119985"/>
    <n v="30305"/>
    <s v="profit"/>
  </r>
  <r>
    <x v="264"/>
    <s v="september"/>
    <s v="Radiance Apparel"/>
    <s v="Fashion "/>
    <x v="7"/>
    <s v="West Bengal"/>
    <s v="Female"/>
    <n v="99"/>
    <n v="523"/>
    <n v="1350"/>
    <n v="51777"/>
    <n v="133650"/>
    <n v="81873"/>
    <s v="profit"/>
  </r>
  <r>
    <x v="265"/>
    <s v="september"/>
    <s v="Zenith Design Group"/>
    <s v="Fashion "/>
    <x v="7"/>
    <s v="Karnataka"/>
    <s v="Male"/>
    <n v="92"/>
    <n v="814"/>
    <n v="865"/>
    <n v="74888"/>
    <n v="79580"/>
    <n v="4692"/>
    <s v="profit"/>
  </r>
  <r>
    <x v="266"/>
    <s v="september"/>
    <s v="Modern Horizons Consulting"/>
    <s v="Fashion "/>
    <x v="7"/>
    <s v="Maharashtra"/>
    <s v="Male"/>
    <n v="62"/>
    <n v="891"/>
    <n v="1170"/>
    <n v="55242"/>
    <n v="72540"/>
    <n v="17298"/>
    <s v="profit"/>
  </r>
  <r>
    <x v="137"/>
    <s v="december"/>
    <s v="Harmony Health Solutions"/>
    <s v="Electronic"/>
    <x v="6"/>
    <s v="Himachal Pradesh"/>
    <s v="Male"/>
    <n v="29"/>
    <n v="989"/>
    <n v="836"/>
    <n v="28681"/>
    <n v="24244"/>
    <n v="-4437"/>
    <s v="loss"/>
  </r>
  <r>
    <x v="267"/>
    <s v="september"/>
    <s v="Apex Realty Services"/>
    <s v="Fashion "/>
    <x v="7"/>
    <s v="Madhya Pradesh"/>
    <s v="Male"/>
    <n v="89"/>
    <n v="990"/>
    <n v="1047"/>
    <n v="88110"/>
    <n v="93183"/>
    <n v="5073"/>
    <s v="profit"/>
  </r>
  <r>
    <x v="268"/>
    <s v="september"/>
    <s v="Zenith Educational Group"/>
    <s v="Fashion "/>
    <x v="7"/>
    <s v="Maharashtra"/>
    <s v="Male"/>
    <n v="61"/>
    <n v="907"/>
    <n v="1327"/>
    <n v="55327"/>
    <n v="80947"/>
    <n v="25620"/>
    <s v="profit"/>
  </r>
  <r>
    <x v="140"/>
    <s v="december"/>
    <s v="Modern Vision Solutions"/>
    <s v="Fashion "/>
    <x v="5"/>
    <s v="Punjab"/>
    <s v="Male"/>
    <n v="55"/>
    <n v="666"/>
    <n v="1358"/>
    <n v="36630"/>
    <n v="74690"/>
    <n v="38060"/>
    <s v="profit"/>
  </r>
  <r>
    <x v="269"/>
    <s v="september"/>
    <s v="True Path Ventures"/>
    <s v="Fashion "/>
    <x v="7"/>
    <s v="Chandigarh"/>
    <s v="Female"/>
    <n v="52"/>
    <n v="766"/>
    <n v="1318"/>
    <n v="39832"/>
    <n v="68536"/>
    <n v="28704"/>
    <s v="profit"/>
  </r>
  <r>
    <x v="270"/>
    <s v="september"/>
    <s v="Radiance Media"/>
    <s v="Fashion "/>
    <x v="7"/>
    <s v="Madhya Pradesh"/>
    <s v="Male"/>
    <n v="96"/>
    <n v="520"/>
    <n v="1208"/>
    <n v="49920"/>
    <n v="115968"/>
    <n v="66048"/>
    <s v="profit"/>
  </r>
  <r>
    <x v="271"/>
    <s v="september"/>
    <s v="Legacy Health Systems"/>
    <s v="Fashion "/>
    <x v="7"/>
    <s v="Andhra Pradesh"/>
    <s v="Male"/>
    <n v="90"/>
    <n v="792"/>
    <n v="818"/>
    <n v="71280"/>
    <n v="73620"/>
    <n v="2340"/>
    <s v="profit"/>
  </r>
  <r>
    <x v="272"/>
    <s v="september"/>
    <s v="Urban Focus Products"/>
    <s v="Fashion "/>
    <x v="7"/>
    <s v="Bihar"/>
    <s v="Male"/>
    <n v="98"/>
    <n v="711"/>
    <n v="1190"/>
    <n v="69678"/>
    <n v="116620"/>
    <n v="46942"/>
    <s v="profit"/>
  </r>
  <r>
    <x v="145"/>
    <s v="december"/>
    <s v="Radiant Educational Solutions"/>
    <s v="Fashion "/>
    <x v="5"/>
    <s v="Uttar Pradesh"/>
    <s v="Female"/>
    <n v="94"/>
    <n v="616"/>
    <n v="1200"/>
    <n v="57904"/>
    <n v="112800"/>
    <n v="54896"/>
    <s v="profit"/>
  </r>
  <r>
    <x v="273"/>
    <s v="october"/>
    <s v="Visionary Innovations"/>
    <s v="Fashion "/>
    <x v="5"/>
    <s v="Jharkhand"/>
    <s v="Female"/>
    <n v="93"/>
    <n v="660"/>
    <n v="880"/>
    <n v="61380"/>
    <n v="81840"/>
    <n v="20460"/>
    <s v="profit"/>
  </r>
  <r>
    <x v="274"/>
    <s v="october"/>
    <s v="Horizon Design Studio"/>
    <s v="Fashion "/>
    <x v="5"/>
    <s v="Kerala"/>
    <s v="Female"/>
    <n v="59"/>
    <n v="623"/>
    <n v="1386"/>
    <n v="36757"/>
    <n v="81774"/>
    <n v="45017"/>
    <s v="profit"/>
  </r>
  <r>
    <x v="275"/>
    <s v="october"/>
    <s v="Legacy Tech Products"/>
    <s v="Fashion "/>
    <x v="5"/>
    <s v="Himachal Pradesh"/>
    <s v="Female"/>
    <n v="98"/>
    <n v="865"/>
    <n v="1260"/>
    <n v="84770"/>
    <n v="123480"/>
    <n v="38710"/>
    <s v="profit"/>
  </r>
  <r>
    <x v="149"/>
    <s v="december"/>
    <s v="Zenith Creative Solutions"/>
    <s v="Fashion "/>
    <x v="5"/>
    <s v="Uttar Pradesh"/>
    <s v="Female"/>
    <n v="67"/>
    <n v="898"/>
    <n v="1133"/>
    <n v="60166"/>
    <n v="75911"/>
    <n v="15745"/>
    <s v="profit"/>
  </r>
  <r>
    <x v="276"/>
    <s v="october"/>
    <s v="Pinnacle Wellness Services"/>
    <s v="Fashion "/>
    <x v="5"/>
    <s v="Uttarakhand"/>
    <s v="Female"/>
    <n v="83"/>
    <n v="709"/>
    <n v="1206"/>
    <n v="58847"/>
    <n v="100098"/>
    <n v="41251"/>
    <s v="profit"/>
  </r>
  <r>
    <x v="151"/>
    <s v="december"/>
    <s v="Pure Vision Solutions"/>
    <s v="Fashion "/>
    <x v="7"/>
    <s v="Kerala"/>
    <s v="Female"/>
    <n v="72"/>
    <n v="603"/>
    <n v="941"/>
    <n v="43416"/>
    <n v="67752"/>
    <n v="24336"/>
    <s v="profit"/>
  </r>
  <r>
    <x v="277"/>
    <s v="october"/>
    <s v="Urban Insight Consulting"/>
    <s v="Fashion "/>
    <x v="7"/>
    <s v="Assam"/>
    <s v="Female"/>
    <n v="69"/>
    <n v="657"/>
    <n v="1493"/>
    <n v="45333"/>
    <n v="103017"/>
    <n v="57684"/>
    <s v="profit"/>
  </r>
  <r>
    <x v="278"/>
    <s v="october"/>
    <s v="Crystal Horizons"/>
    <s v="Fashion "/>
    <x v="7"/>
    <s v="Punjab"/>
    <s v="Female"/>
    <n v="81"/>
    <n v="709"/>
    <n v="1180"/>
    <n v="57429"/>
    <n v="95580"/>
    <n v="38151"/>
    <s v="profit"/>
  </r>
  <r>
    <x v="279"/>
    <s v="october"/>
    <s v="Radiant Apparel"/>
    <s v="Fashion "/>
    <x v="7"/>
    <s v="Chhattisgarh"/>
    <s v="Female"/>
    <n v="61"/>
    <n v="547"/>
    <n v="1060"/>
    <n v="33367"/>
    <n v="64660"/>
    <n v="31293"/>
    <s v="profit"/>
  </r>
  <r>
    <x v="280"/>
    <s v="october"/>
    <s v="True Value Products"/>
    <s v="Fashion "/>
    <x v="7"/>
    <s v="West Bengal"/>
    <s v="Female"/>
    <n v="57"/>
    <n v="734"/>
    <n v="979"/>
    <n v="41838"/>
    <n v="55803"/>
    <n v="13965"/>
    <s v="profit"/>
  </r>
  <r>
    <x v="156"/>
    <s v="december"/>
    <s v="Harmony Edge Solutions"/>
    <s v="Fashion "/>
    <x v="7"/>
    <s v="Punjab"/>
    <s v="Male"/>
    <n v="97"/>
    <n v="500"/>
    <n v="1417"/>
    <n v="48500"/>
    <n v="137449"/>
    <n v="88949"/>
    <s v="profit"/>
  </r>
  <r>
    <x v="281"/>
    <s v="october"/>
    <s v="Zenith Health Products"/>
    <s v="Fashion "/>
    <x v="7"/>
    <s v="Madhya Pradesh"/>
    <s v="Male"/>
    <n v="60"/>
    <n v="937"/>
    <n v="948"/>
    <n v="56220"/>
    <n v="56880"/>
    <n v="660"/>
    <s v="profit"/>
  </r>
  <r>
    <x v="282"/>
    <s v="october"/>
    <s v="Stellar Wellness Products"/>
    <s v="Fashion "/>
    <x v="1"/>
    <s v="Kerala"/>
    <s v="Male"/>
    <n v="71"/>
    <n v="777"/>
    <n v="1034"/>
    <n v="55167"/>
    <n v="73414"/>
    <n v="18247"/>
    <s v="profit"/>
  </r>
  <r>
    <x v="283"/>
    <s v="october"/>
    <s v="Radiant Consulting Group"/>
    <s v="Fashion "/>
    <x v="1"/>
    <s v="Maharashtra"/>
    <s v="Male"/>
    <n v="52"/>
    <n v="509"/>
    <n v="764"/>
    <n v="26468"/>
    <n v="39728"/>
    <n v="13260"/>
    <s v="profit"/>
  </r>
  <r>
    <x v="284"/>
    <s v="october"/>
    <s v="Harmony Ventures Co."/>
    <s v="Fashion "/>
    <x v="1"/>
    <s v="Himachal Pradesh"/>
    <s v="Female"/>
    <n v="66"/>
    <n v="701"/>
    <n v="1204"/>
    <n v="46266"/>
    <n v="79464"/>
    <n v="33198"/>
    <s v="profit"/>
  </r>
  <r>
    <x v="285"/>
    <s v="october"/>
    <s v="Urban Path Technologies"/>
    <s v="Fashion "/>
    <x v="1"/>
    <s v="Uttarakhand"/>
    <s v="Male"/>
    <n v="97"/>
    <n v="654"/>
    <n v="839"/>
    <n v="63438"/>
    <n v="81383"/>
    <n v="17945"/>
    <s v="profit"/>
  </r>
  <r>
    <x v="286"/>
    <s v="november"/>
    <s v="Modern Vision Ventures"/>
    <s v="Fashion "/>
    <x v="9"/>
    <s v="West Bengal"/>
    <s v="Female"/>
    <n v="63"/>
    <n v="833"/>
    <n v="1040"/>
    <n v="52479"/>
    <n v="65520"/>
    <n v="13041"/>
    <s v="profit"/>
  </r>
  <r>
    <x v="163"/>
    <s v="january"/>
    <s v="Pinnacle Media Solutions"/>
    <s v="Decor"/>
    <x v="0"/>
    <s v="Karnataka"/>
    <s v="Female"/>
    <n v="12"/>
    <n v="864"/>
    <n v="953"/>
    <n v="10368"/>
    <n v="11436"/>
    <n v="1068"/>
    <s v="profit"/>
  </r>
  <r>
    <x v="287"/>
    <s v="november"/>
    <s v="Elite Travel Services"/>
    <s v="Fashion "/>
    <x v="9"/>
    <s v="Karnataka"/>
    <s v="Female"/>
    <n v="74"/>
    <n v="743"/>
    <n v="974"/>
    <n v="54982"/>
    <n v="72076"/>
    <n v="17094"/>
    <s v="profit"/>
  </r>
  <r>
    <x v="165"/>
    <s v="january"/>
    <s v="Radiant Tech Solutions"/>
    <s v="Decor"/>
    <x v="0"/>
    <s v="Maharashtra"/>
    <s v="Female"/>
    <n v="13"/>
    <n v="839"/>
    <n v="1025"/>
    <n v="10907"/>
    <n v="13325"/>
    <n v="2418"/>
    <s v="profit"/>
  </r>
  <r>
    <x v="288"/>
    <s v="november"/>
    <s v="Crystal Innovations Group"/>
    <s v="Fashion "/>
    <x v="9"/>
    <s v="Maharashtra"/>
    <s v="Female"/>
    <n v="86"/>
    <n v="593"/>
    <n v="1425"/>
    <n v="50998"/>
    <n v="122550"/>
    <n v="71552"/>
    <s v="profit"/>
  </r>
  <r>
    <x v="167"/>
    <s v="january"/>
    <s v="Elite Creative Solutions"/>
    <s v="Decor"/>
    <x v="0"/>
    <s v="Chhattisgarh"/>
    <s v="Female"/>
    <n v="11"/>
    <n v="944"/>
    <n v="949"/>
    <n v="10384"/>
    <n v="10439"/>
    <n v="55"/>
    <s v="profit"/>
  </r>
  <r>
    <x v="289"/>
    <s v="november"/>
    <s v="Pinnacle Fitness Studio"/>
    <s v="Fashion "/>
    <x v="9"/>
    <s v="West Bengal"/>
    <s v="Female"/>
    <n v="92"/>
    <n v="609"/>
    <n v="792"/>
    <n v="56028"/>
    <n v="72864"/>
    <n v="16836"/>
    <s v="profit"/>
  </r>
  <r>
    <x v="290"/>
    <s v="november"/>
    <s v="Stellar Travel Agency"/>
    <s v="Fashion "/>
    <x v="9"/>
    <s v="Tamil Nadu"/>
    <s v="Female"/>
    <n v="96"/>
    <n v="674"/>
    <n v="1178"/>
    <n v="64704"/>
    <n v="113088"/>
    <n v="48384"/>
    <s v="profit"/>
  </r>
  <r>
    <x v="291"/>
    <s v="december"/>
    <s v="Apex Travel Ventures"/>
    <s v="Fashion "/>
    <x v="5"/>
    <s v="Assam"/>
    <s v="Male"/>
    <n v="65"/>
    <n v="804"/>
    <n v="876"/>
    <n v="52260"/>
    <n v="56940"/>
    <n v="4680"/>
    <s v="profit"/>
  </r>
  <r>
    <x v="292"/>
    <s v="december"/>
    <s v="True Path Consulting"/>
    <s v="Fashion "/>
    <x v="5"/>
    <s v="Chhattisgarh"/>
    <s v="Female"/>
    <n v="83"/>
    <n v="541"/>
    <n v="1072"/>
    <n v="44903"/>
    <n v="88976"/>
    <n v="44073"/>
    <s v="profit"/>
  </r>
  <r>
    <x v="293"/>
    <s v="december"/>
    <s v="Legacy Finance Group"/>
    <s v="Fashion "/>
    <x v="5"/>
    <s v="West Bengal"/>
    <s v="Female"/>
    <n v="89"/>
    <n v="545"/>
    <n v="978"/>
    <n v="48505"/>
    <n v="87042"/>
    <n v="38537"/>
    <s v="profit"/>
  </r>
  <r>
    <x v="294"/>
    <s v="december"/>
    <s v="Pinnacle Design Ventures"/>
    <s v="Fashion "/>
    <x v="5"/>
    <s v="Gujarat"/>
    <s v="Female"/>
    <n v="80"/>
    <n v="671"/>
    <n v="1251"/>
    <n v="53680"/>
    <n v="100080"/>
    <n v="46400"/>
    <s v="profit"/>
  </r>
  <r>
    <x v="174"/>
    <s v="january"/>
    <s v="Pinnacle Design Solutions"/>
    <s v="Fashion "/>
    <x v="7"/>
    <s v="Rajasthan"/>
    <s v="Male"/>
    <n v="82"/>
    <n v="822"/>
    <n v="1445"/>
    <n v="67404"/>
    <n v="118490"/>
    <n v="51086"/>
    <s v="profit"/>
  </r>
  <r>
    <x v="295"/>
    <s v="december"/>
    <s v="Stellar Innovations Co."/>
    <s v="Fashion "/>
    <x v="5"/>
    <s v="Uttar Pradesh"/>
    <s v="Female"/>
    <n v="68"/>
    <n v="815"/>
    <n v="808"/>
    <n v="55420"/>
    <n v="54944"/>
    <n v="-476"/>
    <s v="loss"/>
  </r>
  <r>
    <x v="296"/>
    <s v="december"/>
    <s v="Harmony Marketing Co."/>
    <s v="Fashion "/>
    <x v="5"/>
    <s v="Tamil Nadu"/>
    <s v="Female"/>
    <n v="88"/>
    <n v="674"/>
    <n v="891"/>
    <n v="59312"/>
    <n v="78408"/>
    <n v="19096"/>
    <s v="profit"/>
  </r>
  <r>
    <x v="297"/>
    <s v="december"/>
    <s v="Urban Tech Innovations"/>
    <s v="Fashion "/>
    <x v="5"/>
    <s v="Tamil Nadu"/>
    <s v="Female"/>
    <n v="64"/>
    <n v="665"/>
    <n v="783"/>
    <n v="42560"/>
    <n v="50112"/>
    <n v="7552"/>
    <s v="profit"/>
  </r>
  <r>
    <x v="298"/>
    <s v="december"/>
    <s v="Crystal Wellness Group"/>
    <s v="Fashion "/>
    <x v="5"/>
    <s v="Rajasthan"/>
    <s v="Female"/>
    <n v="81"/>
    <n v="801"/>
    <n v="846"/>
    <n v="64881"/>
    <n v="68526"/>
    <n v="3645"/>
    <s v="profit"/>
  </r>
  <r>
    <x v="299"/>
    <s v="december"/>
    <s v="Apex Media Co."/>
    <s v="Fashion "/>
    <x v="5"/>
    <s v="Jharkhand"/>
    <s v="Female"/>
    <n v="74"/>
    <n v="734"/>
    <n v="886"/>
    <n v="54316"/>
    <n v="65564"/>
    <n v="11248"/>
    <s v="profit"/>
  </r>
  <r>
    <x v="180"/>
    <s v="january"/>
    <s v="Pure Harmony Solutions"/>
    <s v="Decor"/>
    <x v="2"/>
    <s v="Uttarakhand"/>
    <s v="Female"/>
    <n v="10"/>
    <n v="519"/>
    <n v="1420"/>
    <n v="5190"/>
    <n v="14200"/>
    <n v="9010"/>
    <s v="profit"/>
  </r>
  <r>
    <x v="300"/>
    <s v="december"/>
    <s v="Legacy Health Ventures"/>
    <s v="Fashion "/>
    <x v="7"/>
    <s v="Maharashtra"/>
    <s v="Female"/>
    <n v="94"/>
    <n v="564"/>
    <n v="941"/>
    <n v="53016"/>
    <n v="88454"/>
    <n v="35438"/>
    <s v="profit"/>
  </r>
  <r>
    <x v="301"/>
    <s v="december"/>
    <s v="Pinnacle Spectrum Co."/>
    <s v="Fashion "/>
    <x v="7"/>
    <s v="Himachal Pradesh"/>
    <s v="Female"/>
    <n v="50"/>
    <n v="545"/>
    <n v="1050"/>
    <n v="27250"/>
    <n v="52500"/>
    <n v="25250"/>
    <s v="profit"/>
  </r>
  <r>
    <x v="302"/>
    <s v="december"/>
    <s v="Stellar Travel Products"/>
    <s v="Fashion "/>
    <x v="7"/>
    <s v="Uttarakhand"/>
    <s v="Female"/>
    <n v="60"/>
    <n v="783"/>
    <n v="1422"/>
    <n v="46980"/>
    <n v="85320"/>
    <n v="38340"/>
    <s v="profit"/>
  </r>
  <r>
    <x v="303"/>
    <s v="december"/>
    <s v="Radiance Finance Services"/>
    <s v="Fashion "/>
    <x v="7"/>
    <s v="Assam"/>
    <s v="Female"/>
    <n v="63"/>
    <n v="746"/>
    <n v="1075"/>
    <n v="46998"/>
    <n v="67725"/>
    <n v="20727"/>
    <s v="profit"/>
  </r>
  <r>
    <x v="304"/>
    <s v="december"/>
    <s v="Modern Travel Agency"/>
    <s v="Fashion "/>
    <x v="7"/>
    <s v="Chhattisgarh"/>
    <s v="Male"/>
    <n v="86"/>
    <n v="834"/>
    <n v="1372"/>
    <n v="71724"/>
    <n v="117992"/>
    <n v="46268"/>
    <s v="profit"/>
  </r>
  <r>
    <x v="186"/>
    <s v="january"/>
    <s v="Zenith Path Solutions"/>
    <s v="Decor"/>
    <x v="2"/>
    <s v="Madhya Pradesh"/>
    <s v="Female"/>
    <n v="17"/>
    <n v="922"/>
    <n v="899"/>
    <n v="15674"/>
    <n v="15283"/>
    <n v="-391"/>
    <s v="loss"/>
  </r>
  <r>
    <x v="305"/>
    <s v="december"/>
    <s v="Crystal Path Consulting"/>
    <s v="Fashion "/>
    <x v="7"/>
    <s v="West Bengal"/>
    <s v="Male"/>
    <n v="51"/>
    <n v="944"/>
    <n v="1062"/>
    <n v="48144"/>
    <n v="54162"/>
    <n v="6018"/>
    <s v="profit"/>
  </r>
  <r>
    <x v="306"/>
    <s v="december"/>
    <s v="Zenith Educational Services"/>
    <s v="Fashion "/>
    <x v="7"/>
    <s v="West Bengal"/>
    <s v="Male"/>
    <n v="75"/>
    <n v="547"/>
    <n v="1203"/>
    <n v="41025"/>
    <n v="90225"/>
    <n v="49200"/>
    <s v="profit"/>
  </r>
  <r>
    <x v="307"/>
    <s v="december"/>
    <s v="Apex Innovations Co."/>
    <s v="Fashion "/>
    <x v="7"/>
    <s v="Madhya Pradesh"/>
    <s v="Male"/>
    <n v="64"/>
    <n v="918"/>
    <n v="907"/>
    <n v="58752"/>
    <n v="58048"/>
    <n v="-704"/>
    <s v="loss"/>
  </r>
  <r>
    <x v="190"/>
    <s v="january"/>
    <s v="Legacy Media Solutions"/>
    <s v="Decor"/>
    <x v="2"/>
    <s v="Jharkhand"/>
    <s v="Male"/>
    <n v="12"/>
    <n v="519"/>
    <n v="1212"/>
    <n v="6228"/>
    <n v="14544"/>
    <n v="8316"/>
    <s v="profit"/>
  </r>
  <r>
    <x v="308"/>
    <s v="january"/>
    <s v="Pure Harmony Health"/>
    <s v="Fashion "/>
    <x v="7"/>
    <s v="Jharkhand"/>
    <s v="Female"/>
    <n v="74"/>
    <n v="965"/>
    <n v="906"/>
    <n v="71410"/>
    <n v="67044"/>
    <n v="-4366"/>
    <s v="loss"/>
  </r>
  <r>
    <x v="309"/>
    <s v="january"/>
    <s v="Apex Travel Innovations"/>
    <s v="Fashion "/>
    <x v="5"/>
    <s v="Gujarat"/>
    <s v="Male"/>
    <n v="100"/>
    <n v="667"/>
    <n v="1109"/>
    <n v="66700"/>
    <n v="110900"/>
    <n v="44200"/>
    <s v="profit"/>
  </r>
  <r>
    <x v="310"/>
    <s v="january"/>
    <s v="Modern Health Products"/>
    <s v="Fashion "/>
    <x v="5"/>
    <s v="Uttar Pradesh"/>
    <s v="Male"/>
    <n v="60"/>
    <n v="509"/>
    <n v="954"/>
    <n v="30540"/>
    <n v="57240"/>
    <n v="26700"/>
    <s v="profit"/>
  </r>
  <r>
    <x v="311"/>
    <s v="january"/>
    <s v="Harmony Finance Group"/>
    <s v="Fashion "/>
    <x v="5"/>
    <s v="Uttar Pradesh"/>
    <s v="Male"/>
    <n v="93"/>
    <n v="814"/>
    <n v="832"/>
    <n v="75702"/>
    <n v="77376"/>
    <n v="1674"/>
    <s v="profit"/>
  </r>
  <r>
    <x v="312"/>
    <s v="january"/>
    <s v="Pure Vision Consulting"/>
    <s v="Fashion "/>
    <x v="5"/>
    <s v="Tamil Nadu"/>
    <s v="Female"/>
    <n v="86"/>
    <n v="567"/>
    <n v="1491"/>
    <n v="48762"/>
    <n v="128226"/>
    <n v="79464"/>
    <s v="profit"/>
  </r>
  <r>
    <x v="313"/>
    <s v="january"/>
    <s v="Legacy Spectrum Co."/>
    <s v="Fashion "/>
    <x v="5"/>
    <s v="Tamil Nadu"/>
    <s v="Male"/>
    <n v="54"/>
    <n v="674"/>
    <n v="787"/>
    <n v="36396"/>
    <n v="42498"/>
    <n v="6102"/>
    <s v="profit"/>
  </r>
  <r>
    <x v="314"/>
    <s v="january"/>
    <s v="Stellar Media Services"/>
    <s v="Fashion "/>
    <x v="7"/>
    <s v="Uttar Pradesh"/>
    <s v="Male"/>
    <n v="98"/>
    <n v="950"/>
    <n v="1426"/>
    <n v="93100"/>
    <n v="139748"/>
    <n v="46648"/>
    <s v="profit"/>
  </r>
  <r>
    <x v="315"/>
    <s v="january"/>
    <s v="Radiant Innovations Group"/>
    <s v="Fashion "/>
    <x v="7"/>
    <s v="Jharkhand"/>
    <s v="Male"/>
    <n v="82"/>
    <n v="916"/>
    <n v="1461"/>
    <n v="75112"/>
    <n v="119802"/>
    <n v="44690"/>
    <s v="profit"/>
  </r>
  <r>
    <x v="316"/>
    <s v="january"/>
    <s v="Horizon Path Ventures"/>
    <s v="Fashion "/>
    <x v="7"/>
    <s v="Kerala"/>
    <s v="Female"/>
    <n v="66"/>
    <n v="710"/>
    <n v="1034"/>
    <n v="46860"/>
    <n v="68244"/>
    <n v="21384"/>
    <s v="profit"/>
  </r>
  <r>
    <x v="317"/>
    <s v="january"/>
    <s v="Zenith Tech Co."/>
    <s v="Fashion "/>
    <x v="7"/>
    <s v="Maharashtra"/>
    <s v="Female"/>
    <n v="77"/>
    <n v="922"/>
    <n v="1400"/>
    <n v="70994"/>
    <n v="107800"/>
    <n v="36806"/>
    <s v="profit"/>
  </r>
  <r>
    <x v="195"/>
    <s v="february"/>
    <s v="Radiant Solutions Co."/>
    <s v="Electronic"/>
    <x v="6"/>
    <s v="Jharkhand"/>
    <s v="Female"/>
    <n v="22"/>
    <n v="745"/>
    <n v="1153"/>
    <n v="16390"/>
    <n v="25366"/>
    <n v="8976"/>
    <s v="profit"/>
  </r>
  <r>
    <x v="318"/>
    <s v="january"/>
    <s v="Apex Finance Ventures"/>
    <s v="Fashion "/>
    <x v="7"/>
    <s v="Himachal Pradesh"/>
    <s v="Female"/>
    <n v="93"/>
    <n v="887"/>
    <n v="993"/>
    <n v="82491"/>
    <n v="92349"/>
    <n v="9858"/>
    <s v="profit"/>
  </r>
  <r>
    <x v="319"/>
    <s v="february"/>
    <s v="Zenith Wellness Co."/>
    <s v="Fashion "/>
    <x v="5"/>
    <s v="Uttar Pradesh"/>
    <s v="Female"/>
    <n v="78"/>
    <n v="709"/>
    <n v="1494"/>
    <n v="55302"/>
    <n v="116532"/>
    <n v="61230"/>
    <s v="profit"/>
  </r>
  <r>
    <x v="320"/>
    <s v="february"/>
    <s v="Apex Design Services"/>
    <s v="Fashion "/>
    <x v="5"/>
    <s v="Uttar Pradesh"/>
    <s v="Female"/>
    <n v="87"/>
    <n v="714"/>
    <n v="926"/>
    <n v="62118"/>
    <n v="80562"/>
    <n v="18444"/>
    <s v="profit"/>
  </r>
  <r>
    <x v="196"/>
    <s v="february"/>
    <s v="Modern Travel Solutions"/>
    <s v="Fashion "/>
    <x v="5"/>
    <s v="Tamil Nadu"/>
    <s v="Female"/>
    <n v="90"/>
    <n v="983"/>
    <n v="924"/>
    <n v="88470"/>
    <n v="83160"/>
    <n v="-5310"/>
    <s v="loss"/>
  </r>
  <r>
    <x v="321"/>
    <s v="february"/>
    <s v="Pure Health Ventures"/>
    <s v="Fashion "/>
    <x v="5"/>
    <s v="Tamil Nadu"/>
    <s v="Female"/>
    <n v="78"/>
    <n v="789"/>
    <n v="1064"/>
    <n v="61542"/>
    <n v="82992"/>
    <n v="21450"/>
    <s v="profit"/>
  </r>
  <r>
    <x v="322"/>
    <s v="february"/>
    <s v="Legacy Spectrum Group"/>
    <s v="Fashion "/>
    <x v="5"/>
    <s v="Rajasthan"/>
    <s v="Male"/>
    <n v="74"/>
    <n v="835"/>
    <n v="1096"/>
    <n v="61790"/>
    <n v="81104"/>
    <n v="19314"/>
    <s v="profit"/>
  </r>
  <r>
    <x v="323"/>
    <s v="february"/>
    <s v="Pinnacle Media Ventures"/>
    <s v="Fashion "/>
    <x v="5"/>
    <s v="Uttar Pradesh"/>
    <s v="Male"/>
    <n v="94"/>
    <n v="952"/>
    <n v="1425"/>
    <n v="89488"/>
    <n v="133950"/>
    <n v="44462"/>
    <s v="profit"/>
  </r>
  <r>
    <x v="324"/>
    <s v="february"/>
    <s v="Stellar Innovations Group"/>
    <s v="Fashion "/>
    <x v="5"/>
    <s v="Jharkhand"/>
    <s v="Male"/>
    <n v="55"/>
    <n v="558"/>
    <n v="1203"/>
    <n v="30690"/>
    <n v="66165"/>
    <n v="35475"/>
    <s v="profit"/>
  </r>
  <r>
    <x v="325"/>
    <s v="february"/>
    <s v="Radiant Educational Co."/>
    <s v="Fashion "/>
    <x v="5"/>
    <s v="Kerala"/>
    <s v="Male"/>
    <n v="56"/>
    <n v="562"/>
    <n v="1341"/>
    <n v="31472"/>
    <n v="75096"/>
    <n v="43624"/>
    <s v="profit"/>
  </r>
  <r>
    <x v="326"/>
    <s v="february"/>
    <s v="Harmony Edge Ventures"/>
    <s v="Fashion "/>
    <x v="5"/>
    <s v="Maharashtra"/>
    <s v="Female"/>
    <n v="94"/>
    <n v="513"/>
    <n v="1318"/>
    <n v="48222"/>
    <n v="123892"/>
    <n v="75670"/>
    <s v="profit"/>
  </r>
  <r>
    <x v="197"/>
    <s v="february"/>
    <s v="Zenith Tech Solutions"/>
    <s v="Fashion "/>
    <x v="5"/>
    <s v="Himachal Pradesh"/>
    <s v="Male"/>
    <n v="76"/>
    <n v="526"/>
    <n v="1260"/>
    <n v="39976"/>
    <n v="95760"/>
    <n v="55784"/>
    <s v="profit"/>
  </r>
  <r>
    <x v="327"/>
    <s v="february"/>
    <s v="Apex Finance Group"/>
    <s v="Fashion "/>
    <x v="5"/>
    <s v="Uttarakhand"/>
    <s v="Male"/>
    <n v="61"/>
    <n v="545"/>
    <n v="915"/>
    <n v="33245"/>
    <n v="55815"/>
    <n v="22570"/>
    <s v="profit"/>
  </r>
  <r>
    <x v="328"/>
    <s v="february"/>
    <s v="Pure Harmony Media"/>
    <s v="Fashion "/>
    <x v="5"/>
    <s v="Assam"/>
    <s v="Male"/>
    <n v="99"/>
    <n v="943"/>
    <n v="823"/>
    <n v="93357"/>
    <n v="81477"/>
    <n v="-11880"/>
    <s v="loss"/>
  </r>
  <r>
    <x v="329"/>
    <s v="february"/>
    <s v="Legacy Health Co."/>
    <s v="Fashion "/>
    <x v="7"/>
    <s v="Punjab"/>
    <s v="Male"/>
    <n v="84"/>
    <n v="738"/>
    <n v="1080"/>
    <n v="61992"/>
    <n v="90720"/>
    <n v="28728"/>
    <s v="profit"/>
  </r>
  <r>
    <x v="331"/>
    <m/>
    <m/>
    <m/>
    <x v="11"/>
    <m/>
    <m/>
    <m/>
    <m/>
    <m/>
    <m/>
    <m/>
    <m/>
    <m/>
  </r>
  <r>
    <x v="331"/>
    <m/>
    <m/>
    <m/>
    <x v="11"/>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Reliance Enterprises"/>
    <x v="0"/>
    <x v="0"/>
    <x v="0"/>
    <n v="0"/>
  </r>
  <r>
    <s v="Tata Solutions"/>
    <x v="1"/>
    <x v="1"/>
    <x v="1"/>
    <n v="94138"/>
  </r>
  <r>
    <s v="Infosys Technologies"/>
    <x v="0"/>
    <x v="0"/>
    <x v="0"/>
    <n v="72679"/>
  </r>
  <r>
    <s v="Wipro Digital"/>
    <x v="0"/>
    <x v="0"/>
    <x v="0"/>
    <n v="130238"/>
  </r>
  <r>
    <s v="Adani Industries"/>
    <x v="1"/>
    <x v="1"/>
    <x v="0"/>
    <n v="108636"/>
  </r>
  <r>
    <s v="Mahindra Innovations"/>
    <x v="2"/>
    <x v="2"/>
    <x v="1"/>
    <n v="108005"/>
  </r>
  <r>
    <s v="HDFC Finance"/>
    <x v="2"/>
    <x v="0"/>
    <x v="1"/>
    <n v="141259"/>
  </r>
  <r>
    <s v="Flipkart Retail"/>
    <x v="2"/>
    <x v="0"/>
    <x v="1"/>
    <n v="86739"/>
  </r>
  <r>
    <s v="Byju’s EdTech"/>
    <x v="0"/>
    <x v="2"/>
    <x v="0"/>
    <n v="95170"/>
  </r>
  <r>
    <s v="Zomato Services"/>
    <x v="1"/>
    <x v="1"/>
    <x v="1"/>
    <n v="50655"/>
  </r>
  <r>
    <s v="Reliance Enterprises"/>
    <x v="1"/>
    <x v="1"/>
    <x v="0"/>
    <n v="76361"/>
  </r>
  <r>
    <s v="Tata Solutions"/>
    <x v="1"/>
    <x v="3"/>
    <x v="0"/>
    <n v="59986"/>
  </r>
  <r>
    <s v="Infosys Technologies"/>
    <x v="0"/>
    <x v="3"/>
    <x v="1"/>
    <n v="96489"/>
  </r>
  <r>
    <s v="Wipro Digital"/>
    <x v="0"/>
    <x v="3"/>
    <x v="1"/>
    <n v="96845"/>
  </r>
  <r>
    <s v="Adani Industries"/>
    <x v="2"/>
    <x v="0"/>
    <x v="0"/>
    <n v="147430"/>
  </r>
  <r>
    <s v="Mahindra Innovations"/>
    <x v="2"/>
    <x v="0"/>
    <x v="0"/>
    <n v="116547"/>
  </r>
  <r>
    <s v="HDFC Finance"/>
    <x v="0"/>
    <x v="1"/>
    <x v="0"/>
    <n v="50478"/>
  </r>
  <r>
    <s v="Flipkart Retail"/>
    <x v="1"/>
    <x v="2"/>
    <x v="1"/>
    <n v="131028"/>
  </r>
  <r>
    <s v="Byju’s EdTech"/>
    <x v="0"/>
    <x v="2"/>
    <x v="1"/>
    <n v="136265"/>
  </r>
  <r>
    <s v="Zomato Services"/>
    <x v="0"/>
    <x v="0"/>
    <x v="1"/>
    <n v="143860"/>
  </r>
  <r>
    <s v="Reliance Enterprises"/>
    <x v="1"/>
    <x v="1"/>
    <x v="0"/>
    <n v="57757"/>
  </r>
  <r>
    <s v="Tata Solutions"/>
    <x v="2"/>
    <x v="3"/>
    <x v="0"/>
    <n v="122231"/>
  </r>
  <r>
    <s v="Infosys Technologies"/>
    <x v="2"/>
    <x v="3"/>
    <x v="1"/>
    <n v="127292"/>
  </r>
  <r>
    <s v="Wipro Digital"/>
    <x v="2"/>
    <x v="2"/>
    <x v="1"/>
    <n v="50194"/>
  </r>
  <r>
    <s v="Adani Industries"/>
    <x v="0"/>
    <x v="1"/>
    <x v="0"/>
    <n v="76180"/>
  </r>
  <r>
    <s v="Mahindra Innovations"/>
    <x v="1"/>
    <x v="1"/>
    <x v="0"/>
    <n v="112323"/>
  </r>
  <r>
    <s v="HDFC Finance"/>
    <x v="1"/>
    <x v="3"/>
    <x v="1"/>
    <n v="61988"/>
  </r>
  <r>
    <s v="Flipkart Retail"/>
    <x v="1"/>
    <x v="3"/>
    <x v="1"/>
    <n v="142292"/>
  </r>
  <r>
    <s v="Byju’s EdTech"/>
    <x v="0"/>
    <x v="0"/>
    <x v="0"/>
    <n v="135328"/>
  </r>
  <r>
    <s v="Zomato Services"/>
    <x v="0"/>
    <x v="0"/>
    <x v="0"/>
    <n v="85819"/>
  </r>
  <r>
    <s v="Accounts Expert"/>
    <x v="0"/>
    <x v="4"/>
    <x v="0"/>
    <n v="856945"/>
  </r>
  <r>
    <s v="Tata Solutions"/>
    <x v="2"/>
    <x v="0"/>
    <x v="1"/>
    <n v="103228"/>
  </r>
  <r>
    <s v="Infosys Technologies"/>
    <x v="0"/>
    <x v="1"/>
    <x v="0"/>
    <n v="56765"/>
  </r>
  <r>
    <s v="Wipro Digital"/>
    <x v="1"/>
    <x v="2"/>
    <x v="0"/>
    <n v="122853"/>
  </r>
  <r>
    <s v="Adani Industries"/>
    <x v="0"/>
    <x v="2"/>
    <x v="1"/>
    <n v="59918"/>
  </r>
  <r>
    <s v="Mahindra Innovations"/>
    <x v="0"/>
    <x v="0"/>
    <x v="1"/>
    <n v="59303"/>
  </r>
  <r>
    <s v="HDFC Finance"/>
    <x v="1"/>
    <x v="1"/>
    <x v="0"/>
    <n v="105850"/>
  </r>
  <r>
    <s v="Flipkart Retail"/>
    <x v="2"/>
    <x v="3"/>
    <x v="1"/>
    <n v="146177"/>
  </r>
  <r>
    <s v="Byju’s EdTech"/>
    <x v="2"/>
    <x v="2"/>
    <x v="0"/>
    <n v="56078"/>
  </r>
  <r>
    <s v="Zomato Services"/>
    <x v="2"/>
    <x v="2"/>
    <x v="1"/>
    <n v="109136"/>
  </r>
  <r>
    <s v="Reliance Enterprises"/>
    <x v="0"/>
    <x v="0"/>
    <x v="1"/>
    <n v="76997"/>
  </r>
  <r>
    <s v="Tata Solutions"/>
    <x v="1"/>
    <x v="0"/>
    <x v="1"/>
    <n v="148442"/>
  </r>
  <r>
    <s v="Infosys Technologies"/>
    <x v="1"/>
    <x v="1"/>
    <x v="1"/>
    <n v="129500"/>
  </r>
  <r>
    <s v="Wipro Digital"/>
    <x v="1"/>
    <x v="3"/>
    <x v="0"/>
    <n v="133884"/>
  </r>
  <r>
    <s v="Adani Industries"/>
    <x v="0"/>
    <x v="3"/>
    <x v="0"/>
    <n v="106065"/>
  </r>
  <r>
    <s v="Mahindra Innovations"/>
    <x v="0"/>
    <x v="3"/>
    <x v="0"/>
    <n v="82337"/>
  </r>
  <r>
    <s v="HDFC Finance"/>
    <x v="2"/>
    <x v="1"/>
    <x v="1"/>
    <n v="73197"/>
  </r>
  <r>
    <s v="Flipkart Retail"/>
    <x v="2"/>
    <x v="0"/>
    <x v="1"/>
    <n v="119829"/>
  </r>
  <r>
    <s v="Byju’s EdTech"/>
    <x v="2"/>
    <x v="0"/>
    <x v="1"/>
    <n v="92926"/>
  </r>
  <r>
    <s v="Zomato Services"/>
    <x v="0"/>
    <x v="2"/>
    <x v="0"/>
    <n v="8831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x v="0"/>
    <s v="june"/>
    <s v="Horizon Wellness"/>
    <s v="Decor"/>
    <s v="Car accessories"/>
    <x v="0"/>
    <s v="Female"/>
    <n v="17"/>
    <n v="938"/>
    <n v="938"/>
    <n v="15946"/>
    <n v="15946"/>
    <n v="0"/>
    <s v="loss"/>
  </r>
  <r>
    <x v="1"/>
    <s v="june"/>
    <s v="True Value Electronics"/>
    <s v="Decor"/>
    <s v="Car accessories"/>
    <x v="1"/>
    <s v="Female"/>
    <n v="18"/>
    <n v="920"/>
    <n v="1360"/>
    <n v="16560"/>
    <n v="24480"/>
    <n v="7920"/>
    <s v="profit"/>
  </r>
  <r>
    <x v="2"/>
    <s v="june"/>
    <s v="Harmony Homes Realty"/>
    <s v="Decor"/>
    <s v="Car accessories"/>
    <x v="2"/>
    <s v="Female"/>
    <n v="20"/>
    <n v="731"/>
    <n v="1186"/>
    <n v="14620"/>
    <n v="23720"/>
    <n v="9100"/>
    <s v="profit"/>
  </r>
  <r>
    <x v="3"/>
    <s v="june"/>
    <s v="Stellar Advertising"/>
    <s v="Decor"/>
    <s v="Car accessories"/>
    <x v="3"/>
    <s v="Female"/>
    <n v="17"/>
    <n v="750"/>
    <n v="793"/>
    <n v="12750"/>
    <n v="13481"/>
    <n v="731"/>
    <s v="profit"/>
  </r>
  <r>
    <x v="4"/>
    <s v="june"/>
    <s v="Modern Trends Retail"/>
    <s v="Decor"/>
    <s v="Car accessories"/>
    <x v="4"/>
    <s v="Male"/>
    <n v="14"/>
    <n v="906"/>
    <n v="1327"/>
    <n v="12684"/>
    <n v="18578"/>
    <n v="5894"/>
    <s v="profit"/>
  </r>
  <r>
    <x v="5"/>
    <s v="june"/>
    <s v="Global Spectrum Consulting"/>
    <s v="Decor"/>
    <s v="Car accessories"/>
    <x v="5"/>
    <s v="Male"/>
    <n v="20"/>
    <n v="699"/>
    <n v="1400"/>
    <n v="13980"/>
    <n v="28000"/>
    <n v="14020"/>
    <s v="profit"/>
  </r>
  <r>
    <x v="6"/>
    <s v="april"/>
    <s v="Apex Solutions"/>
    <s v="Fashion "/>
    <s v="Women dress"/>
    <x v="6"/>
    <s v="Male"/>
    <n v="55"/>
    <n v="637"/>
    <n v="1143"/>
    <n v="35035"/>
    <n v="62865"/>
    <n v="27830"/>
    <s v="profit"/>
  </r>
  <r>
    <x v="7"/>
    <s v="june"/>
    <s v="Radiant Vision Studios"/>
    <s v="Decor"/>
    <s v="Home décor"/>
    <x v="6"/>
    <s v="Female"/>
    <n v="17"/>
    <n v="537"/>
    <n v="1350"/>
    <n v="9129"/>
    <n v="22950"/>
    <n v="13821"/>
    <s v="profit"/>
  </r>
  <r>
    <x v="8"/>
    <s v="june"/>
    <s v="Noble Travel Services"/>
    <s v="Decor"/>
    <s v="Home décor"/>
    <x v="7"/>
    <s v="Female"/>
    <n v="20"/>
    <n v="875"/>
    <n v="911"/>
    <n v="17500"/>
    <n v="18220"/>
    <n v="720"/>
    <s v="profit"/>
  </r>
  <r>
    <x v="9"/>
    <s v="july"/>
    <s v="Bright Future Academy"/>
    <s v="Decor"/>
    <s v="Home décor"/>
    <x v="7"/>
    <s v="Female"/>
    <n v="13"/>
    <n v="917"/>
    <n v="1315"/>
    <n v="11921"/>
    <n v="17095"/>
    <n v="5174"/>
    <s v="profit"/>
  </r>
  <r>
    <x v="10"/>
    <s v="july"/>
    <s v="Visionary Health Systems"/>
    <s v="Decor"/>
    <s v="Home décor"/>
    <x v="4"/>
    <s v="Female"/>
    <n v="12"/>
    <n v="980"/>
    <n v="1462"/>
    <n v="11760"/>
    <n v="17544"/>
    <n v="5784"/>
    <s v="profit"/>
  </r>
  <r>
    <x v="11"/>
    <s v="july"/>
    <s v="Apex Retailers"/>
    <s v="Decor"/>
    <s v="Home décor"/>
    <x v="8"/>
    <s v="Female"/>
    <n v="12"/>
    <n v="734"/>
    <n v="1181"/>
    <n v="8808"/>
    <n v="14172"/>
    <n v="5364"/>
    <s v="profit"/>
  </r>
  <r>
    <x v="12"/>
    <s v="april"/>
    <s v="Metro Tech Solutions"/>
    <s v="Electronic"/>
    <s v="Speaker"/>
    <x v="8"/>
    <s v="Female"/>
    <n v="29"/>
    <n v="951"/>
    <n v="1268"/>
    <n v="27579"/>
    <n v="36772"/>
    <n v="9193"/>
    <s v="profit"/>
  </r>
  <r>
    <x v="13"/>
    <s v="july"/>
    <s v="Prestige Property Developers"/>
    <s v="Decor"/>
    <s v="Home décor"/>
    <x v="9"/>
    <s v="Female"/>
    <n v="12"/>
    <n v="913"/>
    <n v="1170"/>
    <n v="10956"/>
    <n v="14040"/>
    <n v="3084"/>
    <s v="profit"/>
  </r>
  <r>
    <x v="14"/>
    <s v="july"/>
    <s v="Classic Trends Fashion"/>
    <s v="Decor"/>
    <s v="Home décor"/>
    <x v="4"/>
    <s v="Male"/>
    <n v="20"/>
    <n v="833"/>
    <n v="877"/>
    <n v="16660"/>
    <n v="17540"/>
    <n v="880"/>
    <s v="profit"/>
  </r>
  <r>
    <x v="15"/>
    <s v="july"/>
    <s v="Harmony Ventures"/>
    <s v="Decor"/>
    <s v="Home décor"/>
    <x v="10"/>
    <s v="Male"/>
    <n v="17"/>
    <n v="748"/>
    <n v="1138"/>
    <n v="12716"/>
    <n v="19346"/>
    <n v="6630"/>
    <s v="profit"/>
  </r>
  <r>
    <x v="16"/>
    <s v="july"/>
    <s v="Stellar Realty"/>
    <s v="Decor"/>
    <s v="Home décor"/>
    <x v="11"/>
    <s v="Male"/>
    <n v="20"/>
    <n v="517"/>
    <n v="1405"/>
    <n v="10340"/>
    <n v="28100"/>
    <n v="17760"/>
    <s v="profit"/>
  </r>
  <r>
    <x v="17"/>
    <s v="july"/>
    <s v="Future Path Technologies"/>
    <s v="Decor"/>
    <s v="Home décor"/>
    <x v="6"/>
    <s v="Male"/>
    <n v="18"/>
    <n v="674"/>
    <n v="775"/>
    <n v="12132"/>
    <n v="13950"/>
    <n v="1818"/>
    <s v="profit"/>
  </r>
  <r>
    <x v="18"/>
    <s v="july"/>
    <s v="Elite Edge Services"/>
    <s v="Decor"/>
    <s v="Home décor"/>
    <x v="7"/>
    <s v="Female"/>
    <n v="17"/>
    <n v="641"/>
    <n v="765"/>
    <n v="10897"/>
    <n v="13005"/>
    <n v="2108"/>
    <s v="profit"/>
  </r>
  <r>
    <x v="19"/>
    <s v="august"/>
    <s v="Modern Harmony Products"/>
    <s v="Decor"/>
    <s v="Home décor"/>
    <x v="8"/>
    <s v="Female"/>
    <n v="10"/>
    <n v="754"/>
    <n v="982"/>
    <n v="7540"/>
    <n v="9820"/>
    <n v="2280"/>
    <s v="profit"/>
  </r>
  <r>
    <x v="20"/>
    <s v="august"/>
    <s v="Horizon Builders &amp; Developers"/>
    <s v="Decor"/>
    <s v="Home décor"/>
    <x v="12"/>
    <s v="Female"/>
    <n v="14"/>
    <n v="815"/>
    <n v="1341"/>
    <n v="11410"/>
    <n v="18774"/>
    <n v="7364"/>
    <s v="profit"/>
  </r>
  <r>
    <x v="21"/>
    <s v="august"/>
    <s v="Legacy Apparel"/>
    <s v="Decor"/>
    <s v="Home décor"/>
    <x v="7"/>
    <s v="Female"/>
    <n v="18"/>
    <n v="704"/>
    <n v="930"/>
    <n v="12672"/>
    <n v="16740"/>
    <n v="4068"/>
    <s v="profit"/>
  </r>
  <r>
    <x v="22"/>
    <s v="april"/>
    <s v="Elite Marketing Solutions"/>
    <s v="Electronic"/>
    <s v="TV"/>
    <x v="13"/>
    <s v="Male"/>
    <n v="25"/>
    <n v="958"/>
    <n v="942"/>
    <n v="23950"/>
    <n v="23550"/>
    <n v="-400"/>
    <s v="loss"/>
  </r>
  <r>
    <x v="23"/>
    <s v="august"/>
    <s v="Pinnacle Education Group"/>
    <s v="Decor"/>
    <s v="Home décor"/>
    <x v="7"/>
    <s v="Female"/>
    <n v="19"/>
    <n v="744"/>
    <n v="1433"/>
    <n v="14136"/>
    <n v="27227"/>
    <n v="13091"/>
    <s v="profit"/>
  </r>
  <r>
    <x v="24"/>
    <s v="april"/>
    <s v="Crystal Clear Solutions"/>
    <s v="Electronic"/>
    <s v="TV"/>
    <x v="12"/>
    <s v="Female"/>
    <n v="26"/>
    <n v="520"/>
    <n v="1486"/>
    <n v="13520"/>
    <n v="38636"/>
    <n v="25116"/>
    <s v="profit"/>
  </r>
  <r>
    <x v="25"/>
    <s v="august"/>
    <s v="Noble Innovations"/>
    <s v="Decor"/>
    <s v="Home décor"/>
    <x v="8"/>
    <s v="Male"/>
    <n v="10"/>
    <n v="669"/>
    <n v="1344"/>
    <n v="6690"/>
    <n v="13440"/>
    <n v="6750"/>
    <s v="profit"/>
  </r>
  <r>
    <x v="26"/>
    <s v="august"/>
    <s v="Crystal Clear Realty"/>
    <s v="Decor"/>
    <s v="Home décor"/>
    <x v="4"/>
    <s v="Male"/>
    <n v="20"/>
    <n v="966"/>
    <n v="924"/>
    <n v="19320"/>
    <n v="18480"/>
    <n v="-840"/>
    <s v="loss"/>
  </r>
  <r>
    <x v="27"/>
    <s v="september"/>
    <s v="Apex Publishing House"/>
    <s v="Decor"/>
    <s v="Home décor"/>
    <x v="14"/>
    <s v="Male"/>
    <n v="18"/>
    <n v="859"/>
    <n v="1044"/>
    <n v="15462"/>
    <n v="18792"/>
    <n v="3330"/>
    <s v="profit"/>
  </r>
  <r>
    <x v="28"/>
    <s v="september"/>
    <s v="True Value Consulting"/>
    <s v="Decor"/>
    <s v="Home décor"/>
    <x v="8"/>
    <s v="Male"/>
    <n v="15"/>
    <n v="890"/>
    <n v="1362"/>
    <n v="13350"/>
    <n v="20430"/>
    <n v="7080"/>
    <s v="profit"/>
  </r>
  <r>
    <x v="29"/>
    <s v="september"/>
    <s v="Future Path Ventures"/>
    <s v="Decor"/>
    <s v="Home décor"/>
    <x v="3"/>
    <s v="Male"/>
    <n v="19"/>
    <n v="630"/>
    <n v="882"/>
    <n v="11970"/>
    <n v="16758"/>
    <n v="4788"/>
    <s v="profit"/>
  </r>
  <r>
    <x v="30"/>
    <s v="september"/>
    <s v="Stellar Tech Services"/>
    <s v="Decor"/>
    <s v="Home décor"/>
    <x v="13"/>
    <s v="Male"/>
    <n v="10"/>
    <n v="701"/>
    <n v="1384"/>
    <n v="7010"/>
    <n v="13840"/>
    <n v="6830"/>
    <s v="profit"/>
  </r>
  <r>
    <x v="31"/>
    <s v="september"/>
    <s v="Legacy Travel Agency"/>
    <s v="Decor"/>
    <s v="Home décor"/>
    <x v="15"/>
    <s v="Female"/>
    <n v="19"/>
    <n v="653"/>
    <n v="1402"/>
    <n v="12407"/>
    <n v="26638"/>
    <n v="14231"/>
    <s v="profit"/>
  </r>
  <r>
    <x v="32"/>
    <s v="september"/>
    <s v="Harmony Innovations"/>
    <s v="Decor"/>
    <s v="Home décor"/>
    <x v="16"/>
    <s v="Female"/>
    <n v="14"/>
    <n v="968"/>
    <n v="1419"/>
    <n v="13552"/>
    <n v="19866"/>
    <n v="6314"/>
    <s v="profit"/>
  </r>
  <r>
    <x v="33"/>
    <s v="september"/>
    <s v="Elite Media Group"/>
    <s v="Decor"/>
    <s v="Home décor"/>
    <x v="8"/>
    <s v="Female"/>
    <n v="20"/>
    <n v="508"/>
    <n v="1433"/>
    <n v="10160"/>
    <n v="28660"/>
    <n v="18500"/>
    <s v="profit"/>
  </r>
  <r>
    <x v="34"/>
    <s v="september"/>
    <s v="Radiant Construction"/>
    <s v="Decor"/>
    <s v="Home décor"/>
    <x v="12"/>
    <s v="Female"/>
    <n v="12"/>
    <n v="539"/>
    <n v="1136"/>
    <n v="6468"/>
    <n v="13632"/>
    <n v="7164"/>
    <s v="profit"/>
  </r>
  <r>
    <x v="35"/>
    <s v="september"/>
    <s v="Pinnacle Finance"/>
    <s v="Decor"/>
    <s v="Home décor"/>
    <x v="6"/>
    <s v="Female"/>
    <n v="10"/>
    <n v="731"/>
    <n v="1226"/>
    <n v="7310"/>
    <n v="12260"/>
    <n v="4950"/>
    <s v="profit"/>
  </r>
  <r>
    <x v="36"/>
    <s v="september"/>
    <s v="Horizon Tech Ventures"/>
    <s v="Decor"/>
    <s v="Home décor"/>
    <x v="7"/>
    <s v="Female"/>
    <n v="15"/>
    <n v="621"/>
    <n v="1488"/>
    <n v="9315"/>
    <n v="22320"/>
    <n v="13005"/>
    <s v="profit"/>
  </r>
  <r>
    <x v="37"/>
    <s v="september"/>
    <s v="Elite Edge Consulting"/>
    <s v="Decor"/>
    <s v="Car accessories"/>
    <x v="6"/>
    <s v="Male"/>
    <n v="16"/>
    <n v="963"/>
    <n v="1186"/>
    <n v="15408"/>
    <n v="18976"/>
    <n v="3568"/>
    <s v="profit"/>
  </r>
  <r>
    <x v="38"/>
    <s v="september"/>
    <s v="Harmony Tech Ventures"/>
    <s v="Decor"/>
    <s v="Car accessories"/>
    <x v="7"/>
    <s v="Female"/>
    <n v="13"/>
    <n v="762"/>
    <n v="1311"/>
    <n v="9906"/>
    <n v="17043"/>
    <n v="7137"/>
    <s v="profit"/>
  </r>
  <r>
    <x v="39"/>
    <s v="october"/>
    <s v="Radiant Fitness Studio"/>
    <s v="Decor"/>
    <s v="Car accessories"/>
    <x v="13"/>
    <s v="Female"/>
    <n v="14"/>
    <n v="909"/>
    <n v="780"/>
    <n v="12726"/>
    <n v="10920"/>
    <n v="-1806"/>
    <s v="loss"/>
  </r>
  <r>
    <x v="40"/>
    <s v="october"/>
    <s v="Zenith Finance Co."/>
    <s v="Decor"/>
    <s v="Car accessories"/>
    <x v="12"/>
    <s v="Female"/>
    <n v="11"/>
    <n v="858"/>
    <n v="1080"/>
    <n v="9438"/>
    <n v="11880"/>
    <n v="2442"/>
    <s v="profit"/>
  </r>
  <r>
    <x v="41"/>
    <s v="october"/>
    <s v="Apex Events Management"/>
    <s v="Decor"/>
    <s v="Car accessories"/>
    <x v="7"/>
    <s v="Female"/>
    <n v="12"/>
    <n v="516"/>
    <n v="857"/>
    <n v="6192"/>
    <n v="10284"/>
    <n v="4092"/>
    <s v="profit"/>
  </r>
  <r>
    <x v="42"/>
    <s v="october"/>
    <s v="Stellar Media Group"/>
    <s v="Decor"/>
    <s v="Home décor"/>
    <x v="5"/>
    <s v="Male"/>
    <n v="20"/>
    <n v="817"/>
    <n v="1324"/>
    <n v="16340"/>
    <n v="26480"/>
    <n v="10140"/>
    <s v="profit"/>
  </r>
  <r>
    <x v="43"/>
    <s v="october"/>
    <s v="Harmony Finance Co."/>
    <s v="Decor"/>
    <s v="Home décor"/>
    <x v="3"/>
    <s v="Male"/>
    <n v="16"/>
    <n v="935"/>
    <n v="980"/>
    <n v="14960"/>
    <n v="15680"/>
    <n v="720"/>
    <s v="profit"/>
  </r>
  <r>
    <x v="44"/>
    <s v="october"/>
    <s v="Pure Vision Ventures"/>
    <s v="Decor"/>
    <s v="Home décor"/>
    <x v="15"/>
    <s v="Male"/>
    <n v="17"/>
    <n v="642"/>
    <n v="1095"/>
    <n v="10914"/>
    <n v="18615"/>
    <n v="7701"/>
    <s v="profit"/>
  </r>
  <r>
    <x v="45"/>
    <s v="october"/>
    <s v="Legacy Travel Services"/>
    <s v="Decor"/>
    <s v="Home décor"/>
    <x v="6"/>
    <s v="Female"/>
    <n v="18"/>
    <n v="596"/>
    <n v="817"/>
    <n v="10728"/>
    <n v="14706"/>
    <n v="3978"/>
    <s v="profit"/>
  </r>
  <r>
    <x v="46"/>
    <s v="october"/>
    <s v="Elite Spectrum Media"/>
    <s v="Decor"/>
    <s v="Home décor"/>
    <x v="7"/>
    <s v="Female"/>
    <n v="14"/>
    <n v="533"/>
    <n v="922"/>
    <n v="7462"/>
    <n v="12908"/>
    <n v="5446"/>
    <s v="profit"/>
  </r>
  <r>
    <x v="47"/>
    <s v="october"/>
    <s v="Pinnacle Design Studio"/>
    <s v="Decor"/>
    <s v="Home décor"/>
    <x v="13"/>
    <s v="Female"/>
    <n v="19"/>
    <n v="578"/>
    <n v="1434"/>
    <n v="10982"/>
    <n v="27246"/>
    <n v="16264"/>
    <s v="profit"/>
  </r>
  <r>
    <x v="48"/>
    <s v="january"/>
    <s v="Legacy Travel Ventures"/>
    <s v="Decor"/>
    <s v="Car accessories"/>
    <x v="3"/>
    <s v="Female"/>
    <n v="14"/>
    <n v="521"/>
    <n v="974"/>
    <n v="7294"/>
    <n v="13636"/>
    <n v="6342"/>
    <s v="profit"/>
  </r>
  <r>
    <x v="49"/>
    <s v="may"/>
    <s v="Absolute Solutions"/>
    <s v="Fashion "/>
    <s v="Saree"/>
    <x v="6"/>
    <s v="Male"/>
    <n v="79"/>
    <n v="616"/>
    <n v="944"/>
    <n v="48664"/>
    <n v="74576"/>
    <n v="25912"/>
    <s v="profit"/>
  </r>
  <r>
    <x v="50"/>
    <s v="january"/>
    <s v="Stellar Design Group"/>
    <s v="Decor"/>
    <s v="Car accessories"/>
    <x v="14"/>
    <s v="Female"/>
    <n v="14"/>
    <n v="734"/>
    <n v="1058"/>
    <n v="10276"/>
    <n v="14812"/>
    <n v="4536"/>
    <s v="profit"/>
  </r>
  <r>
    <x v="51"/>
    <s v="january"/>
    <s v="Horizon Ventures Co."/>
    <s v="Decor"/>
    <s v="Car accessories"/>
    <x v="1"/>
    <s v="Female"/>
    <n v="20"/>
    <n v="837"/>
    <n v="1014"/>
    <n v="16740"/>
    <n v="20280"/>
    <n v="3540"/>
    <s v="profit"/>
  </r>
  <r>
    <x v="52"/>
    <s v="january"/>
    <s v="Zenith Wellness Services"/>
    <s v="Decor"/>
    <s v="Car accessories"/>
    <x v="3"/>
    <s v="Male"/>
    <n v="11"/>
    <n v="617"/>
    <n v="1025"/>
    <n v="6787"/>
    <n v="11275"/>
    <n v="4488"/>
    <s v="profit"/>
  </r>
  <r>
    <x v="53"/>
    <s v="january"/>
    <s v="Legacy Travel Co."/>
    <s v="Decor"/>
    <s v="Home décor"/>
    <x v="0"/>
    <s v="Female"/>
    <n v="20"/>
    <n v="749"/>
    <n v="753"/>
    <n v="14980"/>
    <n v="15060"/>
    <n v="80"/>
    <s v="profit"/>
  </r>
  <r>
    <x v="54"/>
    <s v="january"/>
    <s v="Pinnacle Innovations Group"/>
    <s v="Decor"/>
    <s v="Home décor"/>
    <x v="1"/>
    <s v="Female"/>
    <n v="15"/>
    <n v="924"/>
    <n v="1024"/>
    <n v="13860"/>
    <n v="15360"/>
    <n v="1500"/>
    <s v="profit"/>
  </r>
  <r>
    <x v="55"/>
    <s v="january"/>
    <s v="Stellar Health Services"/>
    <s v="Decor"/>
    <s v="Home décor"/>
    <x v="2"/>
    <s v="Female"/>
    <n v="18"/>
    <n v="601"/>
    <n v="1246"/>
    <n v="10818"/>
    <n v="22428"/>
    <n v="11610"/>
    <s v="profit"/>
  </r>
  <r>
    <x v="56"/>
    <s v="january"/>
    <s v="Radiance Design Co."/>
    <s v="Decor"/>
    <s v="Home décor"/>
    <x v="3"/>
    <s v="Female"/>
    <n v="17"/>
    <n v="626"/>
    <n v="1462"/>
    <n v="10642"/>
    <n v="24854"/>
    <n v="14212"/>
    <s v="profit"/>
  </r>
  <r>
    <x v="57"/>
    <s v="january"/>
    <s v="Harmony Consulting Group"/>
    <s v="Decor"/>
    <s v="Home décor"/>
    <x v="3"/>
    <s v="Female"/>
    <n v="13"/>
    <n v="542"/>
    <n v="853"/>
    <n v="7046"/>
    <n v="11089"/>
    <n v="4043"/>
    <s v="profit"/>
  </r>
  <r>
    <x v="58"/>
    <s v="may"/>
    <s v="Synergy Tech Solutions"/>
    <s v="Fashion "/>
    <s v="Saree"/>
    <x v="11"/>
    <s v="Male"/>
    <n v="50"/>
    <n v="639"/>
    <n v="789"/>
    <n v="31950"/>
    <n v="39450"/>
    <n v="7500"/>
    <s v="profit"/>
  </r>
  <r>
    <x v="59"/>
    <s v="january"/>
    <s v="Apex Educational Group"/>
    <s v="Decor"/>
    <s v="Home décor"/>
    <x v="5"/>
    <s v="Male"/>
    <n v="19"/>
    <n v="595"/>
    <n v="1424"/>
    <n v="11305"/>
    <n v="27056"/>
    <n v="15751"/>
    <s v="profit"/>
  </r>
  <r>
    <x v="60"/>
    <s v="january"/>
    <s v="Modern Wellness Co."/>
    <s v="Decor"/>
    <s v="Home décor"/>
    <x v="3"/>
    <s v="Male"/>
    <n v="17"/>
    <n v="593"/>
    <n v="895"/>
    <n v="10081"/>
    <n v="15215"/>
    <n v="5134"/>
    <s v="profit"/>
  </r>
  <r>
    <x v="61"/>
    <s v="january"/>
    <s v="Pure Spectrum Innovations"/>
    <s v="Decor"/>
    <s v="Home décor"/>
    <x v="7"/>
    <s v="Male"/>
    <n v="20"/>
    <n v="735"/>
    <n v="1277"/>
    <n v="14700"/>
    <n v="25540"/>
    <n v="10840"/>
    <s v="profit"/>
  </r>
  <r>
    <x v="62"/>
    <s v="january"/>
    <s v="Pinnacle Travel Co."/>
    <s v="Decor"/>
    <s v="Home décor"/>
    <x v="17"/>
    <s v="Male"/>
    <n v="17"/>
    <n v="750"/>
    <n v="1253"/>
    <n v="12750"/>
    <n v="21301"/>
    <n v="8551"/>
    <s v="profit"/>
  </r>
  <r>
    <x v="0"/>
    <s v="june"/>
    <s v="Horizon Wellness"/>
    <s v="Decor"/>
    <s v="Car accessories"/>
    <x v="0"/>
    <s v="Female"/>
    <n v="11"/>
    <n v="601"/>
    <n v="1323"/>
    <n v="6611"/>
    <n v="14553"/>
    <n v="7942"/>
    <s v="profit"/>
  </r>
  <r>
    <x v="1"/>
    <s v="june"/>
    <s v="True Value Electronics"/>
    <s v="Decor"/>
    <s v="Car accessories"/>
    <x v="1"/>
    <s v="Female"/>
    <n v="20"/>
    <n v="857"/>
    <n v="983"/>
    <n v="17140"/>
    <n v="19660"/>
    <n v="2520"/>
    <s v="profit"/>
  </r>
  <r>
    <x v="2"/>
    <s v="june"/>
    <s v="Harmony Homes Realty"/>
    <s v="Decor"/>
    <s v="Car accessories"/>
    <x v="2"/>
    <s v="Female"/>
    <n v="11"/>
    <n v="774"/>
    <n v="1363"/>
    <n v="8514"/>
    <n v="14993"/>
    <n v="6479"/>
    <s v="profit"/>
  </r>
  <r>
    <x v="3"/>
    <s v="june"/>
    <s v="Stellar Advertising"/>
    <s v="Decor"/>
    <s v="Car accessories"/>
    <x v="3"/>
    <s v="Female"/>
    <n v="13"/>
    <n v="986"/>
    <n v="1073"/>
    <n v="12818"/>
    <n v="13949"/>
    <n v="1131"/>
    <s v="profit"/>
  </r>
  <r>
    <x v="4"/>
    <s v="june"/>
    <s v="Modern Trends Retail"/>
    <s v="Decor"/>
    <s v="Car accessories"/>
    <x v="4"/>
    <s v="Male"/>
    <n v="12"/>
    <n v="997"/>
    <n v="1445"/>
    <n v="11964"/>
    <n v="17340"/>
    <n v="5376"/>
    <s v="profit"/>
  </r>
  <r>
    <x v="5"/>
    <s v="june"/>
    <s v="Global Spectrum Consulting"/>
    <s v="Decor"/>
    <s v="Car accessories"/>
    <x v="5"/>
    <s v="Male"/>
    <n v="20"/>
    <n v="941"/>
    <n v="1053"/>
    <n v="18820"/>
    <n v="21060"/>
    <n v="2240"/>
    <s v="profit"/>
  </r>
  <r>
    <x v="7"/>
    <s v="june"/>
    <s v="Radiant Vision Studios"/>
    <s v="Decor"/>
    <s v="Home décor"/>
    <x v="6"/>
    <s v="Female"/>
    <n v="19"/>
    <n v="952"/>
    <n v="1486"/>
    <n v="18088"/>
    <n v="28234"/>
    <n v="10146"/>
    <s v="profit"/>
  </r>
  <r>
    <x v="8"/>
    <s v="june"/>
    <s v="Noble Travel Services"/>
    <s v="Decor"/>
    <s v="Home décor"/>
    <x v="7"/>
    <s v="Female"/>
    <n v="11"/>
    <n v="503"/>
    <n v="762"/>
    <n v="5533"/>
    <n v="8382"/>
    <n v="2849"/>
    <s v="profit"/>
  </r>
  <r>
    <x v="9"/>
    <s v="july"/>
    <s v="Bright Future Academy"/>
    <s v="Decor"/>
    <s v="Home décor"/>
    <x v="7"/>
    <s v="Female"/>
    <n v="10"/>
    <n v="719"/>
    <n v="862"/>
    <n v="7190"/>
    <n v="8620"/>
    <n v="1430"/>
    <s v="profit"/>
  </r>
  <r>
    <x v="10"/>
    <s v="july"/>
    <s v="Visionary Health Systems"/>
    <s v="Decor"/>
    <s v="Home décor"/>
    <x v="4"/>
    <s v="Female"/>
    <n v="15"/>
    <n v="941"/>
    <n v="913"/>
    <n v="14115"/>
    <n v="13695"/>
    <n v="-420"/>
    <s v="loss"/>
  </r>
  <r>
    <x v="11"/>
    <s v="july"/>
    <s v="Apex Retailers"/>
    <s v="Decor"/>
    <s v="Home décor"/>
    <x v="8"/>
    <s v="Female"/>
    <n v="15"/>
    <n v="937"/>
    <n v="1427"/>
    <n v="14055"/>
    <n v="21405"/>
    <n v="7350"/>
    <s v="profit"/>
  </r>
  <r>
    <x v="13"/>
    <s v="july"/>
    <s v="Prestige Property Developers"/>
    <s v="Decor"/>
    <s v="Home décor"/>
    <x v="9"/>
    <s v="Female"/>
    <n v="11"/>
    <n v="674"/>
    <n v="1415"/>
    <n v="7414"/>
    <n v="15565"/>
    <n v="8151"/>
    <s v="profit"/>
  </r>
  <r>
    <x v="63"/>
    <s v="june"/>
    <s v="Radiant Enterprise Solutions"/>
    <s v="Decor"/>
    <s v="Car accessories"/>
    <x v="3"/>
    <s v="Female"/>
    <n v="20"/>
    <n v="827"/>
    <n v="816"/>
    <n v="16540"/>
    <n v="16320"/>
    <n v="-220"/>
    <s v="loss"/>
  </r>
  <r>
    <x v="14"/>
    <s v="july"/>
    <s v="Classic Trends Fashion"/>
    <s v="Decor"/>
    <s v="Home décor"/>
    <x v="4"/>
    <s v="Male"/>
    <n v="20"/>
    <n v="596"/>
    <n v="1255"/>
    <n v="11920"/>
    <n v="25100"/>
    <n v="13180"/>
    <s v="profit"/>
  </r>
  <r>
    <x v="15"/>
    <s v="july"/>
    <s v="Harmony Ventures"/>
    <s v="Decor"/>
    <s v="Home décor"/>
    <x v="10"/>
    <s v="Male"/>
    <n v="20"/>
    <n v="689"/>
    <n v="939"/>
    <n v="13780"/>
    <n v="18780"/>
    <n v="5000"/>
    <s v="profit"/>
  </r>
  <r>
    <x v="16"/>
    <s v="july"/>
    <s v="Stellar Realty"/>
    <s v="Decor"/>
    <s v="Home décor"/>
    <x v="11"/>
    <s v="Male"/>
    <n v="17"/>
    <n v="990"/>
    <n v="1391"/>
    <n v="16830"/>
    <n v="23647"/>
    <n v="6817"/>
    <s v="profit"/>
  </r>
  <r>
    <x v="17"/>
    <s v="july"/>
    <s v="Future Path Technologies"/>
    <s v="Decor"/>
    <s v="Home décor"/>
    <x v="6"/>
    <s v="Male"/>
    <n v="20"/>
    <n v="589"/>
    <n v="773"/>
    <n v="11780"/>
    <n v="15460"/>
    <n v="3680"/>
    <s v="profit"/>
  </r>
  <r>
    <x v="18"/>
    <s v="july"/>
    <s v="Elite Edge Services"/>
    <s v="Decor"/>
    <s v="Home décor"/>
    <x v="7"/>
    <s v="Female"/>
    <n v="17"/>
    <n v="773"/>
    <n v="1266"/>
    <n v="13141"/>
    <n v="21522"/>
    <n v="8381"/>
    <s v="profit"/>
  </r>
  <r>
    <x v="64"/>
    <s v="june"/>
    <s v="Infinite Solutions"/>
    <s v="Fashion "/>
    <s v="Saree"/>
    <x v="8"/>
    <s v="Female"/>
    <n v="75"/>
    <n v="859"/>
    <n v="1486"/>
    <n v="64425"/>
    <n v="111450"/>
    <n v="47025"/>
    <s v="profit"/>
  </r>
  <r>
    <x v="19"/>
    <s v="august"/>
    <s v="Modern Harmony Products"/>
    <s v="Decor"/>
    <s v="Home décor"/>
    <x v="8"/>
    <s v="Female"/>
    <n v="11"/>
    <n v="830"/>
    <n v="1386"/>
    <n v="9130"/>
    <n v="15246"/>
    <n v="6116"/>
    <s v="profit"/>
  </r>
  <r>
    <x v="20"/>
    <s v="august"/>
    <s v="Horizon Builders &amp; Developers"/>
    <s v="Decor"/>
    <s v="Home décor"/>
    <x v="12"/>
    <s v="Female"/>
    <n v="11"/>
    <n v="930"/>
    <n v="876"/>
    <n v="10230"/>
    <n v="9636"/>
    <n v="-594"/>
    <s v="loss"/>
  </r>
  <r>
    <x v="21"/>
    <s v="august"/>
    <s v="Legacy Apparel"/>
    <s v="Decor"/>
    <s v="Home décor"/>
    <x v="7"/>
    <s v="Female"/>
    <n v="19"/>
    <n v="654"/>
    <n v="1295"/>
    <n v="12426"/>
    <n v="24605"/>
    <n v="12179"/>
    <s v="profit"/>
  </r>
  <r>
    <x v="23"/>
    <s v="august"/>
    <s v="Pinnacle Education Group"/>
    <s v="Decor"/>
    <s v="Home décor"/>
    <x v="7"/>
    <s v="Female"/>
    <n v="18"/>
    <n v="767"/>
    <n v="988"/>
    <n v="13806"/>
    <n v="17784"/>
    <n v="3978"/>
    <s v="profit"/>
  </r>
  <r>
    <x v="25"/>
    <s v="august"/>
    <s v="Noble Innovations"/>
    <s v="Decor"/>
    <s v="Home décor"/>
    <x v="8"/>
    <s v="Male"/>
    <n v="12"/>
    <n v="654"/>
    <n v="788"/>
    <n v="7848"/>
    <n v="9456"/>
    <n v="1608"/>
    <s v="profit"/>
  </r>
  <r>
    <x v="26"/>
    <s v="august"/>
    <s v="Crystal Clear Realty"/>
    <s v="Decor"/>
    <s v="Home décor"/>
    <x v="4"/>
    <s v="Male"/>
    <n v="11"/>
    <n v="827"/>
    <n v="765"/>
    <n v="9097"/>
    <n v="8415"/>
    <n v="-682"/>
    <s v="loss"/>
  </r>
  <r>
    <x v="27"/>
    <s v="september"/>
    <s v="Apex Publishing House"/>
    <s v="Decor"/>
    <s v="Home décor"/>
    <x v="14"/>
    <s v="Male"/>
    <n v="12"/>
    <n v="561"/>
    <n v="1162"/>
    <n v="6732"/>
    <n v="13944"/>
    <n v="7212"/>
    <s v="profit"/>
  </r>
  <r>
    <x v="28"/>
    <s v="september"/>
    <s v="True Value Consulting"/>
    <s v="Decor"/>
    <s v="Home décor"/>
    <x v="8"/>
    <s v="Male"/>
    <n v="12"/>
    <n v="879"/>
    <n v="1428"/>
    <n v="10548"/>
    <n v="17136"/>
    <n v="6588"/>
    <s v="profit"/>
  </r>
  <r>
    <x v="29"/>
    <s v="september"/>
    <s v="Future Path Ventures"/>
    <s v="Decor"/>
    <s v="Home décor"/>
    <x v="3"/>
    <s v="Male"/>
    <n v="13"/>
    <n v="523"/>
    <n v="1326"/>
    <n v="6799"/>
    <n v="17238"/>
    <n v="10439"/>
    <s v="profit"/>
  </r>
  <r>
    <x v="30"/>
    <s v="september"/>
    <s v="Stellar Tech Services"/>
    <s v="Decor"/>
    <s v="Home décor"/>
    <x v="13"/>
    <s v="Male"/>
    <n v="10"/>
    <n v="990"/>
    <n v="1030"/>
    <n v="9900"/>
    <n v="10300"/>
    <n v="400"/>
    <s v="profit"/>
  </r>
  <r>
    <x v="65"/>
    <s v="july"/>
    <s v="Synergy Solutions Group"/>
    <s v="Decor"/>
    <s v="Home décor"/>
    <x v="8"/>
    <s v="Female"/>
    <n v="15"/>
    <n v="910"/>
    <n v="916"/>
    <n v="13650"/>
    <n v="13740"/>
    <n v="90"/>
    <s v="profit"/>
  </r>
  <r>
    <x v="31"/>
    <s v="september"/>
    <s v="Legacy Travel Agency"/>
    <s v="Decor"/>
    <s v="Home décor"/>
    <x v="15"/>
    <s v="Female"/>
    <n v="12"/>
    <n v="707"/>
    <n v="1203"/>
    <n v="8484"/>
    <n v="14436"/>
    <n v="5952"/>
    <s v="profit"/>
  </r>
  <r>
    <x v="32"/>
    <s v="september"/>
    <s v="Harmony Innovations"/>
    <s v="Decor"/>
    <s v="Home décor"/>
    <x v="16"/>
    <s v="Female"/>
    <n v="13"/>
    <n v="515"/>
    <n v="1095"/>
    <n v="6695"/>
    <n v="14235"/>
    <n v="7540"/>
    <s v="profit"/>
  </r>
  <r>
    <x v="33"/>
    <s v="september"/>
    <s v="Elite Media Group"/>
    <s v="Decor"/>
    <s v="Home décor"/>
    <x v="8"/>
    <s v="Female"/>
    <n v="12"/>
    <n v="671"/>
    <n v="850"/>
    <n v="8052"/>
    <n v="10200"/>
    <n v="2148"/>
    <s v="profit"/>
  </r>
  <r>
    <x v="34"/>
    <s v="september"/>
    <s v="Radiant Construction"/>
    <s v="Decor"/>
    <s v="Home décor"/>
    <x v="12"/>
    <s v="Female"/>
    <n v="12"/>
    <n v="500"/>
    <n v="1276"/>
    <n v="6000"/>
    <n v="15312"/>
    <n v="9312"/>
    <s v="profit"/>
  </r>
  <r>
    <x v="35"/>
    <s v="september"/>
    <s v="Pinnacle Finance"/>
    <s v="Decor"/>
    <s v="Home décor"/>
    <x v="6"/>
    <s v="Female"/>
    <n v="18"/>
    <n v="602"/>
    <n v="1401"/>
    <n v="10836"/>
    <n v="25218"/>
    <n v="14382"/>
    <s v="profit"/>
  </r>
  <r>
    <x v="36"/>
    <s v="september"/>
    <s v="Horizon Tech Ventures"/>
    <s v="Decor"/>
    <s v="Home décor"/>
    <x v="7"/>
    <s v="Female"/>
    <n v="18"/>
    <n v="629"/>
    <n v="945"/>
    <n v="11322"/>
    <n v="17010"/>
    <n v="5688"/>
    <s v="profit"/>
  </r>
  <r>
    <x v="37"/>
    <s v="september"/>
    <s v="Elite Edge Consulting"/>
    <s v="Decor"/>
    <s v="Car accessories"/>
    <x v="6"/>
    <s v="Male"/>
    <n v="17"/>
    <n v="565"/>
    <n v="1281"/>
    <n v="9605"/>
    <n v="21777"/>
    <n v="12172"/>
    <s v="profit"/>
  </r>
  <r>
    <x v="38"/>
    <s v="september"/>
    <s v="Harmony Tech Ventures"/>
    <s v="Decor"/>
    <s v="Car accessories"/>
    <x v="7"/>
    <s v="Female"/>
    <n v="10"/>
    <n v="917"/>
    <n v="1107"/>
    <n v="9170"/>
    <n v="11070"/>
    <n v="1900"/>
    <s v="profit"/>
  </r>
  <r>
    <x v="39"/>
    <s v="october"/>
    <s v="Radiant Fitness Studio"/>
    <s v="Decor"/>
    <s v="Car accessories"/>
    <x v="13"/>
    <s v="Female"/>
    <n v="18"/>
    <n v="867"/>
    <n v="875"/>
    <n v="15606"/>
    <n v="15750"/>
    <n v="144"/>
    <s v="profit"/>
  </r>
  <r>
    <x v="40"/>
    <s v="october"/>
    <s v="Zenith Finance Co."/>
    <s v="Decor"/>
    <s v="Car accessories"/>
    <x v="12"/>
    <s v="Female"/>
    <n v="10"/>
    <n v="757"/>
    <n v="885"/>
    <n v="7570"/>
    <n v="8850"/>
    <n v="1280"/>
    <s v="profit"/>
  </r>
  <r>
    <x v="41"/>
    <s v="october"/>
    <s v="Apex Events Management"/>
    <s v="Decor"/>
    <s v="Car accessories"/>
    <x v="7"/>
    <s v="Female"/>
    <n v="18"/>
    <n v="668"/>
    <n v="1366"/>
    <n v="12024"/>
    <n v="24588"/>
    <n v="12564"/>
    <s v="profit"/>
  </r>
  <r>
    <x v="42"/>
    <s v="october"/>
    <s v="Stellar Media Group"/>
    <s v="Decor"/>
    <s v="Home décor"/>
    <x v="5"/>
    <s v="Male"/>
    <n v="20"/>
    <n v="882"/>
    <n v="1193"/>
    <n v="17640"/>
    <n v="23860"/>
    <n v="6220"/>
    <s v="profit"/>
  </r>
  <r>
    <x v="66"/>
    <s v="july"/>
    <s v="Horizon Tech Solutions"/>
    <s v="Electronic"/>
    <s v="Laptop"/>
    <x v="7"/>
    <s v="Female"/>
    <n v="26"/>
    <n v="627"/>
    <n v="1416"/>
    <n v="16302"/>
    <n v="36816"/>
    <n v="20514"/>
    <s v="profit"/>
  </r>
  <r>
    <x v="43"/>
    <s v="october"/>
    <s v="Harmony Finance Co."/>
    <s v="Decor"/>
    <s v="Home décor"/>
    <x v="3"/>
    <s v="Male"/>
    <n v="17"/>
    <n v="739"/>
    <n v="826"/>
    <n v="12563"/>
    <n v="14042"/>
    <n v="1479"/>
    <s v="profit"/>
  </r>
  <r>
    <x v="44"/>
    <s v="october"/>
    <s v="Pure Vision Ventures"/>
    <s v="Decor"/>
    <s v="Home décor"/>
    <x v="15"/>
    <s v="Male"/>
    <n v="15"/>
    <n v="563"/>
    <n v="1069"/>
    <n v="8445"/>
    <n v="16035"/>
    <n v="7590"/>
    <s v="profit"/>
  </r>
  <r>
    <x v="45"/>
    <s v="october"/>
    <s v="Legacy Travel Services"/>
    <s v="Decor"/>
    <s v="Home décor"/>
    <x v="6"/>
    <s v="Female"/>
    <n v="15"/>
    <n v="662"/>
    <n v="1183"/>
    <n v="9930"/>
    <n v="17745"/>
    <n v="7815"/>
    <s v="profit"/>
  </r>
  <r>
    <x v="46"/>
    <s v="october"/>
    <s v="Elite Spectrum Media"/>
    <s v="Decor"/>
    <s v="Home décor"/>
    <x v="7"/>
    <s v="Female"/>
    <n v="16"/>
    <n v="846"/>
    <n v="1375"/>
    <n v="13536"/>
    <n v="22000"/>
    <n v="8464"/>
    <s v="profit"/>
  </r>
  <r>
    <x v="47"/>
    <s v="october"/>
    <s v="Pinnacle Design Studio"/>
    <s v="Decor"/>
    <s v="Home décor"/>
    <x v="13"/>
    <s v="Female"/>
    <n v="14"/>
    <n v="777"/>
    <n v="1192"/>
    <n v="10878"/>
    <n v="16688"/>
    <n v="5810"/>
    <s v="profit"/>
  </r>
  <r>
    <x v="48"/>
    <s v="january"/>
    <s v="Legacy Travel Ventures"/>
    <s v="Decor"/>
    <s v="Car accessories"/>
    <x v="3"/>
    <s v="Female"/>
    <n v="16"/>
    <n v="632"/>
    <n v="835"/>
    <n v="10112"/>
    <n v="13360"/>
    <n v="3248"/>
    <s v="profit"/>
  </r>
  <r>
    <x v="50"/>
    <s v="january"/>
    <s v="Stellar Design Group"/>
    <s v="Decor"/>
    <s v="Car accessories"/>
    <x v="14"/>
    <s v="Female"/>
    <n v="11"/>
    <n v="731"/>
    <n v="1311"/>
    <n v="8041"/>
    <n v="14421"/>
    <n v="6380"/>
    <s v="profit"/>
  </r>
  <r>
    <x v="51"/>
    <s v="january"/>
    <s v="Horizon Ventures Co."/>
    <s v="Decor"/>
    <s v="Car accessories"/>
    <x v="1"/>
    <s v="Female"/>
    <n v="10"/>
    <n v="774"/>
    <n v="1472"/>
    <n v="7740"/>
    <n v="14720"/>
    <n v="6980"/>
    <s v="profit"/>
  </r>
  <r>
    <x v="52"/>
    <s v="january"/>
    <s v="Zenith Wellness Services"/>
    <s v="Decor"/>
    <s v="Car accessories"/>
    <x v="3"/>
    <s v="Male"/>
    <n v="11"/>
    <n v="986"/>
    <n v="1228"/>
    <n v="10846"/>
    <n v="13508"/>
    <n v="2662"/>
    <s v="profit"/>
  </r>
  <r>
    <x v="53"/>
    <s v="january"/>
    <s v="Legacy Travel Co."/>
    <s v="Decor"/>
    <s v="Home décor"/>
    <x v="0"/>
    <s v="Female"/>
    <n v="11"/>
    <n v="519"/>
    <n v="1143"/>
    <n v="5709"/>
    <n v="12573"/>
    <n v="6864"/>
    <s v="profit"/>
  </r>
  <r>
    <x v="54"/>
    <s v="january"/>
    <s v="Pinnacle Innovations Group"/>
    <s v="Decor"/>
    <s v="Home décor"/>
    <x v="1"/>
    <s v="Female"/>
    <n v="20"/>
    <n v="597"/>
    <n v="1175"/>
    <n v="11940"/>
    <n v="23500"/>
    <n v="11560"/>
    <s v="profit"/>
  </r>
  <r>
    <x v="55"/>
    <s v="january"/>
    <s v="Stellar Health Services"/>
    <s v="Decor"/>
    <s v="Home décor"/>
    <x v="2"/>
    <s v="Female"/>
    <n v="18"/>
    <n v="632"/>
    <n v="1384"/>
    <n v="11376"/>
    <n v="24912"/>
    <n v="13536"/>
    <s v="profit"/>
  </r>
  <r>
    <x v="56"/>
    <s v="january"/>
    <s v="Radiance Design Co."/>
    <s v="Decor"/>
    <s v="Home décor"/>
    <x v="3"/>
    <s v="Female"/>
    <n v="17"/>
    <n v="649"/>
    <n v="1392"/>
    <n v="11033"/>
    <n v="23664"/>
    <n v="12631"/>
    <s v="profit"/>
  </r>
  <r>
    <x v="57"/>
    <s v="january"/>
    <s v="Harmony Consulting Group"/>
    <s v="Decor"/>
    <s v="Home décor"/>
    <x v="3"/>
    <s v="Female"/>
    <n v="18"/>
    <n v="587"/>
    <n v="905"/>
    <n v="10566"/>
    <n v="16290"/>
    <n v="5724"/>
    <s v="profit"/>
  </r>
  <r>
    <x v="59"/>
    <s v="january"/>
    <s v="Apex Educational Group"/>
    <s v="Decor"/>
    <s v="Home décor"/>
    <x v="5"/>
    <s v="Male"/>
    <n v="19"/>
    <n v="701"/>
    <n v="1136"/>
    <n v="13319"/>
    <n v="21584"/>
    <n v="8265"/>
    <s v="profit"/>
  </r>
  <r>
    <x v="60"/>
    <s v="january"/>
    <s v="Modern Wellness Co."/>
    <s v="Decor"/>
    <s v="Home décor"/>
    <x v="3"/>
    <s v="Male"/>
    <n v="19"/>
    <n v="972"/>
    <n v="1314"/>
    <n v="18468"/>
    <n v="24966"/>
    <n v="6498"/>
    <s v="profit"/>
  </r>
  <r>
    <x v="61"/>
    <s v="january"/>
    <s v="Pure Spectrum Innovations"/>
    <s v="Decor"/>
    <s v="Home décor"/>
    <x v="7"/>
    <s v="Male"/>
    <n v="13"/>
    <n v="615"/>
    <n v="1010"/>
    <n v="7995"/>
    <n v="13130"/>
    <n v="5135"/>
    <s v="profit"/>
  </r>
  <r>
    <x v="62"/>
    <s v="january"/>
    <s v="Pinnacle Travel Co."/>
    <s v="Decor"/>
    <s v="Home décor"/>
    <x v="17"/>
    <s v="Male"/>
    <n v="19"/>
    <n v="864"/>
    <n v="1147"/>
    <n v="16416"/>
    <n v="21793"/>
    <n v="5377"/>
    <s v="profit"/>
  </r>
  <r>
    <x v="67"/>
    <s v="august"/>
    <s v="Apex Wellness Solutions"/>
    <s v="Fashion "/>
    <s v="Suit"/>
    <x v="15"/>
    <s v="Male"/>
    <n v="86"/>
    <n v="540"/>
    <n v="1460"/>
    <n v="46440"/>
    <n v="125560"/>
    <n v="79120"/>
    <s v="profit"/>
  </r>
  <r>
    <x v="0"/>
    <s v="june"/>
    <s v="Horizon Wellness"/>
    <s v="Decor"/>
    <s v="Car accessories"/>
    <x v="0"/>
    <s v="Female"/>
    <n v="13"/>
    <n v="643"/>
    <n v="1432"/>
    <n v="8359"/>
    <n v="18616"/>
    <n v="10257"/>
    <s v="profit"/>
  </r>
  <r>
    <x v="1"/>
    <s v="june"/>
    <s v="True Value Electronics"/>
    <s v="Decor"/>
    <s v="Car accessories"/>
    <x v="1"/>
    <s v="Female"/>
    <n v="16"/>
    <n v="848"/>
    <n v="1211"/>
    <n v="13568"/>
    <n v="19376"/>
    <n v="5808"/>
    <s v="profit"/>
  </r>
  <r>
    <x v="2"/>
    <s v="june"/>
    <s v="Harmony Homes Realty"/>
    <s v="Decor"/>
    <s v="Car accessories"/>
    <x v="2"/>
    <s v="Female"/>
    <n v="19"/>
    <n v="982"/>
    <n v="1457"/>
    <n v="18658"/>
    <n v="27683"/>
    <n v="9025"/>
    <s v="profit"/>
  </r>
  <r>
    <x v="3"/>
    <s v="june"/>
    <s v="Stellar Advertising"/>
    <s v="Decor"/>
    <s v="Car accessories"/>
    <x v="3"/>
    <s v="Female"/>
    <n v="19"/>
    <n v="918"/>
    <n v="864"/>
    <n v="17442"/>
    <n v="16416"/>
    <n v="-1026"/>
    <s v="loss"/>
  </r>
  <r>
    <x v="68"/>
    <s v="august"/>
    <s v="Radiance Tech Solutions"/>
    <s v="Decor"/>
    <s v="Home décor"/>
    <x v="6"/>
    <s v="Female"/>
    <n v="10"/>
    <n v="863"/>
    <n v="1386"/>
    <n v="8630"/>
    <n v="13860"/>
    <n v="5230"/>
    <s v="profit"/>
  </r>
  <r>
    <x v="4"/>
    <s v="june"/>
    <s v="Modern Trends Retail"/>
    <s v="Decor"/>
    <s v="Car accessories"/>
    <x v="4"/>
    <s v="Male"/>
    <n v="17"/>
    <n v="787"/>
    <n v="1108"/>
    <n v="13379"/>
    <n v="18836"/>
    <n v="5457"/>
    <s v="profit"/>
  </r>
  <r>
    <x v="5"/>
    <s v="june"/>
    <s v="Global Spectrum Consulting"/>
    <s v="Decor"/>
    <s v="Car accessories"/>
    <x v="5"/>
    <s v="Male"/>
    <n v="15"/>
    <n v="545"/>
    <n v="1182"/>
    <n v="8175"/>
    <n v="17730"/>
    <n v="9555"/>
    <s v="profit"/>
  </r>
  <r>
    <x v="7"/>
    <s v="june"/>
    <s v="Radiant Vision Studios"/>
    <s v="Decor"/>
    <s v="Home décor"/>
    <x v="6"/>
    <s v="Female"/>
    <n v="11"/>
    <n v="616"/>
    <n v="1015"/>
    <n v="6776"/>
    <n v="11165"/>
    <n v="4389"/>
    <s v="profit"/>
  </r>
  <r>
    <x v="8"/>
    <s v="june"/>
    <s v="Noble Travel Services"/>
    <s v="Decor"/>
    <s v="Home décor"/>
    <x v="7"/>
    <s v="Female"/>
    <n v="16"/>
    <n v="911"/>
    <n v="1299"/>
    <n v="14576"/>
    <n v="20784"/>
    <n v="6208"/>
    <s v="profit"/>
  </r>
  <r>
    <x v="9"/>
    <s v="july"/>
    <s v="Bright Future Academy"/>
    <s v="Decor"/>
    <s v="Home décor"/>
    <x v="7"/>
    <s v="Female"/>
    <n v="19"/>
    <n v="816"/>
    <n v="1285"/>
    <n v="15504"/>
    <n v="24415"/>
    <n v="8911"/>
    <s v="profit"/>
  </r>
  <r>
    <x v="10"/>
    <s v="july"/>
    <s v="Visionary Health Systems"/>
    <s v="Decor"/>
    <s v="Home décor"/>
    <x v="4"/>
    <s v="Female"/>
    <n v="16"/>
    <n v="693"/>
    <n v="1042"/>
    <n v="11088"/>
    <n v="16672"/>
    <n v="5584"/>
    <s v="profit"/>
  </r>
  <r>
    <x v="11"/>
    <s v="july"/>
    <s v="Apex Retailers"/>
    <s v="Decor"/>
    <s v="Home décor"/>
    <x v="8"/>
    <s v="Female"/>
    <n v="14"/>
    <n v="965"/>
    <n v="1212"/>
    <n v="13510"/>
    <n v="16968"/>
    <n v="3458"/>
    <s v="profit"/>
  </r>
  <r>
    <x v="69"/>
    <s v="august"/>
    <s v="Apex Enterprise Solutions"/>
    <s v="Electronic"/>
    <s v="Laptop"/>
    <x v="10"/>
    <s v="Male"/>
    <n v="26"/>
    <n v="715"/>
    <n v="840"/>
    <n v="18590"/>
    <n v="21840"/>
    <n v="3250"/>
    <s v="profit"/>
  </r>
  <r>
    <x v="13"/>
    <s v="july"/>
    <s v="Prestige Property Developers"/>
    <s v="Decor"/>
    <s v="Home décor"/>
    <x v="9"/>
    <s v="Female"/>
    <n v="20"/>
    <n v="960"/>
    <n v="1170"/>
    <n v="19200"/>
    <n v="23400"/>
    <n v="4200"/>
    <s v="profit"/>
  </r>
  <r>
    <x v="14"/>
    <s v="july"/>
    <s v="Classic Trends Fashion"/>
    <s v="Decor"/>
    <s v="Home décor"/>
    <x v="4"/>
    <s v="Male"/>
    <n v="16"/>
    <n v="734"/>
    <n v="1330"/>
    <n v="11744"/>
    <n v="21280"/>
    <n v="9536"/>
    <s v="profit"/>
  </r>
  <r>
    <x v="15"/>
    <s v="july"/>
    <s v="Harmony Ventures"/>
    <s v="Decor"/>
    <s v="Home décor"/>
    <x v="10"/>
    <s v="Male"/>
    <n v="16"/>
    <n v="673"/>
    <n v="1233"/>
    <n v="10768"/>
    <n v="19728"/>
    <n v="8960"/>
    <s v="profit"/>
  </r>
  <r>
    <x v="16"/>
    <s v="july"/>
    <s v="Stellar Realty"/>
    <s v="Decor"/>
    <s v="Home décor"/>
    <x v="11"/>
    <s v="Male"/>
    <n v="14"/>
    <n v="782"/>
    <n v="835"/>
    <n v="10948"/>
    <n v="11690"/>
    <n v="742"/>
    <s v="profit"/>
  </r>
  <r>
    <x v="17"/>
    <s v="july"/>
    <s v="Future Path Technologies"/>
    <s v="Decor"/>
    <s v="Home décor"/>
    <x v="6"/>
    <s v="Male"/>
    <n v="19"/>
    <n v="536"/>
    <n v="927"/>
    <n v="10184"/>
    <n v="17613"/>
    <n v="7429"/>
    <s v="profit"/>
  </r>
  <r>
    <x v="70"/>
    <s v="august"/>
    <s v="Prestige Solutions"/>
    <s v="Electronic"/>
    <s v="Laptop"/>
    <x v="13"/>
    <s v="Female"/>
    <n v="23"/>
    <n v="923"/>
    <n v="897"/>
    <n v="21229"/>
    <n v="20631"/>
    <n v="-598"/>
    <s v="loss"/>
  </r>
  <r>
    <x v="18"/>
    <s v="july"/>
    <s v="Elite Edge Services"/>
    <s v="Decor"/>
    <s v="Home décor"/>
    <x v="7"/>
    <s v="Female"/>
    <n v="11"/>
    <n v="991"/>
    <n v="803"/>
    <n v="10901"/>
    <n v="8833"/>
    <n v="-2068"/>
    <s v="loss"/>
  </r>
  <r>
    <x v="19"/>
    <s v="august"/>
    <s v="Modern Harmony Products"/>
    <s v="Decor"/>
    <s v="Home décor"/>
    <x v="8"/>
    <s v="Female"/>
    <n v="10"/>
    <n v="844"/>
    <n v="865"/>
    <n v="8440"/>
    <n v="8650"/>
    <n v="210"/>
    <s v="profit"/>
  </r>
  <r>
    <x v="20"/>
    <s v="august"/>
    <s v="Horizon Builders &amp; Developers"/>
    <s v="Decor"/>
    <s v="Home décor"/>
    <x v="12"/>
    <s v="Female"/>
    <n v="20"/>
    <n v="803"/>
    <n v="1377"/>
    <n v="16060"/>
    <n v="27540"/>
    <n v="11480"/>
    <s v="profit"/>
  </r>
  <r>
    <x v="21"/>
    <s v="august"/>
    <s v="Legacy Apparel"/>
    <s v="Decor"/>
    <s v="Home décor"/>
    <x v="7"/>
    <s v="Female"/>
    <n v="12"/>
    <n v="606"/>
    <n v="1154"/>
    <n v="7272"/>
    <n v="13848"/>
    <n v="6576"/>
    <s v="profit"/>
  </r>
  <r>
    <x v="23"/>
    <s v="august"/>
    <s v="Pinnacle Education Group"/>
    <s v="Decor"/>
    <s v="Home décor"/>
    <x v="7"/>
    <s v="Female"/>
    <n v="11"/>
    <n v="622"/>
    <n v="767"/>
    <n v="6842"/>
    <n v="8437"/>
    <n v="1595"/>
    <s v="profit"/>
  </r>
  <r>
    <x v="25"/>
    <s v="august"/>
    <s v="Noble Innovations"/>
    <s v="Decor"/>
    <s v="Home décor"/>
    <x v="8"/>
    <s v="Male"/>
    <n v="17"/>
    <n v="671"/>
    <n v="906"/>
    <n v="11407"/>
    <n v="15402"/>
    <n v="3995"/>
    <s v="profit"/>
  </r>
  <r>
    <x v="26"/>
    <s v="august"/>
    <s v="Crystal Clear Realty"/>
    <s v="Decor"/>
    <s v="Home décor"/>
    <x v="4"/>
    <s v="Male"/>
    <n v="12"/>
    <n v="814"/>
    <n v="1392"/>
    <n v="9768"/>
    <n v="16704"/>
    <n v="6936"/>
    <s v="profit"/>
  </r>
  <r>
    <x v="27"/>
    <s v="september"/>
    <s v="Apex Publishing House"/>
    <s v="Decor"/>
    <s v="Home décor"/>
    <x v="14"/>
    <s v="Male"/>
    <n v="11"/>
    <n v="960"/>
    <n v="939"/>
    <n v="10560"/>
    <n v="10329"/>
    <n v="-231"/>
    <s v="loss"/>
  </r>
  <r>
    <x v="71"/>
    <s v="august"/>
    <s v="Urban Wave Solutions"/>
    <s v="Fashion "/>
    <s v="Saree"/>
    <x v="1"/>
    <s v="Male"/>
    <n v="89"/>
    <n v="910"/>
    <n v="1261"/>
    <n v="80990"/>
    <n v="112229"/>
    <n v="31239"/>
    <s v="profit"/>
  </r>
  <r>
    <x v="28"/>
    <s v="september"/>
    <s v="True Value Consulting"/>
    <s v="Decor"/>
    <s v="Home décor"/>
    <x v="8"/>
    <s v="Male"/>
    <n v="10"/>
    <n v="654"/>
    <n v="1029"/>
    <n v="6540"/>
    <n v="10290"/>
    <n v="3750"/>
    <s v="profit"/>
  </r>
  <r>
    <x v="29"/>
    <s v="september"/>
    <s v="Future Path Ventures"/>
    <s v="Decor"/>
    <s v="Home décor"/>
    <x v="3"/>
    <s v="Male"/>
    <n v="14"/>
    <n v="504"/>
    <n v="1130"/>
    <n v="7056"/>
    <n v="15820"/>
    <n v="8764"/>
    <s v="profit"/>
  </r>
  <r>
    <x v="30"/>
    <s v="september"/>
    <s v="Stellar Tech Services"/>
    <s v="Decor"/>
    <s v="Home décor"/>
    <x v="13"/>
    <s v="Male"/>
    <n v="12"/>
    <n v="886"/>
    <n v="1233"/>
    <n v="10632"/>
    <n v="14796"/>
    <n v="4164"/>
    <s v="profit"/>
  </r>
  <r>
    <x v="31"/>
    <s v="september"/>
    <s v="Legacy Travel Agency"/>
    <s v="Decor"/>
    <s v="Home décor"/>
    <x v="15"/>
    <s v="Female"/>
    <n v="10"/>
    <n v="554"/>
    <n v="1210"/>
    <n v="5540"/>
    <n v="12100"/>
    <n v="6560"/>
    <s v="profit"/>
  </r>
  <r>
    <x v="72"/>
    <s v="september"/>
    <s v="Visionary Realty Solutions"/>
    <s v="Fashion "/>
    <s v="Suit"/>
    <x v="5"/>
    <s v="Female"/>
    <n v="59"/>
    <n v="764"/>
    <n v="1365"/>
    <n v="45076"/>
    <n v="80535"/>
    <n v="35459"/>
    <s v="profit"/>
  </r>
  <r>
    <x v="32"/>
    <s v="september"/>
    <s v="Harmony Innovations"/>
    <s v="Decor"/>
    <s v="Home décor"/>
    <x v="16"/>
    <s v="Female"/>
    <n v="14"/>
    <n v="933"/>
    <n v="1064"/>
    <n v="13062"/>
    <n v="14896"/>
    <n v="1834"/>
    <s v="profit"/>
  </r>
  <r>
    <x v="33"/>
    <s v="september"/>
    <s v="Elite Media Group"/>
    <s v="Decor"/>
    <s v="Home décor"/>
    <x v="8"/>
    <s v="Female"/>
    <n v="15"/>
    <n v="674"/>
    <n v="1125"/>
    <n v="10110"/>
    <n v="16875"/>
    <n v="6765"/>
    <s v="profit"/>
  </r>
  <r>
    <x v="34"/>
    <s v="september"/>
    <s v="Radiant Construction"/>
    <s v="Decor"/>
    <s v="Home décor"/>
    <x v="12"/>
    <s v="Female"/>
    <n v="20"/>
    <n v="529"/>
    <n v="1455"/>
    <n v="10580"/>
    <n v="29100"/>
    <n v="18520"/>
    <s v="profit"/>
  </r>
  <r>
    <x v="35"/>
    <s v="september"/>
    <s v="Pinnacle Finance"/>
    <s v="Decor"/>
    <s v="Home décor"/>
    <x v="6"/>
    <s v="Female"/>
    <n v="18"/>
    <n v="717"/>
    <n v="833"/>
    <n v="12906"/>
    <n v="14994"/>
    <n v="2088"/>
    <s v="profit"/>
  </r>
  <r>
    <x v="36"/>
    <s v="september"/>
    <s v="Horizon Tech Ventures"/>
    <s v="Decor"/>
    <s v="Home décor"/>
    <x v="7"/>
    <s v="Female"/>
    <n v="17"/>
    <n v="966"/>
    <n v="1044"/>
    <n v="16422"/>
    <n v="17748"/>
    <n v="1326"/>
    <s v="profit"/>
  </r>
  <r>
    <x v="37"/>
    <s v="september"/>
    <s v="Elite Edge Consulting"/>
    <s v="Decor"/>
    <s v="Car accessories"/>
    <x v="6"/>
    <s v="Male"/>
    <n v="16"/>
    <n v="599"/>
    <n v="1490"/>
    <n v="9584"/>
    <n v="23840"/>
    <n v="14256"/>
    <s v="profit"/>
  </r>
  <r>
    <x v="38"/>
    <s v="september"/>
    <s v="Harmony Tech Ventures"/>
    <s v="Decor"/>
    <s v="Car accessories"/>
    <x v="7"/>
    <s v="Female"/>
    <n v="12"/>
    <n v="827"/>
    <n v="955"/>
    <n v="9924"/>
    <n v="11460"/>
    <n v="1536"/>
    <s v="profit"/>
  </r>
  <r>
    <x v="39"/>
    <s v="october"/>
    <s v="Radiant Fitness Studio"/>
    <s v="Decor"/>
    <s v="Car accessories"/>
    <x v="13"/>
    <s v="Female"/>
    <n v="17"/>
    <n v="932"/>
    <n v="808"/>
    <n v="15844"/>
    <n v="13736"/>
    <n v="-2108"/>
    <s v="loss"/>
  </r>
  <r>
    <x v="73"/>
    <s v="september"/>
    <s v="Pure Essence Solutions"/>
    <s v="Decor"/>
    <s v="Home décor"/>
    <x v="6"/>
    <s v="Female"/>
    <n v="14"/>
    <n v="857"/>
    <n v="767"/>
    <n v="11998"/>
    <n v="10738"/>
    <n v="-1260"/>
    <s v="loss"/>
  </r>
  <r>
    <x v="40"/>
    <s v="october"/>
    <s v="Zenith Finance Co."/>
    <s v="Decor"/>
    <s v="Car accessories"/>
    <x v="12"/>
    <s v="Female"/>
    <n v="11"/>
    <n v="654"/>
    <n v="767"/>
    <n v="7194"/>
    <n v="8437"/>
    <n v="1243"/>
    <s v="profit"/>
  </r>
  <r>
    <x v="41"/>
    <s v="october"/>
    <s v="Apex Events Management"/>
    <s v="Decor"/>
    <s v="Car accessories"/>
    <x v="7"/>
    <s v="Female"/>
    <n v="19"/>
    <n v="764"/>
    <n v="1069"/>
    <n v="14516"/>
    <n v="20311"/>
    <n v="5795"/>
    <s v="profit"/>
  </r>
  <r>
    <x v="42"/>
    <s v="october"/>
    <s v="Stellar Media Group"/>
    <s v="Decor"/>
    <s v="Home décor"/>
    <x v="5"/>
    <s v="Male"/>
    <n v="15"/>
    <n v="906"/>
    <n v="1485"/>
    <n v="13590"/>
    <n v="22275"/>
    <n v="8685"/>
    <s v="profit"/>
  </r>
  <r>
    <x v="43"/>
    <s v="october"/>
    <s v="Harmony Finance Co."/>
    <s v="Decor"/>
    <s v="Home décor"/>
    <x v="3"/>
    <s v="Male"/>
    <n v="20"/>
    <n v="780"/>
    <n v="783"/>
    <n v="15600"/>
    <n v="15660"/>
    <n v="60"/>
    <s v="profit"/>
  </r>
  <r>
    <x v="74"/>
    <s v="september"/>
    <s v="Crystal Health Solutions"/>
    <s v="Decor"/>
    <s v="Home décor"/>
    <x v="7"/>
    <s v="Male"/>
    <n v="14"/>
    <n v="515"/>
    <n v="1230"/>
    <n v="7210"/>
    <n v="17220"/>
    <n v="10010"/>
    <s v="profit"/>
  </r>
  <r>
    <x v="44"/>
    <s v="october"/>
    <s v="Pure Vision Ventures"/>
    <s v="Decor"/>
    <s v="Home décor"/>
    <x v="15"/>
    <s v="Male"/>
    <n v="17"/>
    <n v="747"/>
    <n v="1190"/>
    <n v="12699"/>
    <n v="20230"/>
    <n v="7531"/>
    <s v="profit"/>
  </r>
  <r>
    <x v="45"/>
    <s v="october"/>
    <s v="Legacy Travel Services"/>
    <s v="Decor"/>
    <s v="Home décor"/>
    <x v="6"/>
    <s v="Female"/>
    <n v="15"/>
    <n v="747"/>
    <n v="966"/>
    <n v="11205"/>
    <n v="14490"/>
    <n v="3285"/>
    <s v="profit"/>
  </r>
  <r>
    <x v="46"/>
    <s v="october"/>
    <s v="Elite Spectrum Media"/>
    <s v="Decor"/>
    <s v="Home décor"/>
    <x v="7"/>
    <s v="Female"/>
    <n v="20"/>
    <n v="844"/>
    <n v="1010"/>
    <n v="16880"/>
    <n v="20200"/>
    <n v="3320"/>
    <s v="profit"/>
  </r>
  <r>
    <x v="47"/>
    <s v="october"/>
    <s v="Pinnacle Design Studio"/>
    <s v="Decor"/>
    <s v="Home décor"/>
    <x v="13"/>
    <s v="Female"/>
    <n v="14"/>
    <n v="799"/>
    <n v="1154"/>
    <n v="11186"/>
    <n v="16156"/>
    <n v="4970"/>
    <s v="profit"/>
  </r>
  <r>
    <x v="48"/>
    <s v="january"/>
    <s v="Legacy Travel Ventures"/>
    <s v="Decor"/>
    <s v="Car accessories"/>
    <x v="3"/>
    <s v="Female"/>
    <n v="19"/>
    <n v="608"/>
    <n v="1032"/>
    <n v="11552"/>
    <n v="19608"/>
    <n v="8056"/>
    <s v="profit"/>
  </r>
  <r>
    <x v="50"/>
    <s v="january"/>
    <s v="Stellar Design Group"/>
    <s v="Decor"/>
    <s v="Car accessories"/>
    <x v="14"/>
    <s v="Female"/>
    <n v="14"/>
    <n v="579"/>
    <n v="907"/>
    <n v="8106"/>
    <n v="12698"/>
    <n v="4592"/>
    <s v="profit"/>
  </r>
  <r>
    <x v="51"/>
    <s v="january"/>
    <s v="Horizon Ventures Co."/>
    <s v="Decor"/>
    <s v="Car accessories"/>
    <x v="1"/>
    <s v="Female"/>
    <n v="17"/>
    <n v="825"/>
    <n v="1080"/>
    <n v="14025"/>
    <n v="18360"/>
    <n v="4335"/>
    <s v="profit"/>
  </r>
  <r>
    <x v="52"/>
    <s v="january"/>
    <s v="Zenith Wellness Services"/>
    <s v="Decor"/>
    <s v="Car accessories"/>
    <x v="3"/>
    <s v="Male"/>
    <n v="15"/>
    <n v="827"/>
    <n v="931"/>
    <n v="12405"/>
    <n v="13965"/>
    <n v="1560"/>
    <s v="profit"/>
  </r>
  <r>
    <x v="75"/>
    <s v="september"/>
    <s v="Stellar Travel Solutions"/>
    <s v="Decor"/>
    <s v="Car accessories"/>
    <x v="7"/>
    <s v="Female"/>
    <n v="15"/>
    <n v="650"/>
    <n v="1347"/>
    <n v="9750"/>
    <n v="20205"/>
    <n v="10455"/>
    <s v="profit"/>
  </r>
  <r>
    <x v="53"/>
    <s v="january"/>
    <s v="Legacy Travel Co."/>
    <s v="Decor"/>
    <s v="Home décor"/>
    <x v="0"/>
    <s v="Female"/>
    <n v="20"/>
    <n v="900"/>
    <n v="1431"/>
    <n v="18000"/>
    <n v="28620"/>
    <n v="10620"/>
    <s v="profit"/>
  </r>
  <r>
    <x v="76"/>
    <s v="september"/>
    <s v="Pure Harmony Solutions"/>
    <s v="Decor"/>
    <s v="Car accessories"/>
    <x v="13"/>
    <s v="Female"/>
    <n v="15"/>
    <n v="825"/>
    <n v="947"/>
    <n v="12375"/>
    <n v="14205"/>
    <n v="1830"/>
    <s v="profit"/>
  </r>
  <r>
    <x v="54"/>
    <s v="january"/>
    <s v="Pinnacle Innovations Group"/>
    <s v="Decor"/>
    <s v="Home décor"/>
    <x v="1"/>
    <s v="Female"/>
    <n v="19"/>
    <n v="791"/>
    <n v="965"/>
    <n v="15029"/>
    <n v="18335"/>
    <n v="3306"/>
    <s v="profit"/>
  </r>
  <r>
    <x v="55"/>
    <s v="january"/>
    <s v="Stellar Health Services"/>
    <s v="Decor"/>
    <s v="Home décor"/>
    <x v="2"/>
    <s v="Female"/>
    <n v="18"/>
    <n v="963"/>
    <n v="1178"/>
    <n v="17334"/>
    <n v="21204"/>
    <n v="3870"/>
    <s v="profit"/>
  </r>
  <r>
    <x v="56"/>
    <s v="january"/>
    <s v="Radiance Design Co."/>
    <s v="Decor"/>
    <s v="Home décor"/>
    <x v="3"/>
    <s v="Female"/>
    <n v="19"/>
    <n v="763"/>
    <n v="1036"/>
    <n v="14497"/>
    <n v="19684"/>
    <n v="5187"/>
    <s v="profit"/>
  </r>
  <r>
    <x v="57"/>
    <s v="january"/>
    <s v="Harmony Consulting Group"/>
    <s v="Decor"/>
    <s v="Home décor"/>
    <x v="3"/>
    <s v="Female"/>
    <n v="19"/>
    <n v="795"/>
    <n v="1471"/>
    <n v="15105"/>
    <n v="27949"/>
    <n v="12844"/>
    <s v="profit"/>
  </r>
  <r>
    <x v="59"/>
    <s v="january"/>
    <s v="Apex Educational Group"/>
    <s v="Decor"/>
    <s v="Home décor"/>
    <x v="5"/>
    <s v="Male"/>
    <n v="16"/>
    <n v="731"/>
    <n v="1296"/>
    <n v="11696"/>
    <n v="20736"/>
    <n v="9040"/>
    <s v="profit"/>
  </r>
  <r>
    <x v="77"/>
    <s v="october"/>
    <s v="Modern Spectrum Solutions"/>
    <s v="Fashion "/>
    <s v="Saree"/>
    <x v="8"/>
    <s v="Female"/>
    <n v="92"/>
    <n v="923"/>
    <n v="1151"/>
    <n v="84916"/>
    <n v="105892"/>
    <n v="20976"/>
    <s v="profit"/>
  </r>
  <r>
    <x v="60"/>
    <s v="january"/>
    <s v="Modern Wellness Co."/>
    <s v="Decor"/>
    <s v="Home décor"/>
    <x v="3"/>
    <s v="Male"/>
    <n v="12"/>
    <n v="927"/>
    <n v="1162"/>
    <n v="11124"/>
    <n v="13944"/>
    <n v="2820"/>
    <s v="profit"/>
  </r>
  <r>
    <x v="61"/>
    <s v="january"/>
    <s v="Pure Spectrum Innovations"/>
    <s v="Decor"/>
    <s v="Home décor"/>
    <x v="7"/>
    <s v="Male"/>
    <n v="13"/>
    <n v="528"/>
    <n v="1175"/>
    <n v="6864"/>
    <n v="15275"/>
    <n v="8411"/>
    <s v="profit"/>
  </r>
  <r>
    <x v="62"/>
    <s v="january"/>
    <s v="Pinnacle Travel Co."/>
    <s v="Decor"/>
    <s v="Home décor"/>
    <x v="17"/>
    <s v="Male"/>
    <n v="16"/>
    <n v="998"/>
    <n v="835"/>
    <n v="15968"/>
    <n v="13360"/>
    <n v="-2608"/>
    <s v="loss"/>
  </r>
  <r>
    <x v="78"/>
    <s v="april"/>
    <s v="Bharat Innovations"/>
    <s v="Electronic"/>
    <s v="Speaker"/>
    <x v="14"/>
    <s v="Male"/>
    <n v="29"/>
    <n v="924"/>
    <n v="1101"/>
    <n v="26796"/>
    <n v="31929"/>
    <n v="5133"/>
    <s v="profit"/>
  </r>
  <r>
    <x v="79"/>
    <s v="april"/>
    <s v="Green Leaf Enterprises"/>
    <s v="Electronic"/>
    <s v="Earbuds"/>
    <x v="8"/>
    <s v="Male"/>
    <n v="30"/>
    <n v="817"/>
    <n v="1334"/>
    <n v="24510"/>
    <n v="40020"/>
    <n v="15510"/>
    <s v="profit"/>
  </r>
  <r>
    <x v="80"/>
    <s v="april"/>
    <s v="Urban Pulse Technologies"/>
    <s v="Electronic"/>
    <s v="Earbuds"/>
    <x v="3"/>
    <s v="Male"/>
    <n v="23"/>
    <n v="753"/>
    <n v="987"/>
    <n v="17319"/>
    <n v="22701"/>
    <n v="5382"/>
    <s v="profit"/>
  </r>
  <r>
    <x v="81"/>
    <s v="october"/>
    <s v="Apex Creative Solutions"/>
    <s v="Fashion "/>
    <s v="Suit"/>
    <x v="3"/>
    <s v="Male"/>
    <n v="57"/>
    <n v="927"/>
    <n v="1477"/>
    <n v="52839"/>
    <n v="84189"/>
    <n v="31350"/>
    <s v="profit"/>
  </r>
  <r>
    <x v="82"/>
    <s v="april"/>
    <s v="Mystic India Exports"/>
    <s v="Electronic"/>
    <s v="Earbuds"/>
    <x v="13"/>
    <s v="Male"/>
    <n v="26"/>
    <n v="809"/>
    <n v="800"/>
    <n v="21034"/>
    <n v="20800"/>
    <n v="-234"/>
    <s v="loss"/>
  </r>
  <r>
    <x v="83"/>
    <s v="april"/>
    <s v="Pure Essence Skincare"/>
    <s v="Electronic"/>
    <s v="Speaker"/>
    <x v="12"/>
    <s v="Female"/>
    <n v="23"/>
    <n v="852"/>
    <n v="1480"/>
    <n v="19596"/>
    <n v="34040"/>
    <n v="14444"/>
    <s v="profit"/>
  </r>
  <r>
    <x v="84"/>
    <s v="april"/>
    <s v="Zenith Construction Co."/>
    <s v="Electronic"/>
    <s v="Speaker"/>
    <x v="6"/>
    <s v="Female"/>
    <n v="24"/>
    <n v="903"/>
    <n v="1338"/>
    <n v="21672"/>
    <n v="32112"/>
    <n v="10440"/>
    <s v="profit"/>
  </r>
  <r>
    <x v="85"/>
    <s v="april"/>
    <s v="Radiant Health Systems"/>
    <s v="Electronic"/>
    <s v="Speaker"/>
    <x v="7"/>
    <s v="Female"/>
    <n v="21"/>
    <n v="829"/>
    <n v="950"/>
    <n v="17409"/>
    <n v="19950"/>
    <n v="2541"/>
    <s v="profit"/>
  </r>
  <r>
    <x v="86"/>
    <s v="october"/>
    <s v="Radiance Solutions Group"/>
    <s v="Decor"/>
    <s v="Home décor"/>
    <x v="11"/>
    <s v="Female"/>
    <n v="16"/>
    <n v="584"/>
    <n v="1278"/>
    <n v="9344"/>
    <n v="20448"/>
    <n v="11104"/>
    <s v="profit"/>
  </r>
  <r>
    <x v="87"/>
    <s v="april"/>
    <s v="Divine Creations"/>
    <s v="Electronic"/>
    <s v="Speaker"/>
    <x v="7"/>
    <s v="Female"/>
    <n v="20"/>
    <n v="557"/>
    <n v="1002"/>
    <n v="11140"/>
    <n v="20040"/>
    <n v="8900"/>
    <s v="profit"/>
  </r>
  <r>
    <x v="88"/>
    <s v="april"/>
    <s v="True Path Logistics"/>
    <s v="Electronic"/>
    <s v="Speaker"/>
    <x v="4"/>
    <s v="Female"/>
    <n v="20"/>
    <n v="648"/>
    <n v="1106"/>
    <n v="12960"/>
    <n v="22120"/>
    <n v="9160"/>
    <s v="profit"/>
  </r>
  <r>
    <x v="89"/>
    <s v="october"/>
    <s v="Modern Edge Solutions"/>
    <s v="Decor"/>
    <s v="Home décor"/>
    <x v="7"/>
    <s v="Female"/>
    <n v="19"/>
    <n v="589"/>
    <n v="1100"/>
    <n v="11191"/>
    <n v="20900"/>
    <n v="9709"/>
    <s v="profit"/>
  </r>
  <r>
    <x v="90"/>
    <s v="april"/>
    <s v="Prestige Automobiles"/>
    <s v="Electronic"/>
    <s v="TV"/>
    <x v="7"/>
    <s v="Male"/>
    <n v="26"/>
    <n v="942"/>
    <n v="1143"/>
    <n v="24492"/>
    <n v="29718"/>
    <n v="5226"/>
    <s v="profit"/>
  </r>
  <r>
    <x v="91"/>
    <s v="october"/>
    <s v="Horizon Health Solutions"/>
    <s v="Electronic"/>
    <s v="Speaker"/>
    <x v="13"/>
    <s v="Female"/>
    <n v="30"/>
    <n v="869"/>
    <n v="1033"/>
    <n v="26070"/>
    <n v="30990"/>
    <n v="4920"/>
    <s v="profit"/>
  </r>
  <r>
    <x v="92"/>
    <s v="april"/>
    <s v="Natural Bliss Beverages"/>
    <s v="Electronic"/>
    <s v="TV"/>
    <x v="13"/>
    <s v="Male"/>
    <n v="20"/>
    <n v="606"/>
    <n v="806"/>
    <n v="12120"/>
    <n v="16120"/>
    <n v="4000"/>
    <s v="profit"/>
  </r>
  <r>
    <x v="93"/>
    <s v="october"/>
    <s v="Apex Marketing Solutions"/>
    <s v="Electronic"/>
    <s v="Earbuds"/>
    <x v="7"/>
    <s v="Male"/>
    <n v="20"/>
    <n v="979"/>
    <n v="1471"/>
    <n v="19580"/>
    <n v="29420"/>
    <n v="9840"/>
    <s v="profit"/>
  </r>
  <r>
    <x v="94"/>
    <s v="april"/>
    <s v="Modern Trends Fashion"/>
    <s v="Electronic"/>
    <s v="TV"/>
    <x v="7"/>
    <s v="Female"/>
    <n v="22"/>
    <n v="822"/>
    <n v="1153"/>
    <n v="18084"/>
    <n v="25366"/>
    <n v="7282"/>
    <s v="profit"/>
  </r>
  <r>
    <x v="95"/>
    <s v="april"/>
    <s v="Heritage Crafts"/>
    <s v="Electronic"/>
    <s v="TV"/>
    <x v="5"/>
    <s v="Female"/>
    <n v="26"/>
    <n v="505"/>
    <n v="1337"/>
    <n v="13130"/>
    <n v="34762"/>
    <n v="21632"/>
    <s v="profit"/>
  </r>
  <r>
    <x v="96"/>
    <s v="april"/>
    <s v="Future Insights Analytics"/>
    <s v="Electronic"/>
    <s v="TV"/>
    <x v="17"/>
    <s v="Female"/>
    <n v="23"/>
    <n v="649"/>
    <n v="1210"/>
    <n v="14927"/>
    <n v="27830"/>
    <n v="12903"/>
    <s v="profit"/>
  </r>
  <r>
    <x v="97"/>
    <s v="april"/>
    <s v="Emerald Estate Developers"/>
    <s v="Electronic"/>
    <s v="TV"/>
    <x v="8"/>
    <s v="Female"/>
    <n v="26"/>
    <n v="647"/>
    <n v="1025"/>
    <n v="16822"/>
    <n v="26650"/>
    <n v="9828"/>
    <s v="profit"/>
  </r>
  <r>
    <x v="98"/>
    <s v="april"/>
    <s v="Starlight Media Group"/>
    <s v="Electronic"/>
    <s v="TV"/>
    <x v="18"/>
    <s v="Female"/>
    <n v="30"/>
    <n v="843"/>
    <n v="953"/>
    <n v="25290"/>
    <n v="28590"/>
    <n v="3300"/>
    <s v="profit"/>
  </r>
  <r>
    <x v="99"/>
    <s v="may"/>
    <s v="Supreme Electronics"/>
    <s v="Electronic"/>
    <s v="TV"/>
    <x v="19"/>
    <s v="Female"/>
    <n v="21"/>
    <n v="571"/>
    <n v="900"/>
    <n v="11991"/>
    <n v="18900"/>
    <n v="6909"/>
    <s v="profit"/>
  </r>
  <r>
    <x v="100"/>
    <s v="may"/>
    <s v="Optimum Wellness"/>
    <s v="Electronic"/>
    <s v="TV"/>
    <x v="0"/>
    <s v="Male"/>
    <n v="25"/>
    <n v="909"/>
    <n v="970"/>
    <n v="22725"/>
    <n v="24250"/>
    <n v="1525"/>
    <s v="profit"/>
  </r>
  <r>
    <x v="101"/>
    <s v="may"/>
    <s v="Zenith Books Publishing"/>
    <s v="Electronic"/>
    <s v="TV"/>
    <x v="1"/>
    <s v="Male"/>
    <n v="24"/>
    <n v="584"/>
    <n v="1158"/>
    <n v="14016"/>
    <n v="27792"/>
    <n v="13776"/>
    <s v="profit"/>
  </r>
  <r>
    <x v="102"/>
    <s v="may"/>
    <s v="Pinnacle Innovations"/>
    <s v="Electronic"/>
    <s v="TV"/>
    <x v="2"/>
    <s v="Male"/>
    <n v="28"/>
    <n v="787"/>
    <n v="1452"/>
    <n v="22036"/>
    <n v="40656"/>
    <n v="18620"/>
    <s v="profit"/>
  </r>
  <r>
    <x v="103"/>
    <s v="may"/>
    <s v="Apex Travel Services"/>
    <s v="Electronic"/>
    <s v="TV"/>
    <x v="3"/>
    <s v="Male"/>
    <n v="23"/>
    <n v="768"/>
    <n v="1102"/>
    <n v="17664"/>
    <n v="25346"/>
    <n v="7682"/>
    <s v="profit"/>
  </r>
  <r>
    <x v="104"/>
    <s v="may"/>
    <s v="Golden Era Realty"/>
    <s v="Electronic"/>
    <s v="TV"/>
    <x v="3"/>
    <s v="Female"/>
    <n v="23"/>
    <n v="584"/>
    <n v="1168"/>
    <n v="13432"/>
    <n v="26864"/>
    <n v="13432"/>
    <s v="profit"/>
  </r>
  <r>
    <x v="105"/>
    <s v="november"/>
    <s v="Radiance Solutions Co."/>
    <s v="Fashion "/>
    <s v="Male dress"/>
    <x v="5"/>
    <s v="Female"/>
    <n v="57"/>
    <n v="541"/>
    <n v="819"/>
    <n v="30837"/>
    <n v="46683"/>
    <n v="15846"/>
    <s v="profit"/>
  </r>
  <r>
    <x v="106"/>
    <s v="may"/>
    <s v="Radiant Jewelry"/>
    <s v="Electronic"/>
    <s v="Laptop"/>
    <x v="4"/>
    <s v="Female"/>
    <n v="20"/>
    <n v="778"/>
    <n v="1096"/>
    <n v="15560"/>
    <n v="21920"/>
    <n v="6360"/>
    <s v="profit"/>
  </r>
  <r>
    <x v="107"/>
    <s v="may"/>
    <s v="Infinity Ventures"/>
    <s v="Electronic"/>
    <s v="Laptop"/>
    <x v="5"/>
    <s v="Female"/>
    <n v="26"/>
    <n v="595"/>
    <n v="914"/>
    <n v="15470"/>
    <n v="23764"/>
    <n v="8294"/>
    <s v="profit"/>
  </r>
  <r>
    <x v="108"/>
    <s v="november"/>
    <s v="Horizon Creative Solutions"/>
    <s v="Fashion "/>
    <s v="Male dress"/>
    <x v="14"/>
    <s v="Female"/>
    <n v="70"/>
    <n v="871"/>
    <n v="862"/>
    <n v="60970"/>
    <n v="60340"/>
    <n v="-630"/>
    <s v="loss"/>
  </r>
  <r>
    <x v="109"/>
    <s v="may"/>
    <s v="Royal Taste Foods"/>
    <s v="Electronic"/>
    <s v="Laptop"/>
    <x v="3"/>
    <s v="Female"/>
    <n v="27"/>
    <n v="722"/>
    <n v="1497"/>
    <n v="19494"/>
    <n v="40419"/>
    <n v="20925"/>
    <s v="profit"/>
  </r>
  <r>
    <x v="110"/>
    <s v="may"/>
    <s v="Harmony Homes"/>
    <s v="Electronic"/>
    <s v="Laptop"/>
    <x v="15"/>
    <s v="Female"/>
    <n v="25"/>
    <n v="982"/>
    <n v="1395"/>
    <n v="24550"/>
    <n v="34875"/>
    <n v="10325"/>
    <s v="profit"/>
  </r>
  <r>
    <x v="111"/>
    <s v="may"/>
    <s v="Urban Edge Consulting"/>
    <s v="Electronic"/>
    <s v="Laptop"/>
    <x v="14"/>
    <s v="Female"/>
    <n v="25"/>
    <n v="982"/>
    <n v="1389"/>
    <n v="24550"/>
    <n v="34725"/>
    <n v="10175"/>
    <s v="profit"/>
  </r>
  <r>
    <x v="112"/>
    <s v="may"/>
    <s v="Prime Tech Innovations"/>
    <s v="Electronic"/>
    <s v="Laptop"/>
    <x v="8"/>
    <s v="Female"/>
    <n v="25"/>
    <n v="810"/>
    <n v="1086"/>
    <n v="20250"/>
    <n v="27150"/>
    <n v="6900"/>
    <s v="profit"/>
  </r>
  <r>
    <x v="113"/>
    <s v="november"/>
    <s v="Urban Spectrum Solutions"/>
    <s v="Electronic"/>
    <s v="TV"/>
    <x v="16"/>
    <s v="Male"/>
    <n v="20"/>
    <n v="773"/>
    <n v="823"/>
    <n v="15460"/>
    <n v="16460"/>
    <n v="1000"/>
    <s v="profit"/>
  </r>
  <r>
    <x v="114"/>
    <s v="may"/>
    <s v="Legacy Designs"/>
    <s v="Electronic"/>
    <s v="Laptop"/>
    <x v="3"/>
    <s v="Female"/>
    <n v="26"/>
    <n v="781"/>
    <n v="1019"/>
    <n v="20306"/>
    <n v="26494"/>
    <n v="6188"/>
    <s v="profit"/>
  </r>
  <r>
    <x v="115"/>
    <s v="may"/>
    <s v="Virtue Enterprises"/>
    <s v="Electronic"/>
    <s v="Laptop"/>
    <x v="13"/>
    <s v="Female"/>
    <n v="26"/>
    <n v="630"/>
    <n v="767"/>
    <n v="16380"/>
    <n v="19942"/>
    <n v="3562"/>
    <s v="profit"/>
  </r>
  <r>
    <x v="116"/>
    <s v="may"/>
    <s v="Radiant Health Club"/>
    <s v="Electronic"/>
    <s v="Laptop"/>
    <x v="15"/>
    <s v="Female"/>
    <n v="23"/>
    <n v="972"/>
    <n v="782"/>
    <n v="22356"/>
    <n v="17986"/>
    <n v="-4370"/>
    <s v="loss"/>
  </r>
  <r>
    <x v="117"/>
    <s v="november"/>
    <s v="Legacy Wellness Solutions"/>
    <s v="Electronic"/>
    <s v="TV"/>
    <x v="6"/>
    <s v="Female"/>
    <n v="23"/>
    <n v="906"/>
    <n v="1275"/>
    <n v="20838"/>
    <n v="29325"/>
    <n v="8487"/>
    <s v="profit"/>
  </r>
  <r>
    <x v="118"/>
    <s v="may"/>
    <s v="Bright Horizon Ventures"/>
    <s v="Electronic"/>
    <s v="Laptop"/>
    <x v="16"/>
    <s v="Male"/>
    <n v="30"/>
    <n v="987"/>
    <n v="1366"/>
    <n v="29610"/>
    <n v="40980"/>
    <n v="11370"/>
    <s v="profit"/>
  </r>
  <r>
    <x v="119"/>
    <s v="november"/>
    <s v="Horizon Media Solutions"/>
    <s v="Electronic"/>
    <s v="TV"/>
    <x v="7"/>
    <s v="Female"/>
    <n v="24"/>
    <n v="927"/>
    <n v="1379"/>
    <n v="22248"/>
    <n v="33096"/>
    <n v="10848"/>
    <s v="profit"/>
  </r>
  <r>
    <x v="120"/>
    <s v="may"/>
    <s v="Modern Lifestyle Products"/>
    <s v="Electronic"/>
    <s v="Laptop"/>
    <x v="6"/>
    <s v="Male"/>
    <n v="25"/>
    <n v="877"/>
    <n v="797"/>
    <n v="21925"/>
    <n v="19925"/>
    <n v="-2000"/>
    <s v="loss"/>
  </r>
  <r>
    <x v="121"/>
    <s v="may"/>
    <s v="Nexus Trading Co."/>
    <s v="Electronic"/>
    <s v="Laptop"/>
    <x v="8"/>
    <s v="Male"/>
    <n v="26"/>
    <n v="596"/>
    <n v="1136"/>
    <n v="15496"/>
    <n v="29536"/>
    <n v="14040"/>
    <s v="profit"/>
  </r>
  <r>
    <x v="122"/>
    <s v="july"/>
    <s v="Radiance Health and Wellness"/>
    <s v="Electronic"/>
    <s v="Laptop"/>
    <x v="7"/>
    <s v="Male"/>
    <n v="26"/>
    <n v="771"/>
    <n v="1172"/>
    <n v="20046"/>
    <n v="30472"/>
    <n v="10426"/>
    <s v="profit"/>
  </r>
  <r>
    <x v="123"/>
    <s v="july"/>
    <s v="Legacy Auto Works"/>
    <s v="Electronic"/>
    <s v="Laptop"/>
    <x v="13"/>
    <s v="Male"/>
    <n v="30"/>
    <n v="859"/>
    <n v="1123"/>
    <n v="25770"/>
    <n v="33690"/>
    <n v="7920"/>
    <s v="profit"/>
  </r>
  <r>
    <x v="124"/>
    <s v="july"/>
    <s v="Prime Essence Creations"/>
    <s v="Electronic"/>
    <s v="Laptop"/>
    <x v="13"/>
    <s v="Male"/>
    <n v="30"/>
    <n v="726"/>
    <n v="964"/>
    <n v="21780"/>
    <n v="28920"/>
    <n v="7140"/>
    <s v="profit"/>
  </r>
  <r>
    <x v="125"/>
    <s v="july"/>
    <s v="Quantum Ventures"/>
    <s v="Electronic"/>
    <s v="Laptop"/>
    <x v="12"/>
    <s v="Male"/>
    <n v="29"/>
    <n v="861"/>
    <n v="820"/>
    <n v="24969"/>
    <n v="23780"/>
    <n v="-1189"/>
    <s v="loss"/>
  </r>
  <r>
    <x v="126"/>
    <s v="july"/>
    <s v="Urban Legends Apparel"/>
    <s v="Electronic"/>
    <s v="Laptop"/>
    <x v="5"/>
    <s v="Female"/>
    <n v="24"/>
    <n v="978"/>
    <n v="773"/>
    <n v="23472"/>
    <n v="18552"/>
    <n v="-4920"/>
    <s v="loss"/>
  </r>
  <r>
    <x v="127"/>
    <s v="july"/>
    <s v="Pure Bliss Beverages"/>
    <s v="Electronic"/>
    <s v="Laptop"/>
    <x v="17"/>
    <s v="Female"/>
    <n v="30"/>
    <n v="514"/>
    <n v="1333"/>
    <n v="15420"/>
    <n v="39990"/>
    <n v="24570"/>
    <s v="profit"/>
  </r>
  <r>
    <x v="128"/>
    <s v="july"/>
    <s v="Noble Heights Builders"/>
    <s v="Electronic"/>
    <s v="Laptop"/>
    <x v="8"/>
    <s v="Female"/>
    <n v="26"/>
    <n v="656"/>
    <n v="908"/>
    <n v="17056"/>
    <n v="23608"/>
    <n v="6552"/>
    <s v="profit"/>
  </r>
  <r>
    <x v="129"/>
    <s v="november"/>
    <s v="Urban Vision Solutions"/>
    <s v="Electronic"/>
    <s v="Laptop"/>
    <x v="7"/>
    <s v="Female"/>
    <n v="28"/>
    <n v="866"/>
    <n v="1102"/>
    <n v="24248"/>
    <n v="30856"/>
    <n v="6608"/>
    <s v="profit"/>
  </r>
  <r>
    <x v="130"/>
    <s v="july"/>
    <s v="Radiant Foods"/>
    <s v="Electronic"/>
    <s v="Laptop"/>
    <x v="18"/>
    <s v="Female"/>
    <n v="28"/>
    <n v="866"/>
    <n v="1080"/>
    <n v="24248"/>
    <n v="30240"/>
    <n v="5992"/>
    <s v="profit"/>
  </r>
  <r>
    <x v="131"/>
    <s v="july"/>
    <s v="Zenith Financial Services"/>
    <s v="Electronic"/>
    <s v="Laptop"/>
    <x v="19"/>
    <s v="Female"/>
    <n v="23"/>
    <n v="969"/>
    <n v="1075"/>
    <n v="22287"/>
    <n v="24725"/>
    <n v="2438"/>
    <s v="profit"/>
  </r>
  <r>
    <x v="132"/>
    <s v="december"/>
    <s v="Pinnacle Travel Solutions"/>
    <s v="Electronic"/>
    <s v="Laptop"/>
    <x v="12"/>
    <s v="Male"/>
    <n v="29"/>
    <n v="639"/>
    <n v="1257"/>
    <n v="18531"/>
    <n v="36453"/>
    <n v="17922"/>
    <s v="profit"/>
  </r>
  <r>
    <x v="133"/>
    <s v="july"/>
    <s v="Apex Travel Ventures"/>
    <s v="Electronic"/>
    <s v="Laptop"/>
    <x v="0"/>
    <s v="Female"/>
    <n v="21"/>
    <n v="626"/>
    <n v="772"/>
    <n v="13146"/>
    <n v="16212"/>
    <n v="3066"/>
    <s v="profit"/>
  </r>
  <r>
    <x v="134"/>
    <s v="august"/>
    <s v="Future Vision Realty"/>
    <s v="Electronic"/>
    <s v="Laptop"/>
    <x v="8"/>
    <s v="Male"/>
    <n v="26"/>
    <n v="715"/>
    <n v="1113"/>
    <n v="18590"/>
    <n v="28938"/>
    <n v="10348"/>
    <s v="profit"/>
  </r>
  <r>
    <x v="135"/>
    <s v="august"/>
    <s v="Urban Pulse Media"/>
    <s v="Electronic"/>
    <s v="Laptop"/>
    <x v="9"/>
    <s v="Male"/>
    <n v="27"/>
    <n v="611"/>
    <n v="1309"/>
    <n v="16497"/>
    <n v="35343"/>
    <n v="18846"/>
    <s v="profit"/>
  </r>
  <r>
    <x v="136"/>
    <s v="august"/>
    <s v="True Essence Health"/>
    <s v="Electronic"/>
    <s v="Laptop"/>
    <x v="4"/>
    <s v="Female"/>
    <n v="29"/>
    <n v="544"/>
    <n v="1436"/>
    <n v="15776"/>
    <n v="41644"/>
    <n v="25868"/>
    <s v="profit"/>
  </r>
  <r>
    <x v="137"/>
    <s v="december"/>
    <s v="Harmony Health Solutions"/>
    <s v="Electronic"/>
    <s v="Laptop"/>
    <x v="18"/>
    <s v="Male"/>
    <n v="23"/>
    <n v="771"/>
    <n v="1430"/>
    <n v="17733"/>
    <n v="32890"/>
    <n v="15157"/>
    <s v="profit"/>
  </r>
  <r>
    <x v="138"/>
    <s v="august"/>
    <s v="Radiant Vision Realty"/>
    <s v="Electronic"/>
    <s v="Laptop"/>
    <x v="11"/>
    <s v="Male"/>
    <n v="30"/>
    <n v="652"/>
    <n v="1151"/>
    <n v="19560"/>
    <n v="34530"/>
    <n v="14970"/>
    <s v="profit"/>
  </r>
  <r>
    <x v="139"/>
    <s v="august"/>
    <s v="Harmony Consulting Group"/>
    <s v="Electronic"/>
    <s v="Laptop"/>
    <x v="6"/>
    <s v="Male"/>
    <n v="22"/>
    <n v="681"/>
    <n v="1087"/>
    <n v="14982"/>
    <n v="23914"/>
    <n v="8932"/>
    <s v="profit"/>
  </r>
  <r>
    <x v="140"/>
    <s v="december"/>
    <s v="Modern Vision Solutions"/>
    <s v="Fashion "/>
    <s v="Saree"/>
    <x v="1"/>
    <s v="Male"/>
    <n v="66"/>
    <n v="888"/>
    <n v="809"/>
    <n v="58608"/>
    <n v="53394"/>
    <n v="-5214"/>
    <s v="loss"/>
  </r>
  <r>
    <x v="141"/>
    <s v="august"/>
    <s v="Zenith Tech Ventures"/>
    <s v="Electronic"/>
    <s v="Laptop"/>
    <x v="7"/>
    <s v="Male"/>
    <n v="28"/>
    <n v="923"/>
    <n v="1395"/>
    <n v="25844"/>
    <n v="39060"/>
    <n v="13216"/>
    <s v="profit"/>
  </r>
  <r>
    <x v="142"/>
    <s v="august"/>
    <s v="Stellar Health Services"/>
    <s v="Electronic"/>
    <s v="Laptop"/>
    <x v="7"/>
    <s v="Female"/>
    <n v="26"/>
    <n v="999"/>
    <n v="1112"/>
    <n v="25974"/>
    <n v="28912"/>
    <n v="2938"/>
    <s v="profit"/>
  </r>
  <r>
    <x v="143"/>
    <s v="august"/>
    <s v="Pure Path Foods"/>
    <s v="Electronic"/>
    <s v="Laptop"/>
    <x v="13"/>
    <s v="Female"/>
    <n v="30"/>
    <n v="792"/>
    <n v="1010"/>
    <n v="23760"/>
    <n v="30300"/>
    <n v="6540"/>
    <s v="profit"/>
  </r>
  <r>
    <x v="144"/>
    <s v="august"/>
    <s v="Bright Horizon Realty"/>
    <s v="Electronic"/>
    <s v="Laptop"/>
    <x v="12"/>
    <s v="Female"/>
    <n v="22"/>
    <n v="774"/>
    <n v="1387"/>
    <n v="17028"/>
    <n v="30514"/>
    <n v="13486"/>
    <s v="profit"/>
  </r>
  <r>
    <x v="145"/>
    <s v="december"/>
    <s v="Radiant Educational Solutions"/>
    <s v="Fashion "/>
    <s v="Saree"/>
    <x v="7"/>
    <s v="Female"/>
    <n v="56"/>
    <n v="516"/>
    <n v="1316"/>
    <n v="28896"/>
    <n v="73696"/>
    <n v="44800"/>
    <s v="profit"/>
  </r>
  <r>
    <x v="146"/>
    <s v="october"/>
    <s v="Crystal Clear Consulting"/>
    <s v="Electronic"/>
    <s v="Earbuds"/>
    <x v="12"/>
    <s v="Female"/>
    <n v="20"/>
    <n v="999"/>
    <n v="1191"/>
    <n v="19980"/>
    <n v="23820"/>
    <n v="3840"/>
    <s v="profit"/>
  </r>
  <r>
    <x v="147"/>
    <s v="october"/>
    <s v="Zenith Innovations"/>
    <s v="Electronic"/>
    <s v="Earbuds"/>
    <x v="5"/>
    <s v="Male"/>
    <n v="29"/>
    <n v="661"/>
    <n v="1400"/>
    <n v="19169"/>
    <n v="40600"/>
    <n v="21431"/>
    <s v="profit"/>
  </r>
  <r>
    <x v="148"/>
    <s v="october"/>
    <s v="True Essence Innovations"/>
    <s v="Electronic"/>
    <s v="Speaker"/>
    <x v="0"/>
    <s v="Male"/>
    <n v="30"/>
    <n v="539"/>
    <n v="1364"/>
    <n v="16170"/>
    <n v="40920"/>
    <n v="24750"/>
    <s v="profit"/>
  </r>
  <r>
    <x v="149"/>
    <s v="december"/>
    <s v="Zenith Creative Solutions"/>
    <s v="Fashion "/>
    <s v="Saree"/>
    <x v="7"/>
    <s v="Female"/>
    <n v="60"/>
    <n v="901"/>
    <n v="1148"/>
    <n v="54060"/>
    <n v="68880"/>
    <n v="14820"/>
    <s v="profit"/>
  </r>
  <r>
    <x v="150"/>
    <s v="november"/>
    <s v="Pinnacle Media Group"/>
    <s v="Electronic"/>
    <s v="Speaker"/>
    <x v="1"/>
    <s v="Male"/>
    <n v="26"/>
    <n v="726"/>
    <n v="1335"/>
    <n v="18876"/>
    <n v="34710"/>
    <n v="15834"/>
    <s v="profit"/>
  </r>
  <r>
    <x v="151"/>
    <s v="december"/>
    <s v="Pure Vision Solutions"/>
    <s v="Fashion "/>
    <s v="Suit"/>
    <x v="17"/>
    <s v="Female"/>
    <n v="50"/>
    <n v="749"/>
    <n v="1269"/>
    <n v="37450"/>
    <n v="63450"/>
    <n v="26000"/>
    <s v="profit"/>
  </r>
  <r>
    <x v="152"/>
    <s v="november"/>
    <s v="Legacy Design Co."/>
    <s v="Electronic"/>
    <s v="Speaker"/>
    <x v="2"/>
    <s v="Male"/>
    <n v="29"/>
    <n v="510"/>
    <n v="1131"/>
    <n v="14790"/>
    <n v="32799"/>
    <n v="18009"/>
    <s v="profit"/>
  </r>
  <r>
    <x v="153"/>
    <s v="november"/>
    <s v="Apex Health Products"/>
    <s v="Electronic"/>
    <s v="Speaker"/>
    <x v="3"/>
    <s v="Female"/>
    <n v="27"/>
    <n v="752"/>
    <n v="1258"/>
    <n v="20304"/>
    <n v="33966"/>
    <n v="13662"/>
    <s v="profit"/>
  </r>
  <r>
    <x v="154"/>
    <s v="november"/>
    <s v="Zenith Travel Ventures"/>
    <s v="Electronic"/>
    <s v="Speaker"/>
    <x v="3"/>
    <s v="Female"/>
    <n v="28"/>
    <n v="924"/>
    <n v="847"/>
    <n v="25872"/>
    <n v="23716"/>
    <n v="-2156"/>
    <s v="loss"/>
  </r>
  <r>
    <x v="155"/>
    <s v="november"/>
    <s v="Pure Path Consulting"/>
    <s v="Electronic"/>
    <s v="Speaker"/>
    <x v="4"/>
    <s v="Female"/>
    <n v="26"/>
    <n v="643"/>
    <n v="1341"/>
    <n v="16718"/>
    <n v="34866"/>
    <n v="18148"/>
    <s v="profit"/>
  </r>
  <r>
    <x v="156"/>
    <s v="december"/>
    <s v="Harmony Edge Solutions"/>
    <s v="Fashion "/>
    <s v="Suit"/>
    <x v="1"/>
    <s v="Male"/>
    <n v="59"/>
    <n v="774"/>
    <n v="1374"/>
    <n v="45666"/>
    <n v="81066"/>
    <n v="35400"/>
    <s v="profit"/>
  </r>
  <r>
    <x v="157"/>
    <s v="november"/>
    <s v="Harmony Educational Group"/>
    <s v="Electronic"/>
    <s v="TV"/>
    <x v="15"/>
    <s v="Male"/>
    <n v="23"/>
    <n v="584"/>
    <n v="1140"/>
    <n v="13432"/>
    <n v="26220"/>
    <n v="12788"/>
    <s v="profit"/>
  </r>
  <r>
    <x v="158"/>
    <s v="november"/>
    <s v="Radiant Design Studio"/>
    <s v="Electronic"/>
    <s v="TV"/>
    <x v="6"/>
    <s v="Male"/>
    <n v="21"/>
    <n v="608"/>
    <n v="983"/>
    <n v="12768"/>
    <n v="20643"/>
    <n v="7875"/>
    <s v="profit"/>
  </r>
  <r>
    <x v="159"/>
    <s v="november"/>
    <s v="Zenith Health Innovations"/>
    <s v="Electronic"/>
    <s v="TV"/>
    <x v="8"/>
    <s v="Male"/>
    <n v="30"/>
    <n v="712"/>
    <n v="1311"/>
    <n v="21360"/>
    <n v="39330"/>
    <n v="17970"/>
    <s v="profit"/>
  </r>
  <r>
    <x v="160"/>
    <s v="november"/>
    <s v="Apex Realty Ventures"/>
    <s v="Electronic"/>
    <s v="TV"/>
    <x v="12"/>
    <s v="Male"/>
    <n v="24"/>
    <n v="672"/>
    <n v="878"/>
    <n v="16128"/>
    <n v="21072"/>
    <n v="4944"/>
    <s v="profit"/>
  </r>
  <r>
    <x v="161"/>
    <s v="november"/>
    <s v="True Value Ventures"/>
    <s v="Electronic"/>
    <s v="TV"/>
    <x v="7"/>
    <s v="Female"/>
    <n v="29"/>
    <n v="520"/>
    <n v="770"/>
    <n v="15080"/>
    <n v="22330"/>
    <n v="7250"/>
    <s v="profit"/>
  </r>
  <r>
    <x v="162"/>
    <s v="november"/>
    <s v="Crystal Clear Designs"/>
    <s v="Electronic"/>
    <s v="TV"/>
    <x v="8"/>
    <s v="Male"/>
    <n v="28"/>
    <n v="884"/>
    <n v="1165"/>
    <n v="24752"/>
    <n v="32620"/>
    <n v="7868"/>
    <s v="profit"/>
  </r>
  <r>
    <x v="163"/>
    <s v="january"/>
    <s v="Pinnacle Media Solutions"/>
    <s v="Decor"/>
    <s v="Car accessories"/>
    <x v="15"/>
    <s v="Female"/>
    <n v="11"/>
    <n v="562"/>
    <n v="800"/>
    <n v="6182"/>
    <n v="8800"/>
    <n v="2618"/>
    <s v="profit"/>
  </r>
  <r>
    <x v="164"/>
    <s v="november"/>
    <s v="Pinnacle Innovations Co."/>
    <s v="Electronic"/>
    <s v="TV"/>
    <x v="4"/>
    <s v="Male"/>
    <n v="25"/>
    <n v="990"/>
    <n v="868"/>
    <n v="24750"/>
    <n v="21700"/>
    <n v="-3050"/>
    <s v="loss"/>
  </r>
  <r>
    <x v="165"/>
    <s v="january"/>
    <s v="Radiant Tech Solutions"/>
    <s v="Decor"/>
    <s v="Car accessories"/>
    <x v="8"/>
    <s v="Female"/>
    <n v="15"/>
    <n v="992"/>
    <n v="1404"/>
    <n v="14880"/>
    <n v="21060"/>
    <n v="6180"/>
    <s v="profit"/>
  </r>
  <r>
    <x v="166"/>
    <s v="november"/>
    <s v="Modern Pathways"/>
    <s v="Electronic"/>
    <s v="TV"/>
    <x v="8"/>
    <s v="Male"/>
    <n v="22"/>
    <n v="524"/>
    <n v="1156"/>
    <n v="11528"/>
    <n v="25432"/>
    <n v="13904"/>
    <s v="profit"/>
  </r>
  <r>
    <x v="167"/>
    <s v="january"/>
    <s v="Elite Creative Solutions"/>
    <s v="Decor"/>
    <s v="Car accessories"/>
    <x v="2"/>
    <s v="Female"/>
    <n v="11"/>
    <n v="668"/>
    <n v="1096"/>
    <n v="7348"/>
    <n v="12056"/>
    <n v="4708"/>
    <s v="profit"/>
  </r>
  <r>
    <x v="168"/>
    <s v="november"/>
    <s v="Stellar Finance Co."/>
    <s v="Electronic"/>
    <s v="TV"/>
    <x v="9"/>
    <s v="Male"/>
    <n v="26"/>
    <n v="997"/>
    <n v="982"/>
    <n v="25922"/>
    <n v="25532"/>
    <n v="-390"/>
    <s v="loss"/>
  </r>
  <r>
    <x v="169"/>
    <s v="november"/>
    <s v="Radiant Spectrum Group"/>
    <s v="Electronic"/>
    <s v="TV"/>
    <x v="4"/>
    <s v="Male"/>
    <n v="27"/>
    <n v="922"/>
    <n v="1284"/>
    <n v="24894"/>
    <n v="34668"/>
    <n v="9774"/>
    <s v="profit"/>
  </r>
  <r>
    <x v="170"/>
    <s v="november"/>
    <s v="Harmony Design Ventures"/>
    <s v="Electronic"/>
    <s v="TV"/>
    <x v="10"/>
    <s v="Female"/>
    <n v="21"/>
    <n v="978"/>
    <n v="1139"/>
    <n v="20538"/>
    <n v="23919"/>
    <n v="3381"/>
    <s v="profit"/>
  </r>
  <r>
    <x v="171"/>
    <s v="november"/>
    <s v="Elite Edge Products"/>
    <s v="Electronic"/>
    <s v="TV"/>
    <x v="11"/>
    <s v="Female"/>
    <n v="24"/>
    <n v="830"/>
    <n v="1355"/>
    <n v="19920"/>
    <n v="32520"/>
    <n v="12600"/>
    <s v="profit"/>
  </r>
  <r>
    <x v="172"/>
    <s v="november"/>
    <s v="Zenith Consulting Co."/>
    <s v="Electronic"/>
    <s v="Laptop"/>
    <x v="6"/>
    <s v="Female"/>
    <n v="21"/>
    <n v="751"/>
    <n v="1498"/>
    <n v="15771"/>
    <n v="31458"/>
    <n v="15687"/>
    <s v="profit"/>
  </r>
  <r>
    <x v="173"/>
    <s v="november"/>
    <s v="Apex Wellness Products"/>
    <s v="Electronic"/>
    <s v="Laptop"/>
    <x v="7"/>
    <s v="Female"/>
    <n v="26"/>
    <n v="520"/>
    <n v="1261"/>
    <n v="13520"/>
    <n v="32786"/>
    <n v="19266"/>
    <s v="profit"/>
  </r>
  <r>
    <x v="174"/>
    <s v="january"/>
    <s v="Pinnacle Design Solutions"/>
    <s v="Fashion "/>
    <s v="Suit"/>
    <x v="12"/>
    <s v="Male"/>
    <n v="56"/>
    <n v="685"/>
    <n v="771"/>
    <n v="38360"/>
    <n v="43176"/>
    <n v="4816"/>
    <s v="profit"/>
  </r>
  <r>
    <x v="175"/>
    <s v="december"/>
    <s v="Pure Harmony Innovations"/>
    <s v="Electronic"/>
    <s v="Laptop"/>
    <x v="13"/>
    <s v="Female"/>
    <n v="21"/>
    <n v="605"/>
    <n v="1264"/>
    <n v="12705"/>
    <n v="26544"/>
    <n v="13839"/>
    <s v="profit"/>
  </r>
  <r>
    <x v="176"/>
    <s v="december"/>
    <s v="Legacy Media Group"/>
    <s v="Electronic"/>
    <s v="Laptop"/>
    <x v="13"/>
    <s v="Female"/>
    <n v="20"/>
    <n v="666"/>
    <n v="1087"/>
    <n v="13320"/>
    <n v="21740"/>
    <n v="8420"/>
    <s v="profit"/>
  </r>
  <r>
    <x v="177"/>
    <s v="december"/>
    <s v="Horizon Tech Innovations"/>
    <s v="Electronic"/>
    <s v="Laptop"/>
    <x v="7"/>
    <s v="Male"/>
    <n v="23"/>
    <n v="632"/>
    <n v="762"/>
    <n v="14536"/>
    <n v="17526"/>
    <n v="2990"/>
    <s v="profit"/>
  </r>
  <r>
    <x v="178"/>
    <s v="december"/>
    <s v="Crystal Spectrum Consulting"/>
    <s v="Electronic"/>
    <s v="Laptop"/>
    <x v="5"/>
    <s v="Male"/>
    <n v="21"/>
    <n v="540"/>
    <n v="812"/>
    <n v="11340"/>
    <n v="17052"/>
    <n v="5712"/>
    <s v="profit"/>
  </r>
  <r>
    <x v="179"/>
    <s v="december"/>
    <s v="Stellar Creative Co."/>
    <s v="Electronic"/>
    <s v="Laptop"/>
    <x v="17"/>
    <s v="Male"/>
    <n v="30"/>
    <n v="557"/>
    <n v="886"/>
    <n v="16710"/>
    <n v="26580"/>
    <n v="9870"/>
    <s v="profit"/>
  </r>
  <r>
    <x v="180"/>
    <s v="january"/>
    <s v="Pure Harmony Solutions"/>
    <s v="Decor"/>
    <s v="Home décor"/>
    <x v="19"/>
    <s v="Female"/>
    <n v="20"/>
    <n v="803"/>
    <n v="941"/>
    <n v="16060"/>
    <n v="18820"/>
    <n v="2760"/>
    <s v="profit"/>
  </r>
  <r>
    <x v="181"/>
    <s v="december"/>
    <s v="Radiance Media Ventures"/>
    <s v="Electronic"/>
    <s v="Laptop"/>
    <x v="8"/>
    <s v="Female"/>
    <n v="24"/>
    <n v="651"/>
    <n v="1386"/>
    <n v="15624"/>
    <n v="33264"/>
    <n v="17640"/>
    <s v="profit"/>
  </r>
  <r>
    <x v="182"/>
    <s v="december"/>
    <s v="Zenith Edge Services"/>
    <s v="Electronic"/>
    <s v="Laptop"/>
    <x v="19"/>
    <s v="Male"/>
    <n v="20"/>
    <n v="565"/>
    <n v="943"/>
    <n v="11300"/>
    <n v="18860"/>
    <n v="7560"/>
    <s v="profit"/>
  </r>
  <r>
    <x v="183"/>
    <s v="february"/>
    <s v="Stellar Consulting Services"/>
    <s v="Electronic"/>
    <s v="Laptop"/>
    <x v="8"/>
    <s v="Female"/>
    <n v="22"/>
    <n v="810"/>
    <n v="1201"/>
    <n v="17820"/>
    <n v="26422"/>
    <n v="8602"/>
    <s v="profit"/>
  </r>
  <r>
    <x v="184"/>
    <s v="february"/>
    <s v="Radiant Ventures"/>
    <s v="Electronic"/>
    <s v="Laptop"/>
    <x v="18"/>
    <s v="Female"/>
    <n v="23"/>
    <n v="827"/>
    <n v="1185"/>
    <n v="19021"/>
    <n v="27255"/>
    <n v="8234"/>
    <s v="profit"/>
  </r>
  <r>
    <x v="185"/>
    <s v="february"/>
    <s v="Harmony Tech Co."/>
    <s v="Electronic"/>
    <s v="Laptop"/>
    <x v="19"/>
    <s v="Female"/>
    <n v="23"/>
    <n v="570"/>
    <n v="1230"/>
    <n v="13110"/>
    <n v="28290"/>
    <n v="15180"/>
    <s v="profit"/>
  </r>
  <r>
    <x v="186"/>
    <s v="january"/>
    <s v="Zenith Path Solutions"/>
    <s v="Decor"/>
    <s v="Home décor"/>
    <x v="4"/>
    <s v="Female"/>
    <n v="19"/>
    <n v="911"/>
    <n v="1116"/>
    <n v="17309"/>
    <n v="21204"/>
    <n v="3895"/>
    <s v="profit"/>
  </r>
  <r>
    <x v="187"/>
    <s v="february"/>
    <s v="Zenith Creative Ventures"/>
    <s v="Electronic"/>
    <s v="Laptop"/>
    <x v="0"/>
    <s v="Male"/>
    <n v="21"/>
    <n v="938"/>
    <n v="1275"/>
    <n v="19698"/>
    <n v="26775"/>
    <n v="7077"/>
    <s v="profit"/>
  </r>
  <r>
    <x v="188"/>
    <s v="february"/>
    <s v="Apex Health Services"/>
    <s v="Electronic"/>
    <s v="Laptop"/>
    <x v="1"/>
    <s v="Male"/>
    <n v="24"/>
    <n v="993"/>
    <n v="987"/>
    <n v="23832"/>
    <n v="23688"/>
    <n v="-144"/>
    <s v="loss"/>
  </r>
  <r>
    <x v="189"/>
    <s v="february"/>
    <s v="Pure Vision Media"/>
    <s v="Electronic"/>
    <s v="Laptop"/>
    <x v="2"/>
    <s v="Male"/>
    <n v="20"/>
    <n v="534"/>
    <n v="1233"/>
    <n v="10680"/>
    <n v="24660"/>
    <n v="13980"/>
    <s v="profit"/>
  </r>
  <r>
    <x v="190"/>
    <s v="january"/>
    <s v="Legacy Media Solutions"/>
    <s v="Decor"/>
    <s v="Home décor"/>
    <x v="5"/>
    <s v="Male"/>
    <n v="10"/>
    <n v="911"/>
    <n v="1097"/>
    <n v="9110"/>
    <n v="10970"/>
    <n v="1860"/>
    <s v="profit"/>
  </r>
  <r>
    <x v="191"/>
    <s v="february"/>
    <s v="Legacy Innovations Group"/>
    <s v="Electronic"/>
    <s v="Laptop"/>
    <x v="3"/>
    <s v="Male"/>
    <n v="23"/>
    <n v="761"/>
    <n v="901"/>
    <n v="17503"/>
    <n v="20723"/>
    <n v="3220"/>
    <s v="profit"/>
  </r>
  <r>
    <x v="192"/>
    <s v="february"/>
    <s v="Pinnacle Consulting Co."/>
    <s v="Electronic"/>
    <s v="Laptop"/>
    <x v="3"/>
    <s v="Male"/>
    <n v="23"/>
    <n v="701"/>
    <n v="1322"/>
    <n v="16123"/>
    <n v="30406"/>
    <n v="14283"/>
    <s v="profit"/>
  </r>
  <r>
    <x v="193"/>
    <s v="february"/>
    <s v="Stellar Finance Group"/>
    <s v="Electronic"/>
    <s v="Laptop"/>
    <x v="4"/>
    <s v="Female"/>
    <n v="25"/>
    <n v="541"/>
    <n v="1090"/>
    <n v="13525"/>
    <n v="27250"/>
    <n v="13725"/>
    <s v="profit"/>
  </r>
  <r>
    <x v="194"/>
    <s v="february"/>
    <s v="Harmony Ventures Group"/>
    <s v="Electronic"/>
    <s v="Laptop"/>
    <x v="6"/>
    <s v="Female"/>
    <n v="28"/>
    <n v="708"/>
    <n v="1358"/>
    <n v="19824"/>
    <n v="38024"/>
    <n v="18200"/>
    <s v="profit"/>
  </r>
  <r>
    <x v="78"/>
    <s v="april"/>
    <s v="Bharat Innovations"/>
    <s v="Electronic"/>
    <s v="Speaker"/>
    <x v="14"/>
    <s v="Male"/>
    <n v="28"/>
    <n v="826"/>
    <n v="929"/>
    <n v="23128"/>
    <n v="26012"/>
    <n v="2884"/>
    <s v="profit"/>
  </r>
  <r>
    <x v="79"/>
    <s v="april"/>
    <s v="Green Leaf Enterprises"/>
    <s v="Electronic"/>
    <s v="Earbuds"/>
    <x v="8"/>
    <s v="Male"/>
    <n v="25"/>
    <n v="952"/>
    <n v="1261"/>
    <n v="23800"/>
    <n v="31525"/>
    <n v="7725"/>
    <s v="profit"/>
  </r>
  <r>
    <x v="80"/>
    <s v="april"/>
    <s v="Urban Pulse Technologies"/>
    <s v="Electronic"/>
    <s v="Earbuds"/>
    <x v="3"/>
    <s v="Male"/>
    <n v="20"/>
    <n v="940"/>
    <n v="1259"/>
    <n v="18800"/>
    <n v="25180"/>
    <n v="6380"/>
    <s v="profit"/>
  </r>
  <r>
    <x v="82"/>
    <s v="april"/>
    <s v="Mystic India Exports"/>
    <s v="Electronic"/>
    <s v="Earbuds"/>
    <x v="13"/>
    <s v="Male"/>
    <n v="22"/>
    <n v="785"/>
    <n v="1292"/>
    <n v="17270"/>
    <n v="28424"/>
    <n v="11154"/>
    <s v="profit"/>
  </r>
  <r>
    <x v="83"/>
    <s v="april"/>
    <s v="Pure Essence Skincare"/>
    <s v="Electronic"/>
    <s v="Speaker"/>
    <x v="12"/>
    <s v="Female"/>
    <n v="21"/>
    <n v="879"/>
    <n v="1019"/>
    <n v="18459"/>
    <n v="21399"/>
    <n v="2940"/>
    <s v="profit"/>
  </r>
  <r>
    <x v="84"/>
    <s v="april"/>
    <s v="Zenith Construction Co."/>
    <s v="Electronic"/>
    <s v="Speaker"/>
    <x v="6"/>
    <s v="Female"/>
    <n v="28"/>
    <n v="937"/>
    <n v="872"/>
    <n v="26236"/>
    <n v="24416"/>
    <n v="-1820"/>
    <s v="loss"/>
  </r>
  <r>
    <x v="195"/>
    <s v="february"/>
    <s v="Radiant Solutions Co."/>
    <s v="Electronic"/>
    <s v="Laptop"/>
    <x v="5"/>
    <s v="Female"/>
    <n v="26"/>
    <n v="751"/>
    <n v="1292"/>
    <n v="19526"/>
    <n v="33592"/>
    <n v="14066"/>
    <s v="profit"/>
  </r>
  <r>
    <x v="85"/>
    <s v="april"/>
    <s v="Radiant Health Systems"/>
    <s v="Electronic"/>
    <s v="Speaker"/>
    <x v="7"/>
    <s v="Female"/>
    <n v="22"/>
    <n v="832"/>
    <n v="769"/>
    <n v="18304"/>
    <n v="16918"/>
    <n v="-1386"/>
    <s v="loss"/>
  </r>
  <r>
    <x v="87"/>
    <s v="april"/>
    <s v="Divine Creations"/>
    <s v="Electronic"/>
    <s v="Speaker"/>
    <x v="7"/>
    <s v="Female"/>
    <n v="28"/>
    <n v="832"/>
    <n v="1028"/>
    <n v="23296"/>
    <n v="28784"/>
    <n v="5488"/>
    <s v="profit"/>
  </r>
  <r>
    <x v="88"/>
    <s v="april"/>
    <s v="True Path Logistics"/>
    <s v="Electronic"/>
    <s v="Speaker"/>
    <x v="4"/>
    <s v="Female"/>
    <n v="22"/>
    <n v="622"/>
    <n v="822"/>
    <n v="13684"/>
    <n v="18084"/>
    <n v="4400"/>
    <s v="profit"/>
  </r>
  <r>
    <x v="196"/>
    <s v="february"/>
    <s v="Modern Travel Solutions"/>
    <s v="Fashion "/>
    <s v="Saree"/>
    <x v="13"/>
    <s v="Female"/>
    <n v="55"/>
    <n v="856"/>
    <n v="756"/>
    <n v="47080"/>
    <n v="41580"/>
    <n v="-5500"/>
    <s v="loss"/>
  </r>
  <r>
    <x v="90"/>
    <s v="april"/>
    <s v="Prestige Automobiles"/>
    <s v="Electronic"/>
    <s v="TV"/>
    <x v="7"/>
    <s v="Male"/>
    <n v="23"/>
    <n v="663"/>
    <n v="1153"/>
    <n v="15249"/>
    <n v="26519"/>
    <n v="11270"/>
    <s v="profit"/>
  </r>
  <r>
    <x v="92"/>
    <s v="april"/>
    <s v="Natural Bliss Beverages"/>
    <s v="Electronic"/>
    <s v="TV"/>
    <x v="13"/>
    <s v="Male"/>
    <n v="23"/>
    <n v="779"/>
    <n v="1415"/>
    <n v="17917"/>
    <n v="32545"/>
    <n v="14628"/>
    <s v="profit"/>
  </r>
  <r>
    <x v="94"/>
    <s v="april"/>
    <s v="Modern Trends Fashion"/>
    <s v="Electronic"/>
    <s v="TV"/>
    <x v="7"/>
    <s v="Female"/>
    <n v="29"/>
    <n v="952"/>
    <n v="1428"/>
    <n v="27608"/>
    <n v="41412"/>
    <n v="13804"/>
    <s v="profit"/>
  </r>
  <r>
    <x v="95"/>
    <s v="april"/>
    <s v="Heritage Crafts"/>
    <s v="Electronic"/>
    <s v="TV"/>
    <x v="5"/>
    <s v="Female"/>
    <n v="26"/>
    <n v="983"/>
    <n v="1270"/>
    <n v="25558"/>
    <n v="33020"/>
    <n v="7462"/>
    <s v="profit"/>
  </r>
  <r>
    <x v="96"/>
    <s v="april"/>
    <s v="Future Insights Analytics"/>
    <s v="Electronic"/>
    <s v="TV"/>
    <x v="17"/>
    <s v="Female"/>
    <n v="28"/>
    <n v="814"/>
    <n v="1343"/>
    <n v="22792"/>
    <n v="37604"/>
    <n v="14812"/>
    <s v="profit"/>
  </r>
  <r>
    <x v="97"/>
    <s v="april"/>
    <s v="Emerald Estate Developers"/>
    <s v="Electronic"/>
    <s v="TV"/>
    <x v="8"/>
    <s v="Female"/>
    <n v="26"/>
    <n v="835"/>
    <n v="973"/>
    <n v="21710"/>
    <n v="25298"/>
    <n v="3588"/>
    <s v="profit"/>
  </r>
  <r>
    <x v="197"/>
    <s v="february"/>
    <s v="Zenith Tech Solutions"/>
    <s v="Fashion "/>
    <s v="Saree"/>
    <x v="18"/>
    <s v="Male"/>
    <n v="88"/>
    <n v="635"/>
    <n v="1370"/>
    <n v="55880"/>
    <n v="120560"/>
    <n v="64680"/>
    <s v="profit"/>
  </r>
  <r>
    <x v="98"/>
    <s v="april"/>
    <s v="Starlight Media Group"/>
    <s v="Electronic"/>
    <s v="TV"/>
    <x v="18"/>
    <s v="Female"/>
    <n v="24"/>
    <n v="631"/>
    <n v="1304"/>
    <n v="15144"/>
    <n v="31296"/>
    <n v="16152"/>
    <s v="profit"/>
  </r>
  <r>
    <x v="99"/>
    <s v="may"/>
    <s v="Supreme Electronics"/>
    <s v="Electronic"/>
    <s v="TV"/>
    <x v="19"/>
    <s v="Female"/>
    <n v="24"/>
    <n v="833"/>
    <n v="1280"/>
    <n v="19992"/>
    <n v="30720"/>
    <n v="10728"/>
    <s v="profit"/>
  </r>
  <r>
    <x v="100"/>
    <s v="may"/>
    <s v="Optimum Wellness"/>
    <s v="Electronic"/>
    <s v="TV"/>
    <x v="0"/>
    <s v="Male"/>
    <n v="21"/>
    <n v="680"/>
    <n v="1049"/>
    <n v="14280"/>
    <n v="22029"/>
    <n v="7749"/>
    <s v="profit"/>
  </r>
  <r>
    <x v="101"/>
    <s v="may"/>
    <s v="Zenith Books Publishing"/>
    <s v="Electronic"/>
    <s v="TV"/>
    <x v="1"/>
    <s v="Male"/>
    <n v="23"/>
    <n v="667"/>
    <n v="962"/>
    <n v="15341"/>
    <n v="22126"/>
    <n v="6785"/>
    <s v="profit"/>
  </r>
  <r>
    <x v="102"/>
    <s v="may"/>
    <s v="Pinnacle Innovations"/>
    <s v="Electronic"/>
    <s v="TV"/>
    <x v="2"/>
    <s v="Male"/>
    <n v="24"/>
    <n v="504"/>
    <n v="1283"/>
    <n v="12096"/>
    <n v="30792"/>
    <n v="18696"/>
    <s v="profit"/>
  </r>
  <r>
    <x v="103"/>
    <s v="may"/>
    <s v="Apex Travel Services"/>
    <s v="Electronic"/>
    <s v="TV"/>
    <x v="3"/>
    <s v="Male"/>
    <n v="26"/>
    <n v="985"/>
    <n v="1407"/>
    <n v="25610"/>
    <n v="36582"/>
    <n v="10972"/>
    <s v="profit"/>
  </r>
  <r>
    <x v="104"/>
    <s v="may"/>
    <s v="Golden Era Realty"/>
    <s v="Electronic"/>
    <s v="TV"/>
    <x v="3"/>
    <s v="Female"/>
    <n v="27"/>
    <n v="890"/>
    <n v="853"/>
    <n v="24030"/>
    <n v="23031"/>
    <n v="-999"/>
    <s v="loss"/>
  </r>
  <r>
    <x v="106"/>
    <s v="may"/>
    <s v="Radiant Jewelry"/>
    <s v="Electronic"/>
    <s v="Laptop"/>
    <x v="4"/>
    <s v="Female"/>
    <n v="21"/>
    <n v="722"/>
    <n v="1247"/>
    <n v="15162"/>
    <n v="26187"/>
    <n v="11025"/>
    <s v="profit"/>
  </r>
  <r>
    <x v="107"/>
    <s v="may"/>
    <s v="Infinity Ventures"/>
    <s v="Electronic"/>
    <s v="Laptop"/>
    <x v="5"/>
    <s v="Female"/>
    <n v="22"/>
    <n v="725"/>
    <n v="765"/>
    <n v="15950"/>
    <n v="16830"/>
    <n v="880"/>
    <s v="profit"/>
  </r>
  <r>
    <x v="109"/>
    <s v="may"/>
    <s v="Royal Taste Foods"/>
    <s v="Electronic"/>
    <s v="Laptop"/>
    <x v="3"/>
    <s v="Female"/>
    <n v="26"/>
    <n v="509"/>
    <n v="1120"/>
    <n v="13234"/>
    <n v="29120"/>
    <n v="15886"/>
    <s v="profit"/>
  </r>
  <r>
    <x v="6"/>
    <s v="april"/>
    <s v="Apex Solutions"/>
    <s v="Fashion "/>
    <s v="Women dress"/>
    <x v="6"/>
    <s v="Male"/>
    <n v="55"/>
    <n v="906"/>
    <n v="880"/>
    <n v="49830"/>
    <n v="48400"/>
    <n v="-1430"/>
    <s v="loss"/>
  </r>
  <r>
    <x v="110"/>
    <s v="may"/>
    <s v="Harmony Homes"/>
    <s v="Electronic"/>
    <s v="Laptop"/>
    <x v="15"/>
    <s v="Female"/>
    <n v="28"/>
    <n v="905"/>
    <n v="958"/>
    <n v="25340"/>
    <n v="26824"/>
    <n v="1484"/>
    <s v="profit"/>
  </r>
  <r>
    <x v="111"/>
    <s v="may"/>
    <s v="Urban Edge Consulting"/>
    <s v="Electronic"/>
    <s v="Laptop"/>
    <x v="14"/>
    <s v="Female"/>
    <n v="22"/>
    <n v="866"/>
    <n v="1453"/>
    <n v="19052"/>
    <n v="31966"/>
    <n v="12914"/>
    <s v="profit"/>
  </r>
  <r>
    <x v="112"/>
    <s v="may"/>
    <s v="Prime Tech Innovations"/>
    <s v="Electronic"/>
    <s v="Laptop"/>
    <x v="8"/>
    <s v="Female"/>
    <n v="23"/>
    <n v="816"/>
    <n v="1273"/>
    <n v="18768"/>
    <n v="29279"/>
    <n v="10511"/>
    <s v="profit"/>
  </r>
  <r>
    <x v="114"/>
    <s v="may"/>
    <s v="Legacy Designs"/>
    <s v="Electronic"/>
    <s v="Laptop"/>
    <x v="3"/>
    <s v="Female"/>
    <n v="30"/>
    <n v="738"/>
    <n v="1216"/>
    <n v="22140"/>
    <n v="36480"/>
    <n v="14340"/>
    <s v="profit"/>
  </r>
  <r>
    <x v="115"/>
    <s v="may"/>
    <s v="Virtue Enterprises"/>
    <s v="Electronic"/>
    <s v="Laptop"/>
    <x v="13"/>
    <s v="Female"/>
    <n v="24"/>
    <n v="653"/>
    <n v="1293"/>
    <n v="15672"/>
    <n v="31032"/>
    <n v="15360"/>
    <s v="profit"/>
  </r>
  <r>
    <x v="12"/>
    <s v="april"/>
    <s v="Metro Tech Solutions"/>
    <s v="Electronic"/>
    <s v="Speaker"/>
    <x v="8"/>
    <s v="Female"/>
    <n v="22"/>
    <n v="692"/>
    <n v="906"/>
    <n v="15224"/>
    <n v="19932"/>
    <n v="4708"/>
    <s v="profit"/>
  </r>
  <r>
    <x v="116"/>
    <s v="may"/>
    <s v="Radiant Health Club"/>
    <s v="Electronic"/>
    <s v="Laptop"/>
    <x v="15"/>
    <s v="Female"/>
    <n v="30"/>
    <n v="583"/>
    <n v="1500"/>
    <n v="17490"/>
    <n v="45000"/>
    <n v="27510"/>
    <s v="profit"/>
  </r>
  <r>
    <x v="118"/>
    <s v="may"/>
    <s v="Bright Horizon Ventures"/>
    <s v="Electronic"/>
    <s v="Laptop"/>
    <x v="16"/>
    <s v="Male"/>
    <n v="26"/>
    <n v="1000"/>
    <n v="765"/>
    <n v="26000"/>
    <n v="19890"/>
    <n v="-6110"/>
    <s v="loss"/>
  </r>
  <r>
    <x v="120"/>
    <s v="may"/>
    <s v="Modern Lifestyle Products"/>
    <s v="Electronic"/>
    <s v="Laptop"/>
    <x v="6"/>
    <s v="Male"/>
    <n v="27"/>
    <n v="913"/>
    <n v="1197"/>
    <n v="24651"/>
    <n v="32319"/>
    <n v="7668"/>
    <s v="profit"/>
  </r>
  <r>
    <x v="121"/>
    <s v="may"/>
    <s v="Nexus Trading Co."/>
    <s v="Electronic"/>
    <s v="Laptop"/>
    <x v="8"/>
    <s v="Male"/>
    <n v="29"/>
    <n v="735"/>
    <n v="1388"/>
    <n v="21315"/>
    <n v="40252"/>
    <n v="18937"/>
    <s v="profit"/>
  </r>
  <r>
    <x v="122"/>
    <s v="july"/>
    <s v="Radiance Health and Wellness"/>
    <s v="Electronic"/>
    <s v="Laptop"/>
    <x v="7"/>
    <s v="Male"/>
    <n v="29"/>
    <n v="965"/>
    <n v="1195"/>
    <n v="27985"/>
    <n v="34655"/>
    <n v="6670"/>
    <s v="profit"/>
  </r>
  <r>
    <x v="123"/>
    <s v="july"/>
    <s v="Legacy Auto Works"/>
    <s v="Electronic"/>
    <s v="Laptop"/>
    <x v="13"/>
    <s v="Male"/>
    <n v="24"/>
    <n v="970"/>
    <n v="1256"/>
    <n v="23280"/>
    <n v="30144"/>
    <n v="6864"/>
    <s v="profit"/>
  </r>
  <r>
    <x v="124"/>
    <s v="july"/>
    <s v="Prime Essence Creations"/>
    <s v="Electronic"/>
    <s v="Laptop"/>
    <x v="13"/>
    <s v="Male"/>
    <n v="22"/>
    <n v="974"/>
    <n v="1329"/>
    <n v="21428"/>
    <n v="29238"/>
    <n v="7810"/>
    <s v="profit"/>
  </r>
  <r>
    <x v="125"/>
    <s v="july"/>
    <s v="Quantum Ventures"/>
    <s v="Electronic"/>
    <s v="Laptop"/>
    <x v="12"/>
    <s v="Male"/>
    <n v="21"/>
    <n v="915"/>
    <n v="1442"/>
    <n v="19215"/>
    <n v="30282"/>
    <n v="11067"/>
    <s v="profit"/>
  </r>
  <r>
    <x v="126"/>
    <s v="july"/>
    <s v="Urban Legends Apparel"/>
    <s v="Electronic"/>
    <s v="Laptop"/>
    <x v="5"/>
    <s v="Female"/>
    <n v="27"/>
    <n v="605"/>
    <n v="826"/>
    <n v="16335"/>
    <n v="22302"/>
    <n v="5967"/>
    <s v="profit"/>
  </r>
  <r>
    <x v="22"/>
    <s v="april"/>
    <s v="Elite Marketing Solutions"/>
    <s v="Electronic"/>
    <s v="TV"/>
    <x v="13"/>
    <s v="Male"/>
    <n v="29"/>
    <n v="893"/>
    <n v="865"/>
    <n v="25897"/>
    <n v="25085"/>
    <n v="-812"/>
    <s v="loss"/>
  </r>
  <r>
    <x v="127"/>
    <s v="july"/>
    <s v="Pure Bliss Beverages"/>
    <s v="Electronic"/>
    <s v="Laptop"/>
    <x v="17"/>
    <s v="Female"/>
    <n v="29"/>
    <n v="689"/>
    <n v="783"/>
    <n v="19981"/>
    <n v="22707"/>
    <n v="2726"/>
    <s v="profit"/>
  </r>
  <r>
    <x v="24"/>
    <s v="april"/>
    <s v="Crystal Clear Solutions"/>
    <s v="Electronic"/>
    <s v="TV"/>
    <x v="12"/>
    <s v="Female"/>
    <n v="24"/>
    <n v="859"/>
    <n v="1473"/>
    <n v="20616"/>
    <n v="35352"/>
    <n v="14736"/>
    <s v="profit"/>
  </r>
  <r>
    <x v="128"/>
    <s v="july"/>
    <s v="Noble Heights Builders"/>
    <s v="Electronic"/>
    <s v="Laptop"/>
    <x v="8"/>
    <s v="Female"/>
    <n v="25"/>
    <n v="861"/>
    <n v="843"/>
    <n v="21525"/>
    <n v="21075"/>
    <n v="-450"/>
    <s v="loss"/>
  </r>
  <r>
    <x v="130"/>
    <s v="july"/>
    <s v="Radiant Foods"/>
    <s v="Electronic"/>
    <s v="Laptop"/>
    <x v="18"/>
    <s v="Female"/>
    <n v="22"/>
    <n v="629"/>
    <n v="1263"/>
    <n v="13838"/>
    <n v="27786"/>
    <n v="13948"/>
    <s v="profit"/>
  </r>
  <r>
    <x v="131"/>
    <s v="july"/>
    <s v="Zenith Financial Services"/>
    <s v="Electronic"/>
    <s v="Laptop"/>
    <x v="19"/>
    <s v="Female"/>
    <n v="22"/>
    <n v="779"/>
    <n v="1301"/>
    <n v="17138"/>
    <n v="28622"/>
    <n v="11484"/>
    <s v="profit"/>
  </r>
  <r>
    <x v="133"/>
    <s v="july"/>
    <s v="Apex Travel Ventures"/>
    <s v="Electronic"/>
    <s v="Laptop"/>
    <x v="0"/>
    <s v="Female"/>
    <n v="23"/>
    <n v="730"/>
    <n v="1189"/>
    <n v="16790"/>
    <n v="27347"/>
    <n v="10557"/>
    <s v="profit"/>
  </r>
  <r>
    <x v="134"/>
    <s v="august"/>
    <s v="Future Vision Realty"/>
    <s v="Electronic"/>
    <s v="Laptop"/>
    <x v="8"/>
    <s v="Male"/>
    <n v="26"/>
    <n v="847"/>
    <n v="1116"/>
    <n v="22022"/>
    <n v="29016"/>
    <n v="6994"/>
    <s v="profit"/>
  </r>
  <r>
    <x v="135"/>
    <s v="august"/>
    <s v="Urban Pulse Media"/>
    <s v="Electronic"/>
    <s v="Laptop"/>
    <x v="9"/>
    <s v="Male"/>
    <n v="24"/>
    <n v="942"/>
    <n v="1313"/>
    <n v="22608"/>
    <n v="31512"/>
    <n v="8904"/>
    <s v="profit"/>
  </r>
  <r>
    <x v="136"/>
    <s v="august"/>
    <s v="True Essence Health"/>
    <s v="Electronic"/>
    <s v="Laptop"/>
    <x v="4"/>
    <s v="Female"/>
    <n v="20"/>
    <n v="751"/>
    <n v="861"/>
    <n v="15020"/>
    <n v="17220"/>
    <n v="2200"/>
    <s v="profit"/>
  </r>
  <r>
    <x v="138"/>
    <s v="august"/>
    <s v="Radiant Vision Realty"/>
    <s v="Electronic"/>
    <s v="Laptop"/>
    <x v="11"/>
    <s v="Male"/>
    <n v="28"/>
    <n v="855"/>
    <n v="930"/>
    <n v="23940"/>
    <n v="26040"/>
    <n v="2100"/>
    <s v="profit"/>
  </r>
  <r>
    <x v="139"/>
    <s v="august"/>
    <s v="Harmony Consulting Group"/>
    <s v="Electronic"/>
    <s v="Laptop"/>
    <x v="6"/>
    <s v="Male"/>
    <n v="22"/>
    <n v="806"/>
    <n v="1391"/>
    <n v="17732"/>
    <n v="30602"/>
    <n v="12870"/>
    <s v="profit"/>
  </r>
  <r>
    <x v="141"/>
    <s v="august"/>
    <s v="Zenith Tech Ventures"/>
    <s v="Electronic"/>
    <s v="Laptop"/>
    <x v="7"/>
    <s v="Male"/>
    <n v="30"/>
    <n v="624"/>
    <n v="999"/>
    <n v="18720"/>
    <n v="29970"/>
    <n v="11250"/>
    <s v="profit"/>
  </r>
  <r>
    <x v="142"/>
    <s v="august"/>
    <s v="Stellar Health Services"/>
    <s v="Electronic"/>
    <s v="Laptop"/>
    <x v="7"/>
    <s v="Female"/>
    <n v="25"/>
    <n v="533"/>
    <n v="860"/>
    <n v="13325"/>
    <n v="21500"/>
    <n v="8175"/>
    <s v="profit"/>
  </r>
  <r>
    <x v="143"/>
    <s v="august"/>
    <s v="Pure Path Foods"/>
    <s v="Electronic"/>
    <s v="Laptop"/>
    <x v="13"/>
    <s v="Female"/>
    <n v="20"/>
    <n v="681"/>
    <n v="823"/>
    <n v="13620"/>
    <n v="16460"/>
    <n v="2840"/>
    <s v="profit"/>
  </r>
  <r>
    <x v="144"/>
    <s v="august"/>
    <s v="Bright Horizon Realty"/>
    <s v="Electronic"/>
    <s v="Laptop"/>
    <x v="12"/>
    <s v="Female"/>
    <n v="23"/>
    <n v="577"/>
    <n v="1125"/>
    <n v="13271"/>
    <n v="25875"/>
    <n v="12604"/>
    <s v="profit"/>
  </r>
  <r>
    <x v="146"/>
    <s v="october"/>
    <s v="Crystal Clear Consulting"/>
    <s v="Electronic"/>
    <s v="Earbuds"/>
    <x v="12"/>
    <s v="Female"/>
    <n v="28"/>
    <n v="537"/>
    <n v="828"/>
    <n v="15036"/>
    <n v="23184"/>
    <n v="8148"/>
    <s v="profit"/>
  </r>
  <r>
    <x v="147"/>
    <s v="october"/>
    <s v="Zenith Innovations"/>
    <s v="Electronic"/>
    <s v="Earbuds"/>
    <x v="5"/>
    <s v="Male"/>
    <n v="23"/>
    <n v="746"/>
    <n v="1410"/>
    <n v="17158"/>
    <n v="32430"/>
    <n v="15272"/>
    <s v="profit"/>
  </r>
  <r>
    <x v="148"/>
    <s v="october"/>
    <s v="True Essence Innovations"/>
    <s v="Electronic"/>
    <s v="Speaker"/>
    <x v="0"/>
    <s v="Male"/>
    <n v="29"/>
    <n v="895"/>
    <n v="882"/>
    <n v="25955"/>
    <n v="25578"/>
    <n v="-377"/>
    <s v="loss"/>
  </r>
  <r>
    <x v="150"/>
    <s v="november"/>
    <s v="Pinnacle Media Group"/>
    <s v="Electronic"/>
    <s v="Speaker"/>
    <x v="1"/>
    <s v="Male"/>
    <n v="26"/>
    <n v="728"/>
    <n v="1466"/>
    <n v="18928"/>
    <n v="38116"/>
    <n v="19188"/>
    <s v="profit"/>
  </r>
  <r>
    <x v="152"/>
    <s v="november"/>
    <s v="Legacy Design Co."/>
    <s v="Electronic"/>
    <s v="Speaker"/>
    <x v="2"/>
    <s v="Male"/>
    <n v="22"/>
    <n v="586"/>
    <n v="1206"/>
    <n v="12892"/>
    <n v="26532"/>
    <n v="13640"/>
    <s v="profit"/>
  </r>
  <r>
    <x v="153"/>
    <s v="november"/>
    <s v="Apex Health Products"/>
    <s v="Electronic"/>
    <s v="Speaker"/>
    <x v="3"/>
    <s v="Female"/>
    <n v="29"/>
    <n v="724"/>
    <n v="858"/>
    <n v="20996"/>
    <n v="24882"/>
    <n v="3886"/>
    <s v="profit"/>
  </r>
  <r>
    <x v="154"/>
    <s v="november"/>
    <s v="Zenith Travel Ventures"/>
    <s v="Electronic"/>
    <s v="Speaker"/>
    <x v="3"/>
    <s v="Female"/>
    <n v="20"/>
    <n v="941"/>
    <n v="1181"/>
    <n v="18820"/>
    <n v="23620"/>
    <n v="4800"/>
    <s v="profit"/>
  </r>
  <r>
    <x v="155"/>
    <s v="november"/>
    <s v="Pure Path Consulting"/>
    <s v="Electronic"/>
    <s v="Speaker"/>
    <x v="4"/>
    <s v="Female"/>
    <n v="22"/>
    <n v="618"/>
    <n v="1373"/>
    <n v="13596"/>
    <n v="30206"/>
    <n v="16610"/>
    <s v="profit"/>
  </r>
  <r>
    <x v="157"/>
    <s v="november"/>
    <s v="Harmony Educational Group"/>
    <s v="Electronic"/>
    <s v="TV"/>
    <x v="15"/>
    <s v="Male"/>
    <n v="28"/>
    <n v="896"/>
    <n v="1363"/>
    <n v="25088"/>
    <n v="38164"/>
    <n v="13076"/>
    <s v="profit"/>
  </r>
  <r>
    <x v="158"/>
    <s v="november"/>
    <s v="Radiant Design Studio"/>
    <s v="Electronic"/>
    <s v="TV"/>
    <x v="6"/>
    <s v="Male"/>
    <n v="28"/>
    <n v="986"/>
    <n v="866"/>
    <n v="27608"/>
    <n v="24248"/>
    <n v="-3360"/>
    <s v="loss"/>
  </r>
  <r>
    <x v="159"/>
    <s v="november"/>
    <s v="Zenith Health Innovations"/>
    <s v="Electronic"/>
    <s v="TV"/>
    <x v="8"/>
    <s v="Male"/>
    <n v="27"/>
    <n v="951"/>
    <n v="1255"/>
    <n v="25677"/>
    <n v="33885"/>
    <n v="8208"/>
    <s v="profit"/>
  </r>
  <r>
    <x v="49"/>
    <s v="may"/>
    <s v="Absolute Solutions"/>
    <s v="Fashion "/>
    <s v="Saree"/>
    <x v="6"/>
    <s v="Male"/>
    <n v="63"/>
    <n v="929"/>
    <n v="1320"/>
    <n v="58527"/>
    <n v="83160"/>
    <n v="24633"/>
    <s v="profit"/>
  </r>
  <r>
    <x v="160"/>
    <s v="november"/>
    <s v="Apex Realty Ventures"/>
    <s v="Electronic"/>
    <s v="TV"/>
    <x v="12"/>
    <s v="Male"/>
    <n v="22"/>
    <n v="783"/>
    <n v="886"/>
    <n v="17226"/>
    <n v="19492"/>
    <n v="2266"/>
    <s v="profit"/>
  </r>
  <r>
    <x v="161"/>
    <s v="november"/>
    <s v="True Value Ventures"/>
    <s v="Electronic"/>
    <s v="TV"/>
    <x v="7"/>
    <s v="Female"/>
    <n v="21"/>
    <n v="547"/>
    <n v="784"/>
    <n v="11487"/>
    <n v="16464"/>
    <n v="4977"/>
    <s v="profit"/>
  </r>
  <r>
    <x v="162"/>
    <s v="november"/>
    <s v="Crystal Clear Designs"/>
    <s v="Electronic"/>
    <s v="TV"/>
    <x v="8"/>
    <s v="Male"/>
    <n v="20"/>
    <n v="737"/>
    <n v="932"/>
    <n v="14740"/>
    <n v="18640"/>
    <n v="3900"/>
    <s v="profit"/>
  </r>
  <r>
    <x v="164"/>
    <s v="november"/>
    <s v="Pinnacle Innovations Co."/>
    <s v="Electronic"/>
    <s v="TV"/>
    <x v="4"/>
    <s v="Male"/>
    <n v="25"/>
    <n v="924"/>
    <n v="1062"/>
    <n v="23100"/>
    <n v="26550"/>
    <n v="3450"/>
    <s v="profit"/>
  </r>
  <r>
    <x v="166"/>
    <s v="november"/>
    <s v="Modern Pathways"/>
    <s v="Electronic"/>
    <s v="TV"/>
    <x v="8"/>
    <s v="Male"/>
    <n v="28"/>
    <n v="665"/>
    <n v="1467"/>
    <n v="18620"/>
    <n v="41076"/>
    <n v="22456"/>
    <s v="profit"/>
  </r>
  <r>
    <x v="168"/>
    <s v="november"/>
    <s v="Stellar Finance Co."/>
    <s v="Electronic"/>
    <s v="TV"/>
    <x v="9"/>
    <s v="Male"/>
    <n v="24"/>
    <n v="839"/>
    <n v="1092"/>
    <n v="20136"/>
    <n v="26208"/>
    <n v="6072"/>
    <s v="profit"/>
  </r>
  <r>
    <x v="169"/>
    <s v="november"/>
    <s v="Radiant Spectrum Group"/>
    <s v="Electronic"/>
    <s v="TV"/>
    <x v="4"/>
    <s v="Male"/>
    <n v="30"/>
    <n v="790"/>
    <n v="1245"/>
    <n v="23700"/>
    <n v="37350"/>
    <n v="13650"/>
    <s v="profit"/>
  </r>
  <r>
    <x v="170"/>
    <s v="november"/>
    <s v="Harmony Design Ventures"/>
    <s v="Electronic"/>
    <s v="TV"/>
    <x v="10"/>
    <s v="Female"/>
    <n v="30"/>
    <n v="651"/>
    <n v="1277"/>
    <n v="19530"/>
    <n v="38310"/>
    <n v="18780"/>
    <s v="profit"/>
  </r>
  <r>
    <x v="58"/>
    <s v="may"/>
    <s v="Synergy Tech Solutions"/>
    <s v="Fashion "/>
    <s v="Saree"/>
    <x v="11"/>
    <s v="Male"/>
    <n v="67"/>
    <n v="796"/>
    <n v="1347"/>
    <n v="53332"/>
    <n v="90249"/>
    <n v="36917"/>
    <s v="profit"/>
  </r>
  <r>
    <x v="171"/>
    <s v="november"/>
    <s v="Elite Edge Products"/>
    <s v="Electronic"/>
    <s v="TV"/>
    <x v="11"/>
    <s v="Female"/>
    <n v="23"/>
    <n v="531"/>
    <n v="1072"/>
    <n v="12213"/>
    <n v="24656"/>
    <n v="12443"/>
    <s v="profit"/>
  </r>
  <r>
    <x v="172"/>
    <s v="november"/>
    <s v="Zenith Consulting Co."/>
    <s v="Electronic"/>
    <s v="Laptop"/>
    <x v="6"/>
    <s v="Female"/>
    <n v="30"/>
    <n v="591"/>
    <n v="949"/>
    <n v="17730"/>
    <n v="28470"/>
    <n v="10740"/>
    <s v="profit"/>
  </r>
  <r>
    <x v="173"/>
    <s v="november"/>
    <s v="Apex Wellness Products"/>
    <s v="Electronic"/>
    <s v="Laptop"/>
    <x v="7"/>
    <s v="Female"/>
    <n v="29"/>
    <n v="621"/>
    <n v="1485"/>
    <n v="18009"/>
    <n v="43065"/>
    <n v="25056"/>
    <s v="profit"/>
  </r>
  <r>
    <x v="175"/>
    <s v="december"/>
    <s v="Pure Harmony Innovations"/>
    <s v="Electronic"/>
    <s v="Laptop"/>
    <x v="13"/>
    <s v="Female"/>
    <n v="30"/>
    <n v="857"/>
    <n v="1455"/>
    <n v="25710"/>
    <n v="43650"/>
    <n v="17940"/>
    <s v="profit"/>
  </r>
  <r>
    <x v="176"/>
    <s v="december"/>
    <s v="Legacy Media Group"/>
    <s v="Electronic"/>
    <s v="Laptop"/>
    <x v="13"/>
    <s v="Female"/>
    <n v="20"/>
    <n v="897"/>
    <n v="1024"/>
    <n v="17940"/>
    <n v="20480"/>
    <n v="2540"/>
    <s v="profit"/>
  </r>
  <r>
    <x v="177"/>
    <s v="december"/>
    <s v="Horizon Tech Innovations"/>
    <s v="Electronic"/>
    <s v="Laptop"/>
    <x v="7"/>
    <s v="Male"/>
    <n v="22"/>
    <n v="781"/>
    <n v="1423"/>
    <n v="17182"/>
    <n v="31306"/>
    <n v="14124"/>
    <s v="profit"/>
  </r>
  <r>
    <x v="178"/>
    <s v="december"/>
    <s v="Crystal Spectrum Consulting"/>
    <s v="Electronic"/>
    <s v="Laptop"/>
    <x v="5"/>
    <s v="Male"/>
    <n v="20"/>
    <n v="854"/>
    <n v="956"/>
    <n v="17080"/>
    <n v="19120"/>
    <n v="2040"/>
    <s v="profit"/>
  </r>
  <r>
    <x v="179"/>
    <s v="december"/>
    <s v="Stellar Creative Co."/>
    <s v="Electronic"/>
    <s v="Laptop"/>
    <x v="17"/>
    <s v="Male"/>
    <n v="26"/>
    <n v="909"/>
    <n v="1206"/>
    <n v="23634"/>
    <n v="31356"/>
    <n v="7722"/>
    <s v="profit"/>
  </r>
  <r>
    <x v="181"/>
    <s v="december"/>
    <s v="Radiance Media Ventures"/>
    <s v="Electronic"/>
    <s v="Laptop"/>
    <x v="8"/>
    <s v="Female"/>
    <n v="20"/>
    <n v="976"/>
    <n v="905"/>
    <n v="19520"/>
    <n v="18100"/>
    <n v="-1420"/>
    <s v="loss"/>
  </r>
  <r>
    <x v="182"/>
    <s v="december"/>
    <s v="Zenith Edge Services"/>
    <s v="Electronic"/>
    <s v="Laptop"/>
    <x v="19"/>
    <s v="Male"/>
    <n v="24"/>
    <n v="787"/>
    <n v="1122"/>
    <n v="18888"/>
    <n v="26928"/>
    <n v="8040"/>
    <s v="profit"/>
  </r>
  <r>
    <x v="183"/>
    <s v="february"/>
    <s v="Stellar Consulting Services"/>
    <s v="Electronic"/>
    <s v="Laptop"/>
    <x v="8"/>
    <s v="Female"/>
    <n v="23"/>
    <n v="755"/>
    <n v="806"/>
    <n v="17365"/>
    <n v="18538"/>
    <n v="1173"/>
    <s v="profit"/>
  </r>
  <r>
    <x v="184"/>
    <s v="february"/>
    <s v="Radiant Ventures"/>
    <s v="Electronic"/>
    <s v="Laptop"/>
    <x v="18"/>
    <s v="Female"/>
    <n v="26"/>
    <n v="573"/>
    <n v="1309"/>
    <n v="14898"/>
    <n v="34034"/>
    <n v="19136"/>
    <s v="profit"/>
  </r>
  <r>
    <x v="185"/>
    <s v="february"/>
    <s v="Harmony Tech Co."/>
    <s v="Electronic"/>
    <s v="Laptop"/>
    <x v="19"/>
    <s v="Female"/>
    <n v="30"/>
    <n v="946"/>
    <n v="1089"/>
    <n v="28380"/>
    <n v="32670"/>
    <n v="4290"/>
    <s v="profit"/>
  </r>
  <r>
    <x v="187"/>
    <s v="february"/>
    <s v="Zenith Creative Ventures"/>
    <s v="Electronic"/>
    <s v="Laptop"/>
    <x v="0"/>
    <s v="Male"/>
    <n v="22"/>
    <n v="679"/>
    <n v="1463"/>
    <n v="14938"/>
    <n v="32186"/>
    <n v="17248"/>
    <s v="profit"/>
  </r>
  <r>
    <x v="188"/>
    <s v="february"/>
    <s v="Apex Health Services"/>
    <s v="Electronic"/>
    <s v="Laptop"/>
    <x v="1"/>
    <s v="Male"/>
    <n v="25"/>
    <n v="975"/>
    <n v="935"/>
    <n v="24375"/>
    <n v="23375"/>
    <n v="-1000"/>
    <s v="loss"/>
  </r>
  <r>
    <x v="189"/>
    <s v="february"/>
    <s v="Pure Vision Media"/>
    <s v="Electronic"/>
    <s v="Laptop"/>
    <x v="2"/>
    <s v="Male"/>
    <n v="24"/>
    <n v="642"/>
    <n v="996"/>
    <n v="15408"/>
    <n v="23904"/>
    <n v="8496"/>
    <s v="profit"/>
  </r>
  <r>
    <x v="63"/>
    <s v="june"/>
    <s v="Radiant Enterprise Solutions"/>
    <s v="Decor"/>
    <s v="Car accessories"/>
    <x v="3"/>
    <s v="Female"/>
    <n v="14"/>
    <n v="603"/>
    <n v="1104"/>
    <n v="8442"/>
    <n v="15456"/>
    <n v="7014"/>
    <s v="profit"/>
  </r>
  <r>
    <x v="191"/>
    <s v="february"/>
    <s v="Legacy Innovations Group"/>
    <s v="Electronic"/>
    <s v="Laptop"/>
    <x v="3"/>
    <s v="Male"/>
    <n v="29"/>
    <n v="598"/>
    <n v="923"/>
    <n v="17342"/>
    <n v="26767"/>
    <n v="9425"/>
    <s v="profit"/>
  </r>
  <r>
    <x v="192"/>
    <s v="february"/>
    <s v="Pinnacle Consulting Co."/>
    <s v="Electronic"/>
    <s v="Laptop"/>
    <x v="3"/>
    <s v="Male"/>
    <n v="22"/>
    <n v="719"/>
    <n v="1079"/>
    <n v="15818"/>
    <n v="23738"/>
    <n v="7920"/>
    <s v="profit"/>
  </r>
  <r>
    <x v="193"/>
    <s v="february"/>
    <s v="Stellar Finance Group"/>
    <s v="Electronic"/>
    <s v="Laptop"/>
    <x v="4"/>
    <s v="Female"/>
    <n v="30"/>
    <n v="716"/>
    <n v="956"/>
    <n v="21480"/>
    <n v="28680"/>
    <n v="7200"/>
    <s v="profit"/>
  </r>
  <r>
    <x v="194"/>
    <s v="february"/>
    <s v="Harmony Ventures Group"/>
    <s v="Electronic"/>
    <s v="Laptop"/>
    <x v="6"/>
    <s v="Female"/>
    <n v="29"/>
    <n v="623"/>
    <n v="919"/>
    <n v="18067"/>
    <n v="26651"/>
    <n v="8584"/>
    <s v="profit"/>
  </r>
  <r>
    <x v="78"/>
    <s v="april"/>
    <s v="Bharat Innovations"/>
    <s v="Electronic"/>
    <s v="Speaker"/>
    <x v="14"/>
    <s v="Male"/>
    <n v="21"/>
    <n v="553"/>
    <n v="1459"/>
    <n v="11613"/>
    <n v="30639"/>
    <n v="19026"/>
    <s v="profit"/>
  </r>
  <r>
    <x v="64"/>
    <s v="june"/>
    <s v="Infinite Solutions"/>
    <s v="Fashion "/>
    <s v="Saree"/>
    <x v="8"/>
    <s v="Female"/>
    <n v="77"/>
    <n v="923"/>
    <n v="1132"/>
    <n v="71071"/>
    <n v="87164"/>
    <n v="16093"/>
    <s v="profit"/>
  </r>
  <r>
    <x v="79"/>
    <s v="april"/>
    <s v="Green Leaf Enterprises"/>
    <s v="Electronic"/>
    <s v="Earbuds"/>
    <x v="8"/>
    <s v="Male"/>
    <n v="30"/>
    <n v="719"/>
    <n v="1162"/>
    <n v="21570"/>
    <n v="34860"/>
    <n v="13290"/>
    <s v="profit"/>
  </r>
  <r>
    <x v="80"/>
    <s v="april"/>
    <s v="Urban Pulse Technologies"/>
    <s v="Electronic"/>
    <s v="Earbuds"/>
    <x v="3"/>
    <s v="Male"/>
    <n v="25"/>
    <n v="980"/>
    <n v="926"/>
    <n v="24500"/>
    <n v="23150"/>
    <n v="-1350"/>
    <s v="loss"/>
  </r>
  <r>
    <x v="82"/>
    <s v="april"/>
    <s v="Mystic India Exports"/>
    <s v="Electronic"/>
    <s v="Earbuds"/>
    <x v="13"/>
    <s v="Male"/>
    <n v="22"/>
    <n v="718"/>
    <n v="1335"/>
    <n v="15796"/>
    <n v="29370"/>
    <n v="13574"/>
    <s v="profit"/>
  </r>
  <r>
    <x v="83"/>
    <s v="april"/>
    <s v="Pure Essence Skincare"/>
    <s v="Electronic"/>
    <s v="Speaker"/>
    <x v="12"/>
    <s v="Female"/>
    <n v="30"/>
    <n v="520"/>
    <n v="1251"/>
    <n v="15600"/>
    <n v="37530"/>
    <n v="21930"/>
    <s v="profit"/>
  </r>
  <r>
    <x v="84"/>
    <s v="april"/>
    <s v="Zenith Construction Co."/>
    <s v="Electronic"/>
    <s v="Speaker"/>
    <x v="6"/>
    <s v="Female"/>
    <n v="26"/>
    <n v="808"/>
    <n v="1135"/>
    <n v="21008"/>
    <n v="29510"/>
    <n v="8502"/>
    <s v="profit"/>
  </r>
  <r>
    <x v="85"/>
    <s v="april"/>
    <s v="Radiant Health Systems"/>
    <s v="Electronic"/>
    <s v="Speaker"/>
    <x v="7"/>
    <s v="Female"/>
    <n v="23"/>
    <n v="504"/>
    <n v="1328"/>
    <n v="11592"/>
    <n v="30544"/>
    <n v="18952"/>
    <s v="profit"/>
  </r>
  <r>
    <x v="87"/>
    <s v="april"/>
    <s v="Divine Creations"/>
    <s v="Electronic"/>
    <s v="Speaker"/>
    <x v="7"/>
    <s v="Female"/>
    <n v="28"/>
    <n v="918"/>
    <n v="808"/>
    <n v="25704"/>
    <n v="22624"/>
    <n v="-3080"/>
    <s v="loss"/>
  </r>
  <r>
    <x v="88"/>
    <s v="april"/>
    <s v="True Path Logistics"/>
    <s v="Electronic"/>
    <s v="Speaker"/>
    <x v="4"/>
    <s v="Female"/>
    <n v="27"/>
    <n v="966"/>
    <n v="850"/>
    <n v="26082"/>
    <n v="22950"/>
    <n v="-3132"/>
    <s v="loss"/>
  </r>
  <r>
    <x v="90"/>
    <s v="april"/>
    <s v="Prestige Automobiles"/>
    <s v="Electronic"/>
    <s v="TV"/>
    <x v="7"/>
    <s v="Male"/>
    <n v="20"/>
    <n v="664"/>
    <n v="924"/>
    <n v="13280"/>
    <n v="18480"/>
    <n v="5200"/>
    <s v="profit"/>
  </r>
  <r>
    <x v="92"/>
    <s v="april"/>
    <s v="Natural Bliss Beverages"/>
    <s v="Electronic"/>
    <s v="TV"/>
    <x v="13"/>
    <s v="Male"/>
    <n v="26"/>
    <n v="608"/>
    <n v="1125"/>
    <n v="15808"/>
    <n v="29250"/>
    <n v="13442"/>
    <s v="profit"/>
  </r>
  <r>
    <x v="65"/>
    <s v="july"/>
    <s v="Synergy Solutions Group"/>
    <s v="Decor"/>
    <s v="Home décor"/>
    <x v="8"/>
    <s v="Female"/>
    <n v="19"/>
    <n v="860"/>
    <n v="1234"/>
    <n v="16340"/>
    <n v="23446"/>
    <n v="7106"/>
    <s v="profit"/>
  </r>
  <r>
    <x v="94"/>
    <s v="april"/>
    <s v="Modern Trends Fashion"/>
    <s v="Electronic"/>
    <s v="TV"/>
    <x v="7"/>
    <s v="Female"/>
    <n v="24"/>
    <n v="826"/>
    <n v="975"/>
    <n v="19824"/>
    <n v="23400"/>
    <n v="3576"/>
    <s v="profit"/>
  </r>
  <r>
    <x v="95"/>
    <s v="april"/>
    <s v="Heritage Crafts"/>
    <s v="Electronic"/>
    <s v="TV"/>
    <x v="5"/>
    <s v="Female"/>
    <n v="24"/>
    <n v="877"/>
    <n v="762"/>
    <n v="21048"/>
    <n v="18288"/>
    <n v="-2760"/>
    <s v="loss"/>
  </r>
  <r>
    <x v="96"/>
    <s v="april"/>
    <s v="Future Insights Analytics"/>
    <s v="Electronic"/>
    <s v="TV"/>
    <x v="17"/>
    <s v="Female"/>
    <n v="23"/>
    <n v="736"/>
    <n v="872"/>
    <n v="16928"/>
    <n v="20056"/>
    <n v="3128"/>
    <s v="profit"/>
  </r>
  <r>
    <x v="97"/>
    <s v="april"/>
    <s v="Emerald Estate Developers"/>
    <s v="Electronic"/>
    <s v="TV"/>
    <x v="8"/>
    <s v="Female"/>
    <n v="27"/>
    <n v="828"/>
    <n v="1008"/>
    <n v="22356"/>
    <n v="27216"/>
    <n v="4860"/>
    <s v="profit"/>
  </r>
  <r>
    <x v="98"/>
    <s v="april"/>
    <s v="Starlight Media Group"/>
    <s v="Electronic"/>
    <s v="TV"/>
    <x v="18"/>
    <s v="Female"/>
    <n v="28"/>
    <n v="901"/>
    <n v="1260"/>
    <n v="25228"/>
    <n v="35280"/>
    <n v="10052"/>
    <s v="profit"/>
  </r>
  <r>
    <x v="99"/>
    <s v="may"/>
    <s v="Supreme Electronics"/>
    <s v="Electronic"/>
    <s v="TV"/>
    <x v="19"/>
    <s v="Female"/>
    <n v="28"/>
    <n v="796"/>
    <n v="1407"/>
    <n v="22288"/>
    <n v="39396"/>
    <n v="17108"/>
    <s v="profit"/>
  </r>
  <r>
    <x v="100"/>
    <s v="may"/>
    <s v="Optimum Wellness"/>
    <s v="Electronic"/>
    <s v="TV"/>
    <x v="0"/>
    <s v="Male"/>
    <n v="27"/>
    <n v="794"/>
    <n v="905"/>
    <n v="21438"/>
    <n v="24435"/>
    <n v="2997"/>
    <s v="profit"/>
  </r>
  <r>
    <x v="101"/>
    <s v="may"/>
    <s v="Zenith Books Publishing"/>
    <s v="Electronic"/>
    <s v="TV"/>
    <x v="1"/>
    <s v="Male"/>
    <n v="20"/>
    <n v="812"/>
    <n v="1248"/>
    <n v="16240"/>
    <n v="24960"/>
    <n v="8720"/>
    <s v="profit"/>
  </r>
  <r>
    <x v="102"/>
    <s v="may"/>
    <s v="Pinnacle Innovations"/>
    <s v="Electronic"/>
    <s v="TV"/>
    <x v="2"/>
    <s v="Male"/>
    <n v="20"/>
    <n v="908"/>
    <n v="1130"/>
    <n v="18160"/>
    <n v="22600"/>
    <n v="4440"/>
    <s v="profit"/>
  </r>
  <r>
    <x v="103"/>
    <s v="may"/>
    <s v="Apex Travel Services"/>
    <s v="Electronic"/>
    <s v="TV"/>
    <x v="3"/>
    <s v="Male"/>
    <n v="23"/>
    <n v="846"/>
    <n v="1143"/>
    <n v="19458"/>
    <n v="26289"/>
    <n v="6831"/>
    <s v="profit"/>
  </r>
  <r>
    <x v="104"/>
    <s v="may"/>
    <s v="Golden Era Realty"/>
    <s v="Electronic"/>
    <s v="TV"/>
    <x v="3"/>
    <s v="Female"/>
    <n v="25"/>
    <n v="627"/>
    <n v="1071"/>
    <n v="15675"/>
    <n v="26775"/>
    <n v="11100"/>
    <s v="profit"/>
  </r>
  <r>
    <x v="106"/>
    <s v="may"/>
    <s v="Radiant Jewelry"/>
    <s v="Electronic"/>
    <s v="Laptop"/>
    <x v="4"/>
    <s v="Female"/>
    <n v="27"/>
    <n v="817"/>
    <n v="977"/>
    <n v="22059"/>
    <n v="26379"/>
    <n v="4320"/>
    <s v="profit"/>
  </r>
  <r>
    <x v="66"/>
    <s v="july"/>
    <s v="Horizon Tech Solutions"/>
    <s v="Electronic"/>
    <s v="Laptop"/>
    <x v="7"/>
    <s v="Female"/>
    <n v="29"/>
    <n v="929"/>
    <n v="1429"/>
    <n v="26941"/>
    <n v="41441"/>
    <n v="14500"/>
    <s v="profit"/>
  </r>
  <r>
    <x v="107"/>
    <s v="may"/>
    <s v="Infinity Ventures"/>
    <s v="Electronic"/>
    <s v="Laptop"/>
    <x v="5"/>
    <s v="Female"/>
    <n v="27"/>
    <n v="675"/>
    <n v="1138"/>
    <n v="18225"/>
    <n v="30726"/>
    <n v="12501"/>
    <s v="profit"/>
  </r>
  <r>
    <x v="109"/>
    <s v="may"/>
    <s v="Royal Taste Foods"/>
    <s v="Electronic"/>
    <s v="Laptop"/>
    <x v="3"/>
    <s v="Female"/>
    <n v="22"/>
    <n v="695"/>
    <n v="830"/>
    <n v="15290"/>
    <n v="18260"/>
    <n v="2970"/>
    <s v="profit"/>
  </r>
  <r>
    <x v="110"/>
    <s v="may"/>
    <s v="Harmony Homes"/>
    <s v="Electronic"/>
    <s v="Laptop"/>
    <x v="15"/>
    <s v="Female"/>
    <n v="21"/>
    <n v="781"/>
    <n v="816"/>
    <n v="16401"/>
    <n v="17136"/>
    <n v="735"/>
    <s v="profit"/>
  </r>
  <r>
    <x v="111"/>
    <s v="may"/>
    <s v="Urban Edge Consulting"/>
    <s v="Electronic"/>
    <s v="Laptop"/>
    <x v="14"/>
    <s v="Female"/>
    <n v="25"/>
    <n v="517"/>
    <n v="939"/>
    <n v="12925"/>
    <n v="23475"/>
    <n v="10550"/>
    <s v="profit"/>
  </r>
  <r>
    <x v="112"/>
    <s v="may"/>
    <s v="Prime Tech Innovations"/>
    <s v="Electronic"/>
    <s v="Laptop"/>
    <x v="8"/>
    <s v="Female"/>
    <n v="24"/>
    <n v="730"/>
    <n v="886"/>
    <n v="17520"/>
    <n v="21264"/>
    <n v="3744"/>
    <s v="profit"/>
  </r>
  <r>
    <x v="114"/>
    <s v="may"/>
    <s v="Legacy Designs"/>
    <s v="Electronic"/>
    <s v="Laptop"/>
    <x v="3"/>
    <s v="Female"/>
    <n v="23"/>
    <n v="811"/>
    <n v="1142"/>
    <n v="18653"/>
    <n v="26266"/>
    <n v="7613"/>
    <s v="profit"/>
  </r>
  <r>
    <x v="115"/>
    <s v="may"/>
    <s v="Virtue Enterprises"/>
    <s v="Electronic"/>
    <s v="Laptop"/>
    <x v="13"/>
    <s v="Female"/>
    <n v="21"/>
    <n v="967"/>
    <n v="888"/>
    <n v="20307"/>
    <n v="18648"/>
    <n v="-1659"/>
    <s v="loss"/>
  </r>
  <r>
    <x v="116"/>
    <s v="may"/>
    <s v="Radiant Health Club"/>
    <s v="Electronic"/>
    <s v="Laptop"/>
    <x v="15"/>
    <s v="Female"/>
    <n v="29"/>
    <n v="655"/>
    <n v="950"/>
    <n v="18995"/>
    <n v="27550"/>
    <n v="8555"/>
    <s v="profit"/>
  </r>
  <r>
    <x v="118"/>
    <s v="may"/>
    <s v="Bright Horizon Ventures"/>
    <s v="Electronic"/>
    <s v="Laptop"/>
    <x v="16"/>
    <s v="Male"/>
    <n v="30"/>
    <n v="616"/>
    <n v="804"/>
    <n v="18480"/>
    <n v="24120"/>
    <n v="5640"/>
    <s v="profit"/>
  </r>
  <r>
    <x v="120"/>
    <s v="may"/>
    <s v="Modern Lifestyle Products"/>
    <s v="Electronic"/>
    <s v="Laptop"/>
    <x v="6"/>
    <s v="Male"/>
    <n v="30"/>
    <n v="709"/>
    <n v="1209"/>
    <n v="21270"/>
    <n v="36270"/>
    <n v="15000"/>
    <s v="profit"/>
  </r>
  <r>
    <x v="121"/>
    <s v="may"/>
    <s v="Nexus Trading Co."/>
    <s v="Electronic"/>
    <s v="Laptop"/>
    <x v="8"/>
    <s v="Male"/>
    <n v="23"/>
    <n v="875"/>
    <n v="843"/>
    <n v="20125"/>
    <n v="19389"/>
    <n v="-736"/>
    <s v="loss"/>
  </r>
  <r>
    <x v="122"/>
    <s v="july"/>
    <s v="Radiance Health and Wellness"/>
    <s v="Electronic"/>
    <s v="Laptop"/>
    <x v="7"/>
    <s v="Male"/>
    <n v="26"/>
    <n v="766"/>
    <n v="836"/>
    <n v="19916"/>
    <n v="21736"/>
    <n v="1820"/>
    <s v="profit"/>
  </r>
  <r>
    <x v="123"/>
    <s v="july"/>
    <s v="Legacy Auto Works"/>
    <s v="Electronic"/>
    <s v="Laptop"/>
    <x v="13"/>
    <s v="Male"/>
    <n v="23"/>
    <n v="589"/>
    <n v="982"/>
    <n v="13547"/>
    <n v="22586"/>
    <n v="9039"/>
    <s v="profit"/>
  </r>
  <r>
    <x v="124"/>
    <s v="july"/>
    <s v="Prime Essence Creations"/>
    <s v="Electronic"/>
    <s v="Laptop"/>
    <x v="13"/>
    <s v="Male"/>
    <n v="24"/>
    <n v="718"/>
    <n v="1218"/>
    <n v="17232"/>
    <n v="29232"/>
    <n v="12000"/>
    <s v="profit"/>
  </r>
  <r>
    <x v="125"/>
    <s v="july"/>
    <s v="Quantum Ventures"/>
    <s v="Electronic"/>
    <s v="Laptop"/>
    <x v="12"/>
    <s v="Male"/>
    <n v="22"/>
    <n v="877"/>
    <n v="1120"/>
    <n v="19294"/>
    <n v="24640"/>
    <n v="5346"/>
    <s v="profit"/>
  </r>
  <r>
    <x v="126"/>
    <s v="july"/>
    <s v="Urban Legends Apparel"/>
    <s v="Electronic"/>
    <s v="Laptop"/>
    <x v="5"/>
    <s v="Female"/>
    <n v="23"/>
    <n v="641"/>
    <n v="1445"/>
    <n v="14743"/>
    <n v="33235"/>
    <n v="18492"/>
    <s v="profit"/>
  </r>
  <r>
    <x v="127"/>
    <s v="july"/>
    <s v="Pure Bliss Beverages"/>
    <s v="Electronic"/>
    <s v="Laptop"/>
    <x v="17"/>
    <s v="Female"/>
    <n v="30"/>
    <n v="916"/>
    <n v="1497"/>
    <n v="27480"/>
    <n v="44910"/>
    <n v="17430"/>
    <s v="profit"/>
  </r>
  <r>
    <x v="128"/>
    <s v="july"/>
    <s v="Noble Heights Builders"/>
    <s v="Electronic"/>
    <s v="Laptop"/>
    <x v="8"/>
    <s v="Female"/>
    <n v="28"/>
    <n v="588"/>
    <n v="784"/>
    <n v="16464"/>
    <n v="21952"/>
    <n v="5488"/>
    <s v="profit"/>
  </r>
  <r>
    <x v="67"/>
    <s v="august"/>
    <s v="Apex Wellness Solutions"/>
    <s v="Fashion "/>
    <s v="Suit"/>
    <x v="15"/>
    <s v="Male"/>
    <n v="60"/>
    <n v="642"/>
    <n v="1497"/>
    <n v="38520"/>
    <n v="89820"/>
    <n v="51300"/>
    <s v="profit"/>
  </r>
  <r>
    <x v="130"/>
    <s v="july"/>
    <s v="Radiant Foods"/>
    <s v="Electronic"/>
    <s v="Laptop"/>
    <x v="18"/>
    <s v="Female"/>
    <n v="26"/>
    <n v="969"/>
    <n v="1087"/>
    <n v="25194"/>
    <n v="28262"/>
    <n v="3068"/>
    <s v="profit"/>
  </r>
  <r>
    <x v="131"/>
    <s v="july"/>
    <s v="Zenith Financial Services"/>
    <s v="Electronic"/>
    <s v="Laptop"/>
    <x v="19"/>
    <s v="Female"/>
    <n v="25"/>
    <n v="839"/>
    <n v="1233"/>
    <n v="20975"/>
    <n v="30825"/>
    <n v="9850"/>
    <s v="profit"/>
  </r>
  <r>
    <x v="133"/>
    <s v="july"/>
    <s v="Apex Travel Ventures"/>
    <s v="Electronic"/>
    <s v="Laptop"/>
    <x v="0"/>
    <s v="Female"/>
    <n v="25"/>
    <n v="536"/>
    <n v="1407"/>
    <n v="13400"/>
    <n v="35175"/>
    <n v="21775"/>
    <s v="profit"/>
  </r>
  <r>
    <x v="134"/>
    <s v="august"/>
    <s v="Future Vision Realty"/>
    <s v="Electronic"/>
    <s v="Laptop"/>
    <x v="8"/>
    <s v="Male"/>
    <n v="27"/>
    <n v="966"/>
    <n v="1255"/>
    <n v="26082"/>
    <n v="33885"/>
    <n v="7803"/>
    <s v="profit"/>
  </r>
  <r>
    <x v="68"/>
    <s v="august"/>
    <s v="Radiance Tech Solutions"/>
    <s v="Decor"/>
    <s v="Home décor"/>
    <x v="6"/>
    <s v="Female"/>
    <n v="20"/>
    <n v="525"/>
    <n v="1122"/>
    <n v="10500"/>
    <n v="22440"/>
    <n v="11940"/>
    <s v="profit"/>
  </r>
  <r>
    <x v="135"/>
    <s v="august"/>
    <s v="Urban Pulse Media"/>
    <s v="Electronic"/>
    <s v="Laptop"/>
    <x v="9"/>
    <s v="Male"/>
    <n v="23"/>
    <n v="694"/>
    <n v="1309"/>
    <n v="15962"/>
    <n v="30107"/>
    <n v="14145"/>
    <s v="profit"/>
  </r>
  <r>
    <x v="136"/>
    <s v="august"/>
    <s v="True Essence Health"/>
    <s v="Electronic"/>
    <s v="Laptop"/>
    <x v="4"/>
    <s v="Female"/>
    <n v="22"/>
    <n v="749"/>
    <n v="850"/>
    <n v="16478"/>
    <n v="18700"/>
    <n v="2222"/>
    <s v="profit"/>
  </r>
  <r>
    <x v="138"/>
    <s v="august"/>
    <s v="Radiant Vision Realty"/>
    <s v="Electronic"/>
    <s v="Laptop"/>
    <x v="11"/>
    <s v="Male"/>
    <n v="24"/>
    <n v="845"/>
    <n v="1429"/>
    <n v="20280"/>
    <n v="34296"/>
    <n v="14016"/>
    <s v="profit"/>
  </r>
  <r>
    <x v="139"/>
    <s v="august"/>
    <s v="Harmony Consulting Group"/>
    <s v="Electronic"/>
    <s v="Laptop"/>
    <x v="6"/>
    <s v="Male"/>
    <n v="29"/>
    <n v="872"/>
    <n v="1351"/>
    <n v="25288"/>
    <n v="39179"/>
    <n v="13891"/>
    <s v="profit"/>
  </r>
  <r>
    <x v="141"/>
    <s v="august"/>
    <s v="Zenith Tech Ventures"/>
    <s v="Electronic"/>
    <s v="Laptop"/>
    <x v="7"/>
    <s v="Male"/>
    <n v="27"/>
    <n v="674"/>
    <n v="1119"/>
    <n v="18198"/>
    <n v="30213"/>
    <n v="12015"/>
    <s v="profit"/>
  </r>
  <r>
    <x v="142"/>
    <s v="august"/>
    <s v="Stellar Health Services"/>
    <s v="Electronic"/>
    <s v="Laptop"/>
    <x v="7"/>
    <s v="Female"/>
    <n v="27"/>
    <n v="583"/>
    <n v="1379"/>
    <n v="15741"/>
    <n v="37233"/>
    <n v="21492"/>
    <s v="profit"/>
  </r>
  <r>
    <x v="143"/>
    <s v="august"/>
    <s v="Pure Path Foods"/>
    <s v="Electronic"/>
    <s v="Laptop"/>
    <x v="13"/>
    <s v="Female"/>
    <n v="21"/>
    <n v="929"/>
    <n v="910"/>
    <n v="19509"/>
    <n v="19110"/>
    <n v="-399"/>
    <s v="loss"/>
  </r>
  <r>
    <x v="69"/>
    <s v="august"/>
    <s v="Apex Enterprise Solutions"/>
    <s v="Electronic"/>
    <s v="Laptop"/>
    <x v="10"/>
    <s v="Male"/>
    <n v="23"/>
    <n v="884"/>
    <n v="1392"/>
    <n v="20332"/>
    <n v="32016"/>
    <n v="11684"/>
    <s v="profit"/>
  </r>
  <r>
    <x v="144"/>
    <s v="august"/>
    <s v="Bright Horizon Realty"/>
    <s v="Electronic"/>
    <s v="Laptop"/>
    <x v="12"/>
    <s v="Female"/>
    <n v="28"/>
    <n v="873"/>
    <n v="809"/>
    <n v="24444"/>
    <n v="22652"/>
    <n v="-1792"/>
    <s v="loss"/>
  </r>
  <r>
    <x v="146"/>
    <s v="october"/>
    <s v="Crystal Clear Consulting"/>
    <s v="Electronic"/>
    <s v="Earbuds"/>
    <x v="12"/>
    <s v="Female"/>
    <n v="21"/>
    <n v="541"/>
    <n v="1339"/>
    <n v="11361"/>
    <n v="28119"/>
    <n v="16758"/>
    <s v="profit"/>
  </r>
  <r>
    <x v="147"/>
    <s v="october"/>
    <s v="Zenith Innovations"/>
    <s v="Electronic"/>
    <s v="Earbuds"/>
    <x v="5"/>
    <s v="Male"/>
    <n v="22"/>
    <n v="725"/>
    <n v="1268"/>
    <n v="15950"/>
    <n v="27896"/>
    <n v="11946"/>
    <s v="profit"/>
  </r>
  <r>
    <x v="148"/>
    <s v="october"/>
    <s v="True Essence Innovations"/>
    <s v="Electronic"/>
    <s v="Speaker"/>
    <x v="0"/>
    <s v="Male"/>
    <n v="21"/>
    <n v="596"/>
    <n v="838"/>
    <n v="12516"/>
    <n v="17598"/>
    <n v="5082"/>
    <s v="profit"/>
  </r>
  <r>
    <x v="150"/>
    <s v="november"/>
    <s v="Pinnacle Media Group"/>
    <s v="Electronic"/>
    <s v="Speaker"/>
    <x v="1"/>
    <s v="Male"/>
    <n v="30"/>
    <n v="910"/>
    <n v="1290"/>
    <n v="27300"/>
    <n v="38700"/>
    <n v="11400"/>
    <s v="profit"/>
  </r>
  <r>
    <x v="70"/>
    <s v="august"/>
    <s v="Prestige Solutions"/>
    <s v="Electronic"/>
    <s v="Laptop"/>
    <x v="13"/>
    <s v="Female"/>
    <n v="20"/>
    <n v="997"/>
    <n v="784"/>
    <n v="19940"/>
    <n v="15680"/>
    <n v="-4260"/>
    <s v="loss"/>
  </r>
  <r>
    <x v="152"/>
    <s v="november"/>
    <s v="Legacy Design Co."/>
    <s v="Electronic"/>
    <s v="Speaker"/>
    <x v="2"/>
    <s v="Male"/>
    <n v="25"/>
    <n v="532"/>
    <n v="1358"/>
    <n v="13300"/>
    <n v="33950"/>
    <n v="20650"/>
    <s v="profit"/>
  </r>
  <r>
    <x v="153"/>
    <s v="november"/>
    <s v="Apex Health Products"/>
    <s v="Electronic"/>
    <s v="Speaker"/>
    <x v="3"/>
    <s v="Female"/>
    <n v="29"/>
    <n v="813"/>
    <n v="1241"/>
    <n v="23577"/>
    <n v="35989"/>
    <n v="12412"/>
    <s v="profit"/>
  </r>
  <r>
    <x v="154"/>
    <s v="november"/>
    <s v="Zenith Travel Ventures"/>
    <s v="Electronic"/>
    <s v="Speaker"/>
    <x v="3"/>
    <s v="Female"/>
    <n v="28"/>
    <n v="858"/>
    <n v="1127"/>
    <n v="24024"/>
    <n v="31556"/>
    <n v="7532"/>
    <s v="profit"/>
  </r>
  <r>
    <x v="155"/>
    <s v="november"/>
    <s v="Pure Path Consulting"/>
    <s v="Electronic"/>
    <s v="Speaker"/>
    <x v="4"/>
    <s v="Female"/>
    <n v="24"/>
    <n v="641"/>
    <n v="1337"/>
    <n v="15384"/>
    <n v="32088"/>
    <n v="16704"/>
    <s v="profit"/>
  </r>
  <r>
    <x v="157"/>
    <s v="november"/>
    <s v="Harmony Educational Group"/>
    <s v="Electronic"/>
    <s v="TV"/>
    <x v="15"/>
    <s v="Male"/>
    <n v="25"/>
    <n v="709"/>
    <n v="1386"/>
    <n v="17725"/>
    <n v="34650"/>
    <n v="16925"/>
    <s v="profit"/>
  </r>
  <r>
    <x v="158"/>
    <s v="november"/>
    <s v="Radiant Design Studio"/>
    <s v="Electronic"/>
    <s v="TV"/>
    <x v="6"/>
    <s v="Male"/>
    <n v="25"/>
    <n v="802"/>
    <n v="1126"/>
    <n v="20050"/>
    <n v="28150"/>
    <n v="8100"/>
    <s v="profit"/>
  </r>
  <r>
    <x v="159"/>
    <s v="november"/>
    <s v="Zenith Health Innovations"/>
    <s v="Electronic"/>
    <s v="TV"/>
    <x v="8"/>
    <s v="Male"/>
    <n v="23"/>
    <n v="893"/>
    <n v="761"/>
    <n v="20539"/>
    <n v="17503"/>
    <n v="-3036"/>
    <s v="loss"/>
  </r>
  <r>
    <x v="160"/>
    <s v="november"/>
    <s v="Apex Realty Ventures"/>
    <s v="Electronic"/>
    <s v="TV"/>
    <x v="12"/>
    <s v="Male"/>
    <n v="29"/>
    <n v="852"/>
    <n v="1452"/>
    <n v="24708"/>
    <n v="42108"/>
    <n v="17400"/>
    <s v="profit"/>
  </r>
  <r>
    <x v="71"/>
    <s v="august"/>
    <s v="Urban Wave Solutions"/>
    <s v="Fashion "/>
    <s v="Saree"/>
    <x v="1"/>
    <s v="Male"/>
    <n v="64"/>
    <n v="580"/>
    <n v="1164"/>
    <n v="37120"/>
    <n v="74496"/>
    <n v="37376"/>
    <s v="profit"/>
  </r>
  <r>
    <x v="161"/>
    <s v="november"/>
    <s v="True Value Ventures"/>
    <s v="Electronic"/>
    <s v="TV"/>
    <x v="7"/>
    <s v="Female"/>
    <n v="23"/>
    <n v="747"/>
    <n v="1340"/>
    <n v="17181"/>
    <n v="30820"/>
    <n v="13639"/>
    <s v="profit"/>
  </r>
  <r>
    <x v="162"/>
    <s v="november"/>
    <s v="Crystal Clear Designs"/>
    <s v="Electronic"/>
    <s v="TV"/>
    <x v="8"/>
    <s v="Male"/>
    <n v="26"/>
    <n v="625"/>
    <n v="1298"/>
    <n v="16250"/>
    <n v="33748"/>
    <n v="17498"/>
    <s v="profit"/>
  </r>
  <r>
    <x v="164"/>
    <s v="november"/>
    <s v="Pinnacle Innovations Co."/>
    <s v="Electronic"/>
    <s v="TV"/>
    <x v="4"/>
    <s v="Male"/>
    <n v="23"/>
    <n v="706"/>
    <n v="988"/>
    <n v="16238"/>
    <n v="22724"/>
    <n v="6486"/>
    <s v="profit"/>
  </r>
  <r>
    <x v="166"/>
    <s v="november"/>
    <s v="Modern Pathways"/>
    <s v="Electronic"/>
    <s v="TV"/>
    <x v="8"/>
    <s v="Male"/>
    <n v="28"/>
    <n v="858"/>
    <n v="1113"/>
    <n v="24024"/>
    <n v="31164"/>
    <n v="7140"/>
    <s v="profit"/>
  </r>
  <r>
    <x v="72"/>
    <s v="september"/>
    <s v="Visionary Realty Solutions"/>
    <s v="Fashion "/>
    <s v="Suit"/>
    <x v="5"/>
    <s v="Female"/>
    <n v="52"/>
    <n v="893"/>
    <n v="1055"/>
    <n v="46436"/>
    <n v="54860"/>
    <n v="8424"/>
    <s v="profit"/>
  </r>
  <r>
    <x v="168"/>
    <s v="november"/>
    <s v="Stellar Finance Co."/>
    <s v="Electronic"/>
    <s v="TV"/>
    <x v="9"/>
    <s v="Male"/>
    <n v="24"/>
    <n v="736"/>
    <n v="1406"/>
    <n v="17664"/>
    <n v="33744"/>
    <n v="16080"/>
    <s v="profit"/>
  </r>
  <r>
    <x v="169"/>
    <s v="november"/>
    <s v="Radiant Spectrum Group"/>
    <s v="Electronic"/>
    <s v="TV"/>
    <x v="4"/>
    <s v="Male"/>
    <n v="20"/>
    <n v="599"/>
    <n v="1023"/>
    <n v="11980"/>
    <n v="20460"/>
    <n v="8480"/>
    <s v="profit"/>
  </r>
  <r>
    <x v="170"/>
    <s v="november"/>
    <s v="Harmony Design Ventures"/>
    <s v="Electronic"/>
    <s v="TV"/>
    <x v="10"/>
    <s v="Female"/>
    <n v="22"/>
    <n v="524"/>
    <n v="1147"/>
    <n v="11528"/>
    <n v="25234"/>
    <n v="13706"/>
    <s v="profit"/>
  </r>
  <r>
    <x v="171"/>
    <s v="november"/>
    <s v="Elite Edge Products"/>
    <s v="Electronic"/>
    <s v="TV"/>
    <x v="11"/>
    <s v="Female"/>
    <n v="27"/>
    <n v="744"/>
    <n v="1253"/>
    <n v="20088"/>
    <n v="33831"/>
    <n v="13743"/>
    <s v="profit"/>
  </r>
  <r>
    <x v="172"/>
    <s v="november"/>
    <s v="Zenith Consulting Co."/>
    <s v="Electronic"/>
    <s v="Laptop"/>
    <x v="6"/>
    <s v="Female"/>
    <n v="27"/>
    <n v="826"/>
    <n v="917"/>
    <n v="22302"/>
    <n v="24759"/>
    <n v="2457"/>
    <s v="profit"/>
  </r>
  <r>
    <x v="173"/>
    <s v="november"/>
    <s v="Apex Wellness Products"/>
    <s v="Electronic"/>
    <s v="Laptop"/>
    <x v="7"/>
    <s v="Female"/>
    <n v="27"/>
    <n v="573"/>
    <n v="1266"/>
    <n v="15471"/>
    <n v="34182"/>
    <n v="18711"/>
    <s v="profit"/>
  </r>
  <r>
    <x v="175"/>
    <s v="december"/>
    <s v="Pure Harmony Innovations"/>
    <s v="Electronic"/>
    <s v="Laptop"/>
    <x v="13"/>
    <s v="Female"/>
    <n v="28"/>
    <n v="798"/>
    <n v="1131"/>
    <n v="22344"/>
    <n v="31668"/>
    <n v="9324"/>
    <s v="profit"/>
  </r>
  <r>
    <x v="176"/>
    <s v="december"/>
    <s v="Legacy Media Group"/>
    <s v="Electronic"/>
    <s v="Laptop"/>
    <x v="13"/>
    <s v="Female"/>
    <n v="25"/>
    <n v="982"/>
    <n v="1479"/>
    <n v="24550"/>
    <n v="36975"/>
    <n v="12425"/>
    <s v="profit"/>
  </r>
  <r>
    <x v="73"/>
    <s v="september"/>
    <s v="Pure Essence Solutions"/>
    <s v="Decor"/>
    <s v="Home décor"/>
    <x v="6"/>
    <s v="Female"/>
    <n v="19"/>
    <n v="938"/>
    <n v="1348"/>
    <n v="17822"/>
    <n v="25612"/>
    <n v="7790"/>
    <s v="profit"/>
  </r>
  <r>
    <x v="177"/>
    <s v="december"/>
    <s v="Horizon Tech Innovations"/>
    <s v="Electronic"/>
    <s v="Laptop"/>
    <x v="7"/>
    <s v="Male"/>
    <n v="29"/>
    <n v="841"/>
    <n v="854"/>
    <n v="24389"/>
    <n v="24766"/>
    <n v="377"/>
    <s v="profit"/>
  </r>
  <r>
    <x v="178"/>
    <s v="december"/>
    <s v="Crystal Spectrum Consulting"/>
    <s v="Electronic"/>
    <s v="Laptop"/>
    <x v="5"/>
    <s v="Male"/>
    <n v="21"/>
    <n v="691"/>
    <n v="1142"/>
    <n v="14511"/>
    <n v="23982"/>
    <n v="9471"/>
    <s v="profit"/>
  </r>
  <r>
    <x v="179"/>
    <s v="december"/>
    <s v="Stellar Creative Co."/>
    <s v="Electronic"/>
    <s v="Laptop"/>
    <x v="17"/>
    <s v="Male"/>
    <n v="24"/>
    <n v="526"/>
    <n v="808"/>
    <n v="12624"/>
    <n v="19392"/>
    <n v="6768"/>
    <s v="profit"/>
  </r>
  <r>
    <x v="181"/>
    <s v="december"/>
    <s v="Radiance Media Ventures"/>
    <s v="Electronic"/>
    <s v="Laptop"/>
    <x v="8"/>
    <s v="Female"/>
    <n v="29"/>
    <n v="932"/>
    <n v="1316"/>
    <n v="27028"/>
    <n v="38164"/>
    <n v="11136"/>
    <s v="profit"/>
  </r>
  <r>
    <x v="74"/>
    <s v="september"/>
    <s v="Crystal Health Solutions"/>
    <s v="Decor"/>
    <s v="Home décor"/>
    <x v="7"/>
    <s v="Male"/>
    <n v="17"/>
    <n v="614"/>
    <n v="1273"/>
    <n v="10438"/>
    <n v="21641"/>
    <n v="11203"/>
    <s v="profit"/>
  </r>
  <r>
    <x v="182"/>
    <s v="december"/>
    <s v="Zenith Edge Services"/>
    <s v="Electronic"/>
    <s v="Laptop"/>
    <x v="19"/>
    <s v="Male"/>
    <n v="22"/>
    <n v="603"/>
    <n v="794"/>
    <n v="13266"/>
    <n v="17468"/>
    <n v="4202"/>
    <s v="profit"/>
  </r>
  <r>
    <x v="183"/>
    <s v="february"/>
    <s v="Stellar Consulting Services"/>
    <s v="Electronic"/>
    <s v="Laptop"/>
    <x v="8"/>
    <s v="Female"/>
    <n v="30"/>
    <n v="946"/>
    <n v="1109"/>
    <n v="28380"/>
    <n v="33270"/>
    <n v="4890"/>
    <s v="profit"/>
  </r>
  <r>
    <x v="184"/>
    <s v="february"/>
    <s v="Radiant Ventures"/>
    <s v="Electronic"/>
    <s v="Laptop"/>
    <x v="18"/>
    <s v="Female"/>
    <n v="24"/>
    <n v="580"/>
    <n v="809"/>
    <n v="13920"/>
    <n v="19416"/>
    <n v="5496"/>
    <s v="profit"/>
  </r>
  <r>
    <x v="185"/>
    <s v="february"/>
    <s v="Harmony Tech Co."/>
    <s v="Electronic"/>
    <s v="Laptop"/>
    <x v="19"/>
    <s v="Female"/>
    <n v="30"/>
    <n v="732"/>
    <n v="944"/>
    <n v="21960"/>
    <n v="28320"/>
    <n v="6360"/>
    <s v="profit"/>
  </r>
  <r>
    <x v="187"/>
    <s v="february"/>
    <s v="Zenith Creative Ventures"/>
    <s v="Electronic"/>
    <s v="Laptop"/>
    <x v="0"/>
    <s v="Male"/>
    <n v="20"/>
    <n v="552"/>
    <n v="1261"/>
    <n v="11040"/>
    <n v="25220"/>
    <n v="14180"/>
    <s v="profit"/>
  </r>
  <r>
    <x v="188"/>
    <s v="february"/>
    <s v="Apex Health Services"/>
    <s v="Electronic"/>
    <s v="Laptop"/>
    <x v="1"/>
    <s v="Male"/>
    <n v="21"/>
    <n v="876"/>
    <n v="1452"/>
    <n v="18396"/>
    <n v="30492"/>
    <n v="12096"/>
    <s v="profit"/>
  </r>
  <r>
    <x v="189"/>
    <s v="february"/>
    <s v="Pure Vision Media"/>
    <s v="Electronic"/>
    <s v="Laptop"/>
    <x v="2"/>
    <s v="Male"/>
    <n v="27"/>
    <n v="636"/>
    <n v="1284"/>
    <n v="17172"/>
    <n v="34668"/>
    <n v="17496"/>
    <s v="profit"/>
  </r>
  <r>
    <x v="191"/>
    <s v="february"/>
    <s v="Legacy Innovations Group"/>
    <s v="Electronic"/>
    <s v="Laptop"/>
    <x v="3"/>
    <s v="Male"/>
    <n v="21"/>
    <n v="974"/>
    <n v="1363"/>
    <n v="20454"/>
    <n v="28623"/>
    <n v="8169"/>
    <s v="profit"/>
  </r>
  <r>
    <x v="75"/>
    <s v="september"/>
    <s v="Stellar Travel Solutions"/>
    <s v="Decor"/>
    <s v="Car accessories"/>
    <x v="7"/>
    <s v="Female"/>
    <n v="10"/>
    <n v="572"/>
    <n v="801"/>
    <n v="5720"/>
    <n v="8010"/>
    <n v="2290"/>
    <s v="profit"/>
  </r>
  <r>
    <x v="192"/>
    <s v="february"/>
    <s v="Pinnacle Consulting Co."/>
    <s v="Electronic"/>
    <s v="Laptop"/>
    <x v="3"/>
    <s v="Male"/>
    <n v="30"/>
    <n v="518"/>
    <n v="858"/>
    <n v="15540"/>
    <n v="25740"/>
    <n v="10200"/>
    <s v="profit"/>
  </r>
  <r>
    <x v="76"/>
    <s v="september"/>
    <s v="Pure Harmony Solutions"/>
    <s v="Decor"/>
    <s v="Car accessories"/>
    <x v="13"/>
    <s v="Female"/>
    <n v="12"/>
    <n v="674"/>
    <n v="1265"/>
    <n v="8088"/>
    <n v="15180"/>
    <n v="7092"/>
    <s v="profit"/>
  </r>
  <r>
    <x v="193"/>
    <s v="february"/>
    <s v="Stellar Finance Group"/>
    <s v="Electronic"/>
    <s v="Laptop"/>
    <x v="4"/>
    <s v="Female"/>
    <n v="21"/>
    <n v="531"/>
    <n v="955"/>
    <n v="11151"/>
    <n v="20055"/>
    <n v="8904"/>
    <s v="profit"/>
  </r>
  <r>
    <x v="194"/>
    <s v="february"/>
    <s v="Harmony Ventures Group"/>
    <s v="Electronic"/>
    <s v="Laptop"/>
    <x v="6"/>
    <s v="Female"/>
    <n v="26"/>
    <n v="842"/>
    <n v="1074"/>
    <n v="21892"/>
    <n v="27924"/>
    <n v="6032"/>
    <s v="profit"/>
  </r>
  <r>
    <x v="198"/>
    <s v="april"/>
    <s v="Golden Horizon Ventures"/>
    <s v="Fashion "/>
    <s v="Women dress"/>
    <x v="15"/>
    <s v="Male"/>
    <n v="95"/>
    <n v="936"/>
    <n v="1350"/>
    <n v="88920"/>
    <n v="128250"/>
    <n v="39330"/>
    <s v="profit"/>
  </r>
  <r>
    <x v="199"/>
    <s v="april"/>
    <s v="Eternal Traditions"/>
    <s v="Fashion "/>
    <s v="Women dress"/>
    <x v="16"/>
    <s v="Male"/>
    <n v="84"/>
    <n v="784"/>
    <n v="965"/>
    <n v="65856"/>
    <n v="81060"/>
    <n v="15204"/>
    <s v="profit"/>
  </r>
  <r>
    <x v="200"/>
    <s v="april"/>
    <s v="Harmony Foods"/>
    <s v="Fashion "/>
    <s v="Women dress"/>
    <x v="8"/>
    <s v="Male"/>
    <n v="51"/>
    <n v="847"/>
    <n v="972"/>
    <n v="43197"/>
    <n v="49572"/>
    <n v="6375"/>
    <s v="profit"/>
  </r>
  <r>
    <x v="77"/>
    <s v="october"/>
    <s v="Modern Spectrum Solutions"/>
    <s v="Fashion "/>
    <s v="Saree"/>
    <x v="8"/>
    <s v="Female"/>
    <n v="52"/>
    <n v="546"/>
    <n v="1482"/>
    <n v="28392"/>
    <n v="77064"/>
    <n v="48672"/>
    <s v="profit"/>
  </r>
  <r>
    <x v="201"/>
    <s v="april"/>
    <s v="Sacred Roots Apparel"/>
    <s v="Fashion "/>
    <s v="Male dress"/>
    <x v="8"/>
    <s v="Female"/>
    <n v="68"/>
    <n v="534"/>
    <n v="1085"/>
    <n v="36312"/>
    <n v="73780"/>
    <n v="37468"/>
    <s v="profit"/>
  </r>
  <r>
    <x v="202"/>
    <s v="april"/>
    <s v="Quantum Finance Services"/>
    <s v="Fashion "/>
    <s v="Male dress"/>
    <x v="9"/>
    <s v="Female"/>
    <n v="68"/>
    <n v="575"/>
    <n v="1242"/>
    <n v="39100"/>
    <n v="84456"/>
    <n v="45356"/>
    <s v="profit"/>
  </r>
  <r>
    <x v="203"/>
    <s v="april"/>
    <s v="Brilliant Minds Academy"/>
    <s v="Fashion "/>
    <s v="Male dress"/>
    <x v="4"/>
    <s v="Female"/>
    <n v="79"/>
    <n v="537"/>
    <n v="850"/>
    <n v="42423"/>
    <n v="67150"/>
    <n v="24727"/>
    <s v="profit"/>
  </r>
  <r>
    <x v="204"/>
    <s v="april"/>
    <s v="Visionary Holdings"/>
    <s v="Fashion "/>
    <s v="Male dress"/>
    <x v="10"/>
    <s v="Female"/>
    <n v="65"/>
    <n v="935"/>
    <n v="752"/>
    <n v="60775"/>
    <n v="48880"/>
    <n v="-11895"/>
    <s v="loss"/>
  </r>
  <r>
    <x v="205"/>
    <s v="april"/>
    <s v="Stellar Design Studio"/>
    <s v="Fashion "/>
    <s v="Male dress"/>
    <x v="11"/>
    <s v="Female"/>
    <n v="66"/>
    <n v="709"/>
    <n v="1021"/>
    <n v="46794"/>
    <n v="67386"/>
    <n v="20592"/>
    <s v="profit"/>
  </r>
  <r>
    <x v="206"/>
    <s v="april"/>
    <s v="Classic Cuisines"/>
    <s v="Fashion "/>
    <s v="Male dress"/>
    <x v="6"/>
    <s v="Male"/>
    <n v="70"/>
    <n v="751"/>
    <n v="1485"/>
    <n v="52570"/>
    <n v="103950"/>
    <n v="51380"/>
    <s v="profit"/>
  </r>
  <r>
    <x v="81"/>
    <s v="october"/>
    <s v="Apex Creative Solutions"/>
    <s v="Fashion "/>
    <s v="Suit"/>
    <x v="3"/>
    <s v="Male"/>
    <n v="86"/>
    <n v="717"/>
    <n v="1445"/>
    <n v="61662"/>
    <n v="124270"/>
    <n v="62608"/>
    <s v="profit"/>
  </r>
  <r>
    <x v="207"/>
    <s v="april"/>
    <s v="Bold Ventures"/>
    <s v="Fashion "/>
    <s v="Male dress"/>
    <x v="7"/>
    <s v="Male"/>
    <n v="75"/>
    <n v="686"/>
    <n v="1254"/>
    <n v="51450"/>
    <n v="94050"/>
    <n v="42600"/>
    <s v="profit"/>
  </r>
  <r>
    <x v="208"/>
    <s v="may"/>
    <s v="Radiance Spa"/>
    <s v="Fashion "/>
    <s v="Saree"/>
    <x v="12"/>
    <s v="Male"/>
    <n v="91"/>
    <n v="518"/>
    <n v="1465"/>
    <n v="47138"/>
    <n v="133315"/>
    <n v="86177"/>
    <s v="profit"/>
  </r>
  <r>
    <x v="209"/>
    <s v="may"/>
    <s v="Verve Fitness Studio"/>
    <s v="Fashion "/>
    <s v="Saree"/>
    <x v="7"/>
    <s v="Female"/>
    <n v="96"/>
    <n v="791"/>
    <n v="931"/>
    <n v="75936"/>
    <n v="89376"/>
    <n v="13440"/>
    <s v="profit"/>
  </r>
  <r>
    <x v="210"/>
    <s v="may"/>
    <s v="Sparkle Cleaners"/>
    <s v="Fashion "/>
    <s v="Saree"/>
    <x v="7"/>
    <s v="Female"/>
    <n v="69"/>
    <n v="864"/>
    <n v="935"/>
    <n v="59616"/>
    <n v="64515"/>
    <n v="4899"/>
    <s v="profit"/>
  </r>
  <r>
    <x v="86"/>
    <s v="october"/>
    <s v="Radiance Solutions Group"/>
    <s v="Decor"/>
    <s v="Home décor"/>
    <x v="11"/>
    <s v="Female"/>
    <n v="20"/>
    <n v="784"/>
    <n v="1320"/>
    <n v="15680"/>
    <n v="26400"/>
    <n v="10720"/>
    <s v="profit"/>
  </r>
  <r>
    <x v="211"/>
    <s v="may"/>
    <s v="Global Reach Logistics"/>
    <s v="Fashion "/>
    <s v="Saree"/>
    <x v="8"/>
    <s v="Female"/>
    <n v="55"/>
    <n v="782"/>
    <n v="1335"/>
    <n v="43010"/>
    <n v="73425"/>
    <n v="30415"/>
    <s v="profit"/>
  </r>
  <r>
    <x v="212"/>
    <s v="may"/>
    <s v="Noble Path Finance"/>
    <s v="Fashion "/>
    <s v="Saree"/>
    <x v="4"/>
    <s v="Female"/>
    <n v="71"/>
    <n v="653"/>
    <n v="963"/>
    <n v="46363"/>
    <n v="68373"/>
    <n v="22010"/>
    <s v="profit"/>
  </r>
  <r>
    <x v="89"/>
    <s v="october"/>
    <s v="Modern Edge Solutions"/>
    <s v="Decor"/>
    <s v="Home décor"/>
    <x v="7"/>
    <s v="Female"/>
    <n v="19"/>
    <n v="664"/>
    <n v="1091"/>
    <n v="12616"/>
    <n v="20729"/>
    <n v="8113"/>
    <s v="profit"/>
  </r>
  <r>
    <x v="213"/>
    <s v="may"/>
    <s v="Dynamic Events Management"/>
    <s v="Fashion "/>
    <s v="Saree"/>
    <x v="8"/>
    <s v="Female"/>
    <n v="88"/>
    <n v="959"/>
    <n v="985"/>
    <n v="84392"/>
    <n v="86680"/>
    <n v="2288"/>
    <s v="profit"/>
  </r>
  <r>
    <x v="91"/>
    <s v="october"/>
    <s v="Horizon Health Solutions"/>
    <s v="Electronic"/>
    <s v="Speaker"/>
    <x v="13"/>
    <s v="Female"/>
    <n v="26"/>
    <n v="674"/>
    <n v="857"/>
    <n v="17524"/>
    <n v="22282"/>
    <n v="4758"/>
    <s v="profit"/>
  </r>
  <r>
    <x v="214"/>
    <s v="may"/>
    <s v="Crystal Waters Resort"/>
    <s v="Fashion "/>
    <s v="Saree"/>
    <x v="9"/>
    <s v="Female"/>
    <n v="72"/>
    <n v="805"/>
    <n v="826"/>
    <n v="57960"/>
    <n v="59472"/>
    <n v="1512"/>
    <s v="profit"/>
  </r>
  <r>
    <x v="93"/>
    <s v="october"/>
    <s v="Apex Marketing Solutions"/>
    <s v="Electronic"/>
    <s v="Earbuds"/>
    <x v="7"/>
    <s v="Male"/>
    <n v="29"/>
    <n v="774"/>
    <n v="793"/>
    <n v="22446"/>
    <n v="22997"/>
    <n v="551"/>
    <s v="profit"/>
  </r>
  <r>
    <x v="215"/>
    <s v="may"/>
    <s v="Excellence Tutors"/>
    <s v="Fashion "/>
    <s v="Saree"/>
    <x v="4"/>
    <s v="Female"/>
    <n v="53"/>
    <n v="665"/>
    <n v="1206"/>
    <n v="35245"/>
    <n v="63918"/>
    <n v="28673"/>
    <s v="profit"/>
  </r>
  <r>
    <x v="216"/>
    <s v="may"/>
    <s v="Horizon Builders"/>
    <s v="Fashion "/>
    <s v="Saree"/>
    <x v="10"/>
    <s v="Male"/>
    <n v="88"/>
    <n v="607"/>
    <n v="1268"/>
    <n v="53416"/>
    <n v="111584"/>
    <n v="58168"/>
    <s v="profit"/>
  </r>
  <r>
    <x v="217"/>
    <s v="may"/>
    <s v="Classic Heritage Crafts"/>
    <s v="Fashion "/>
    <s v="Saree"/>
    <x v="6"/>
    <s v="Male"/>
    <n v="99"/>
    <n v="657"/>
    <n v="1033"/>
    <n v="65043"/>
    <n v="102267"/>
    <n v="37224"/>
    <s v="profit"/>
  </r>
  <r>
    <x v="218"/>
    <s v="may"/>
    <s v="Prime Focus Media"/>
    <s v="Fashion "/>
    <s v="Suit"/>
    <x v="7"/>
    <s v="Male"/>
    <n v="88"/>
    <n v="977"/>
    <n v="1402"/>
    <n v="85976"/>
    <n v="123376"/>
    <n v="37400"/>
    <s v="profit"/>
  </r>
  <r>
    <x v="219"/>
    <s v="june"/>
    <s v="Noble Nutraceuticals"/>
    <s v="Fashion "/>
    <s v="Suit"/>
    <x v="7"/>
    <s v="Female"/>
    <n v="81"/>
    <n v="528"/>
    <n v="872"/>
    <n v="42768"/>
    <n v="70632"/>
    <n v="27864"/>
    <s v="profit"/>
  </r>
  <r>
    <x v="220"/>
    <s v="june"/>
    <s v="Supreme Travel Agency"/>
    <s v="Fashion "/>
    <s v="Suit"/>
    <x v="13"/>
    <s v="Male"/>
    <n v="74"/>
    <n v="870"/>
    <n v="1490"/>
    <n v="64380"/>
    <n v="110260"/>
    <n v="45880"/>
    <s v="profit"/>
  </r>
  <r>
    <x v="221"/>
    <s v="june"/>
    <s v="Future Vision Tech"/>
    <s v="Fashion "/>
    <s v="Suit"/>
    <x v="13"/>
    <s v="Male"/>
    <n v="83"/>
    <n v="655"/>
    <n v="1422"/>
    <n v="54365"/>
    <n v="118026"/>
    <n v="63661"/>
    <s v="profit"/>
  </r>
  <r>
    <x v="222"/>
    <s v="june"/>
    <s v="Urban Groove Apparel"/>
    <s v="Fashion "/>
    <s v="Suit"/>
    <x v="12"/>
    <s v="Male"/>
    <n v="99"/>
    <n v="649"/>
    <n v="1415"/>
    <n v="64251"/>
    <n v="140085"/>
    <n v="75834"/>
    <s v="profit"/>
  </r>
  <r>
    <x v="223"/>
    <s v="june"/>
    <s v="Echo Real Estate"/>
    <s v="Fashion "/>
    <s v="Suit"/>
    <x v="7"/>
    <s v="Male"/>
    <n v="97"/>
    <n v="917"/>
    <n v="844"/>
    <n v="88949"/>
    <n v="81868"/>
    <n v="-7081"/>
    <s v="loss"/>
  </r>
  <r>
    <x v="224"/>
    <s v="june"/>
    <s v="Pinnacle Health Products"/>
    <s v="Fashion "/>
    <s v="Suit"/>
    <x v="5"/>
    <s v="Female"/>
    <n v="57"/>
    <n v="793"/>
    <n v="761"/>
    <n v="45201"/>
    <n v="43377"/>
    <n v="-1824"/>
    <s v="loss"/>
  </r>
  <r>
    <x v="225"/>
    <s v="june"/>
    <s v="Apex Auto Care"/>
    <s v="Fashion "/>
    <s v="Suit"/>
    <x v="17"/>
    <s v="Female"/>
    <n v="84"/>
    <n v="931"/>
    <n v="1475"/>
    <n v="78204"/>
    <n v="123900"/>
    <n v="45696"/>
    <s v="profit"/>
  </r>
  <r>
    <x v="105"/>
    <s v="november"/>
    <s v="Radiance Solutions Co."/>
    <s v="Fashion "/>
    <s v="Male dress"/>
    <x v="5"/>
    <s v="Female"/>
    <n v="74"/>
    <n v="714"/>
    <n v="1148"/>
    <n v="52836"/>
    <n v="84952"/>
    <n v="32116"/>
    <s v="profit"/>
  </r>
  <r>
    <x v="226"/>
    <s v="june"/>
    <s v="Royal Glow Cosmetics"/>
    <s v="Fashion "/>
    <s v="Suit"/>
    <x v="8"/>
    <s v="Female"/>
    <n v="76"/>
    <n v="901"/>
    <n v="1471"/>
    <n v="68476"/>
    <n v="111796"/>
    <n v="43320"/>
    <s v="profit"/>
  </r>
  <r>
    <x v="227"/>
    <s v="june"/>
    <s v="Zenith Culinary Arts"/>
    <s v="Fashion "/>
    <s v="Suit"/>
    <x v="18"/>
    <s v="Female"/>
    <n v="93"/>
    <n v="658"/>
    <n v="1303"/>
    <n v="61194"/>
    <n v="121179"/>
    <n v="59985"/>
    <s v="profit"/>
  </r>
  <r>
    <x v="108"/>
    <s v="november"/>
    <s v="Horizon Creative Solutions"/>
    <s v="Fashion "/>
    <s v="Male dress"/>
    <x v="14"/>
    <s v="Female"/>
    <n v="73"/>
    <n v="957"/>
    <n v="814"/>
    <n v="69861"/>
    <n v="59422"/>
    <n v="-10439"/>
    <s v="loss"/>
  </r>
  <r>
    <x v="228"/>
    <s v="june"/>
    <s v="Visionary Tours"/>
    <s v="Fashion "/>
    <s v="Suit"/>
    <x v="19"/>
    <s v="Female"/>
    <n v="68"/>
    <n v="651"/>
    <n v="1061"/>
    <n v="44268"/>
    <n v="72148"/>
    <n v="27880"/>
    <s v="profit"/>
  </r>
  <r>
    <x v="229"/>
    <s v="june"/>
    <s v="Elite Essence Products"/>
    <s v="Fashion "/>
    <s v="Saree"/>
    <x v="3"/>
    <s v="Male"/>
    <n v="98"/>
    <n v="596"/>
    <n v="1155"/>
    <n v="58408"/>
    <n v="113190"/>
    <n v="54782"/>
    <s v="profit"/>
  </r>
  <r>
    <x v="230"/>
    <s v="june"/>
    <s v="Dynamic Creations"/>
    <s v="Fashion "/>
    <s v="Saree"/>
    <x v="15"/>
    <s v="Male"/>
    <n v="84"/>
    <n v="911"/>
    <n v="1370"/>
    <n v="76524"/>
    <n v="115080"/>
    <n v="38556"/>
    <s v="profit"/>
  </r>
  <r>
    <x v="231"/>
    <s v="june"/>
    <s v="Quantum Design Studio"/>
    <s v="Fashion "/>
    <s v="Saree"/>
    <x v="14"/>
    <s v="Male"/>
    <n v="81"/>
    <n v="702"/>
    <n v="1494"/>
    <n v="56862"/>
    <n v="121014"/>
    <n v="64152"/>
    <s v="profit"/>
  </r>
  <r>
    <x v="113"/>
    <s v="november"/>
    <s v="Urban Spectrum Solutions"/>
    <s v="Electronic"/>
    <s v="TV"/>
    <x v="16"/>
    <s v="Male"/>
    <n v="24"/>
    <n v="553"/>
    <n v="964"/>
    <n v="13272"/>
    <n v="23136"/>
    <n v="9864"/>
    <s v="profit"/>
  </r>
  <r>
    <x v="232"/>
    <s v="june"/>
    <s v="Apex Construction"/>
    <s v="Fashion "/>
    <s v="Saree"/>
    <x v="3"/>
    <s v="Female"/>
    <n v="58"/>
    <n v="510"/>
    <n v="1456"/>
    <n v="29580"/>
    <n v="84448"/>
    <n v="54868"/>
    <s v="profit"/>
  </r>
  <r>
    <x v="233"/>
    <s v="june"/>
    <s v="Legacy Innovations"/>
    <s v="Fashion "/>
    <s v="Suit"/>
    <x v="13"/>
    <s v="Female"/>
    <n v="59"/>
    <n v="506"/>
    <n v="1498"/>
    <n v="29854"/>
    <n v="88382"/>
    <n v="58528"/>
    <s v="profit"/>
  </r>
  <r>
    <x v="234"/>
    <s v="june"/>
    <s v="Pure Harmony Foods"/>
    <s v="Fashion "/>
    <s v="Suit"/>
    <x v="15"/>
    <s v="Male"/>
    <n v="51"/>
    <n v="868"/>
    <n v="938"/>
    <n v="44268"/>
    <n v="47838"/>
    <n v="3570"/>
    <s v="profit"/>
  </r>
  <r>
    <x v="117"/>
    <s v="november"/>
    <s v="Legacy Wellness Solutions"/>
    <s v="Electronic"/>
    <s v="TV"/>
    <x v="6"/>
    <s v="Female"/>
    <n v="22"/>
    <n v="688"/>
    <n v="985"/>
    <n v="15136"/>
    <n v="21670"/>
    <n v="6534"/>
    <s v="profit"/>
  </r>
  <r>
    <x v="235"/>
    <s v="june"/>
    <s v="Zenith Security Systems"/>
    <s v="Fashion "/>
    <s v="Suit"/>
    <x v="16"/>
    <s v="Male"/>
    <n v="76"/>
    <n v="602"/>
    <n v="1356"/>
    <n v="45752"/>
    <n v="103056"/>
    <n v="57304"/>
    <s v="profit"/>
  </r>
  <r>
    <x v="119"/>
    <s v="november"/>
    <s v="Horizon Media Solutions"/>
    <s v="Electronic"/>
    <s v="TV"/>
    <x v="7"/>
    <s v="Female"/>
    <n v="27"/>
    <n v="933"/>
    <n v="983"/>
    <n v="25191"/>
    <n v="26541"/>
    <n v="1350"/>
    <s v="profit"/>
  </r>
  <r>
    <x v="236"/>
    <s v="june"/>
    <s v="Crystal Clear Beverages"/>
    <s v="Fashion "/>
    <s v="Suit"/>
    <x v="6"/>
    <s v="Male"/>
    <n v="55"/>
    <n v="928"/>
    <n v="1264"/>
    <n v="51040"/>
    <n v="69520"/>
    <n v="18480"/>
    <s v="profit"/>
  </r>
  <r>
    <x v="237"/>
    <s v="june"/>
    <s v="Metro Line Tech"/>
    <s v="Fashion "/>
    <s v="Suit"/>
    <x v="8"/>
    <s v="Male"/>
    <n v="74"/>
    <n v="758"/>
    <n v="765"/>
    <n v="56092"/>
    <n v="56610"/>
    <n v="518"/>
    <s v="profit"/>
  </r>
  <r>
    <x v="238"/>
    <s v="june"/>
    <s v="Urban Pulse Consulting"/>
    <s v="Fashion "/>
    <s v="Suit"/>
    <x v="12"/>
    <s v="Male"/>
    <n v="88"/>
    <n v="566"/>
    <n v="1093"/>
    <n v="49808"/>
    <n v="96184"/>
    <n v="46376"/>
    <s v="profit"/>
  </r>
  <r>
    <x v="239"/>
    <s v="july"/>
    <s v="Legacy Design Group"/>
    <s v="Fashion "/>
    <s v="Saree"/>
    <x v="1"/>
    <s v="Female"/>
    <n v="58"/>
    <n v="898"/>
    <n v="1068"/>
    <n v="52084"/>
    <n v="61944"/>
    <n v="9860"/>
    <s v="profit"/>
  </r>
  <r>
    <x v="240"/>
    <s v="july"/>
    <s v="Supreme Wellness"/>
    <s v="Fashion "/>
    <s v="Saree"/>
    <x v="2"/>
    <s v="Female"/>
    <n v="83"/>
    <n v="943"/>
    <n v="867"/>
    <n v="78269"/>
    <n v="71961"/>
    <n v="-6308"/>
    <s v="loss"/>
  </r>
  <r>
    <x v="241"/>
    <s v="july"/>
    <s v="Harmony Tech Innovations"/>
    <s v="Fashion "/>
    <s v="Saree"/>
    <x v="3"/>
    <s v="Female"/>
    <n v="85"/>
    <n v="641"/>
    <n v="892"/>
    <n v="54485"/>
    <n v="75820"/>
    <n v="21335"/>
    <s v="profit"/>
  </r>
  <r>
    <x v="242"/>
    <s v="july"/>
    <s v="Stellar Education Services"/>
    <s v="Fashion "/>
    <s v="Saree"/>
    <x v="3"/>
    <s v="Female"/>
    <n v="57"/>
    <n v="784"/>
    <n v="859"/>
    <n v="44688"/>
    <n v="48963"/>
    <n v="4275"/>
    <s v="profit"/>
  </r>
  <r>
    <x v="243"/>
    <s v="july"/>
    <s v="Visionary Health Products"/>
    <s v="Fashion "/>
    <s v="Saree"/>
    <x v="4"/>
    <s v="Female"/>
    <n v="98"/>
    <n v="579"/>
    <n v="1046"/>
    <n v="56742"/>
    <n v="102508"/>
    <n v="45766"/>
    <s v="profit"/>
  </r>
  <r>
    <x v="244"/>
    <s v="july"/>
    <s v="Crystal Innovations"/>
    <s v="Fashion "/>
    <s v="Saree"/>
    <x v="5"/>
    <s v="Female"/>
    <n v="98"/>
    <n v="605"/>
    <n v="1155"/>
    <n v="59290"/>
    <n v="113190"/>
    <n v="53900"/>
    <s v="profit"/>
  </r>
  <r>
    <x v="129"/>
    <s v="november"/>
    <s v="Urban Vision Solutions"/>
    <s v="Electronic"/>
    <s v="Laptop"/>
    <x v="7"/>
    <s v="Female"/>
    <n v="20"/>
    <n v="989"/>
    <n v="1298"/>
    <n v="19780"/>
    <n v="25960"/>
    <n v="6180"/>
    <s v="profit"/>
  </r>
  <r>
    <x v="245"/>
    <s v="july"/>
    <s v="Future Trends Retail"/>
    <s v="Fashion "/>
    <s v="Saree"/>
    <x v="3"/>
    <s v="Female"/>
    <n v="63"/>
    <n v="952"/>
    <n v="824"/>
    <n v="59976"/>
    <n v="51912"/>
    <n v="-8064"/>
    <s v="loss"/>
  </r>
  <r>
    <x v="246"/>
    <s v="july"/>
    <s v="Radiant Horizon Ventures"/>
    <s v="Fashion "/>
    <s v="Saree"/>
    <x v="15"/>
    <s v="Female"/>
    <n v="91"/>
    <n v="938"/>
    <n v="1156"/>
    <n v="85358"/>
    <n v="105196"/>
    <n v="19838"/>
    <s v="profit"/>
  </r>
  <r>
    <x v="132"/>
    <s v="december"/>
    <s v="Pinnacle Travel Solutions"/>
    <s v="Electronic"/>
    <s v="Laptop"/>
    <x v="12"/>
    <s v="Male"/>
    <n v="26"/>
    <n v="870"/>
    <n v="1123"/>
    <n v="22620"/>
    <n v="29198"/>
    <n v="6578"/>
    <s v="profit"/>
  </r>
  <r>
    <x v="247"/>
    <s v="july"/>
    <s v="Urban Edge Realty"/>
    <s v="Fashion "/>
    <s v="Saree"/>
    <x v="14"/>
    <s v="Male"/>
    <n v="66"/>
    <n v="512"/>
    <n v="1208"/>
    <n v="33792"/>
    <n v="79728"/>
    <n v="45936"/>
    <s v="profit"/>
  </r>
  <r>
    <x v="248"/>
    <s v="july"/>
    <s v="Prime Focus Innovations"/>
    <s v="Fashion "/>
    <s v="Saree"/>
    <x v="8"/>
    <s v="Male"/>
    <n v="88"/>
    <n v="691"/>
    <n v="1394"/>
    <n v="60808"/>
    <n v="122672"/>
    <n v="61864"/>
    <s v="profit"/>
  </r>
  <r>
    <x v="249"/>
    <s v="august"/>
    <s v="Elite Spectrum Consulting"/>
    <s v="Fashion "/>
    <s v="Saree"/>
    <x v="3"/>
    <s v="Male"/>
    <n v="54"/>
    <n v="518"/>
    <n v="1106"/>
    <n v="27972"/>
    <n v="59724"/>
    <n v="31752"/>
    <s v="profit"/>
  </r>
  <r>
    <x v="250"/>
    <s v="august"/>
    <s v="Dynamic Design Studio"/>
    <s v="Fashion "/>
    <s v="Saree"/>
    <x v="13"/>
    <s v="Male"/>
    <n v="67"/>
    <n v="780"/>
    <n v="864"/>
    <n v="52260"/>
    <n v="57888"/>
    <n v="5628"/>
    <s v="profit"/>
  </r>
  <r>
    <x v="137"/>
    <s v="december"/>
    <s v="Harmony Health Solutions"/>
    <s v="Electronic"/>
    <s v="Laptop"/>
    <x v="18"/>
    <s v="Male"/>
    <n v="23"/>
    <n v="945"/>
    <n v="1268"/>
    <n v="21735"/>
    <n v="29164"/>
    <n v="7429"/>
    <s v="profit"/>
  </r>
  <r>
    <x v="251"/>
    <s v="august"/>
    <s v="Royal Crest Foods"/>
    <s v="Fashion "/>
    <s v="Suit"/>
    <x v="16"/>
    <s v="Female"/>
    <n v="85"/>
    <n v="853"/>
    <n v="1453"/>
    <n v="72505"/>
    <n v="123505"/>
    <n v="51000"/>
    <s v="profit"/>
  </r>
  <r>
    <x v="252"/>
    <s v="august"/>
    <s v="Zenith Travels"/>
    <s v="Fashion "/>
    <s v="Suit"/>
    <x v="6"/>
    <s v="Female"/>
    <n v="69"/>
    <n v="745"/>
    <n v="1075"/>
    <n v="51405"/>
    <n v="74175"/>
    <n v="22770"/>
    <s v="profit"/>
  </r>
  <r>
    <x v="140"/>
    <s v="december"/>
    <s v="Modern Vision Solutions"/>
    <s v="Fashion "/>
    <s v="Saree"/>
    <x v="1"/>
    <s v="Male"/>
    <n v="78"/>
    <n v="522"/>
    <n v="1064"/>
    <n v="40716"/>
    <n v="82992"/>
    <n v="42276"/>
    <s v="profit"/>
  </r>
  <r>
    <x v="253"/>
    <s v="august"/>
    <s v="Quantum Media Group"/>
    <s v="Fashion "/>
    <s v="Saree"/>
    <x v="7"/>
    <s v="Female"/>
    <n v="63"/>
    <n v="525"/>
    <n v="1182"/>
    <n v="33075"/>
    <n v="74466"/>
    <n v="41391"/>
    <s v="profit"/>
  </r>
  <r>
    <x v="254"/>
    <s v="august"/>
    <s v="Legacy Builders"/>
    <s v="Fashion "/>
    <s v="Saree"/>
    <x v="5"/>
    <s v="Female"/>
    <n v="73"/>
    <n v="709"/>
    <n v="1344"/>
    <n v="51757"/>
    <n v="98112"/>
    <n v="46355"/>
    <s v="profit"/>
  </r>
  <r>
    <x v="255"/>
    <s v="august"/>
    <s v="Apex Spa &amp; Wellness"/>
    <s v="Fashion "/>
    <s v="Saree"/>
    <x v="17"/>
    <s v="Female"/>
    <n v="74"/>
    <n v="914"/>
    <n v="1031"/>
    <n v="67636"/>
    <n v="76294"/>
    <n v="8658"/>
    <s v="profit"/>
  </r>
  <r>
    <x v="256"/>
    <s v="august"/>
    <s v="Radiant Travel Services"/>
    <s v="Fashion "/>
    <s v="Saree"/>
    <x v="8"/>
    <s v="Female"/>
    <n v="84"/>
    <n v="558"/>
    <n v="1477"/>
    <n v="46872"/>
    <n v="124068"/>
    <n v="77196"/>
    <s v="profit"/>
  </r>
  <r>
    <x v="145"/>
    <s v="december"/>
    <s v="Radiant Educational Solutions"/>
    <s v="Fashion "/>
    <s v="Saree"/>
    <x v="7"/>
    <s v="Female"/>
    <n v="60"/>
    <n v="642"/>
    <n v="1110"/>
    <n v="38520"/>
    <n v="66600"/>
    <n v="28080"/>
    <s v="profit"/>
  </r>
  <r>
    <x v="257"/>
    <s v="august"/>
    <s v="Modern Trends Consulting"/>
    <s v="Fashion "/>
    <s v="Saree"/>
    <x v="18"/>
    <s v="Female"/>
    <n v="99"/>
    <n v="934"/>
    <n v="1318"/>
    <n v="92466"/>
    <n v="130482"/>
    <n v="38016"/>
    <s v="profit"/>
  </r>
  <r>
    <x v="258"/>
    <s v="august"/>
    <s v="Global Horizon Ventures"/>
    <s v="Fashion "/>
    <s v="Saree"/>
    <x v="19"/>
    <s v="Female"/>
    <n v="52"/>
    <n v="576"/>
    <n v="1419"/>
    <n v="29952"/>
    <n v="73788"/>
    <n v="43836"/>
    <s v="profit"/>
  </r>
  <r>
    <x v="259"/>
    <s v="august"/>
    <s v="Elite Enterprises"/>
    <s v="Fashion "/>
    <s v="Saree"/>
    <x v="0"/>
    <s v="Male"/>
    <n v="98"/>
    <n v="769"/>
    <n v="1277"/>
    <n v="75362"/>
    <n v="125146"/>
    <n v="49784"/>
    <s v="profit"/>
  </r>
  <r>
    <x v="149"/>
    <s v="december"/>
    <s v="Zenith Creative Solutions"/>
    <s v="Fashion "/>
    <s v="Saree"/>
    <x v="7"/>
    <s v="Female"/>
    <n v="86"/>
    <n v="668"/>
    <n v="1278"/>
    <n v="57448"/>
    <n v="109908"/>
    <n v="52460"/>
    <s v="profit"/>
  </r>
  <r>
    <x v="260"/>
    <s v="september"/>
    <s v="Pinnacle Health Innovations"/>
    <s v="Fashion "/>
    <s v="Saree"/>
    <x v="2"/>
    <s v="Male"/>
    <n v="73"/>
    <n v="627"/>
    <n v="769"/>
    <n v="45771"/>
    <n v="56137"/>
    <n v="10366"/>
    <s v="profit"/>
  </r>
  <r>
    <x v="151"/>
    <s v="december"/>
    <s v="Pure Vision Solutions"/>
    <s v="Fashion "/>
    <s v="Suit"/>
    <x v="17"/>
    <s v="Female"/>
    <n v="57"/>
    <n v="995"/>
    <n v="912"/>
    <n v="56715"/>
    <n v="51984"/>
    <n v="-4731"/>
    <s v="loss"/>
  </r>
  <r>
    <x v="261"/>
    <s v="september"/>
    <s v="Horizon Fashion"/>
    <s v="Fashion "/>
    <s v="Suit"/>
    <x v="3"/>
    <s v="Male"/>
    <n v="93"/>
    <n v="847"/>
    <n v="1258"/>
    <n v="78771"/>
    <n v="116994"/>
    <n v="38223"/>
    <s v="profit"/>
  </r>
  <r>
    <x v="262"/>
    <s v="september"/>
    <s v="Crystal Essence Beverages"/>
    <s v="Fashion "/>
    <s v="Suit"/>
    <x v="3"/>
    <s v="Male"/>
    <n v="84"/>
    <n v="522"/>
    <n v="929"/>
    <n v="43848"/>
    <n v="78036"/>
    <n v="34188"/>
    <s v="profit"/>
  </r>
  <r>
    <x v="263"/>
    <s v="september"/>
    <s v="Dynamic Pathways"/>
    <s v="Fashion "/>
    <s v="Suit"/>
    <x v="4"/>
    <s v="Female"/>
    <n v="85"/>
    <n v="564"/>
    <n v="1049"/>
    <n v="47940"/>
    <n v="89165"/>
    <n v="41225"/>
    <s v="profit"/>
  </r>
  <r>
    <x v="264"/>
    <s v="september"/>
    <s v="Radiance Apparel"/>
    <s v="Fashion "/>
    <s v="Suit"/>
    <x v="3"/>
    <s v="Female"/>
    <n v="93"/>
    <n v="579"/>
    <n v="1402"/>
    <n v="53847"/>
    <n v="130386"/>
    <n v="76539"/>
    <s v="profit"/>
  </r>
  <r>
    <x v="156"/>
    <s v="december"/>
    <s v="Harmony Edge Solutions"/>
    <s v="Fashion "/>
    <s v="Suit"/>
    <x v="1"/>
    <s v="Male"/>
    <n v="93"/>
    <n v="886"/>
    <n v="1199"/>
    <n v="82398"/>
    <n v="111507"/>
    <n v="29109"/>
    <s v="profit"/>
  </r>
  <r>
    <x v="265"/>
    <s v="september"/>
    <s v="Zenith Design Group"/>
    <s v="Fashion "/>
    <s v="Suit"/>
    <x v="15"/>
    <s v="Male"/>
    <n v="56"/>
    <n v="724"/>
    <n v="1391"/>
    <n v="40544"/>
    <n v="77896"/>
    <n v="37352"/>
    <s v="profit"/>
  </r>
  <r>
    <x v="266"/>
    <s v="september"/>
    <s v="Modern Horizons Consulting"/>
    <s v="Fashion "/>
    <s v="Suit"/>
    <x v="8"/>
    <s v="Male"/>
    <n v="60"/>
    <n v="783"/>
    <n v="881"/>
    <n v="46980"/>
    <n v="52860"/>
    <n v="5880"/>
    <s v="profit"/>
  </r>
  <r>
    <x v="267"/>
    <s v="september"/>
    <s v="Apex Realty Services"/>
    <s v="Fashion "/>
    <s v="Suit"/>
    <x v="4"/>
    <s v="Male"/>
    <n v="81"/>
    <n v="948"/>
    <n v="904"/>
    <n v="76788"/>
    <n v="73224"/>
    <n v="-3564"/>
    <s v="loss"/>
  </r>
  <r>
    <x v="268"/>
    <s v="september"/>
    <s v="Zenith Educational Group"/>
    <s v="Fashion "/>
    <s v="Suit"/>
    <x v="8"/>
    <s v="Male"/>
    <n v="80"/>
    <n v="771"/>
    <n v="1090"/>
    <n v="61680"/>
    <n v="87200"/>
    <n v="25520"/>
    <s v="profit"/>
  </r>
  <r>
    <x v="269"/>
    <s v="september"/>
    <s v="True Path Ventures"/>
    <s v="Fashion "/>
    <s v="Suit"/>
    <x v="9"/>
    <s v="Female"/>
    <n v="88"/>
    <n v="943"/>
    <n v="1082"/>
    <n v="82984"/>
    <n v="95216"/>
    <n v="12232"/>
    <s v="profit"/>
  </r>
  <r>
    <x v="270"/>
    <s v="september"/>
    <s v="Radiance Media"/>
    <s v="Fashion "/>
    <s v="Suit"/>
    <x v="4"/>
    <s v="Male"/>
    <n v="68"/>
    <n v="909"/>
    <n v="1329"/>
    <n v="61812"/>
    <n v="90372"/>
    <n v="28560"/>
    <s v="profit"/>
  </r>
  <r>
    <x v="163"/>
    <s v="january"/>
    <s v="Pinnacle Media Solutions"/>
    <s v="Decor"/>
    <s v="Car accessories"/>
    <x v="15"/>
    <s v="Female"/>
    <n v="11"/>
    <n v="676"/>
    <n v="1050"/>
    <n v="7436"/>
    <n v="11550"/>
    <n v="4114"/>
    <s v="profit"/>
  </r>
  <r>
    <x v="271"/>
    <s v="september"/>
    <s v="Legacy Health Systems"/>
    <s v="Fashion "/>
    <s v="Suit"/>
    <x v="10"/>
    <s v="Male"/>
    <n v="65"/>
    <n v="568"/>
    <n v="1482"/>
    <n v="36920"/>
    <n v="96330"/>
    <n v="59410"/>
    <s v="profit"/>
  </r>
  <r>
    <x v="165"/>
    <s v="january"/>
    <s v="Radiant Tech Solutions"/>
    <s v="Decor"/>
    <s v="Car accessories"/>
    <x v="8"/>
    <s v="Female"/>
    <n v="13"/>
    <n v="521"/>
    <n v="1433"/>
    <n v="6773"/>
    <n v="18629"/>
    <n v="11856"/>
    <s v="profit"/>
  </r>
  <r>
    <x v="272"/>
    <s v="september"/>
    <s v="Urban Focus Products"/>
    <s v="Fashion "/>
    <s v="Suit"/>
    <x v="11"/>
    <s v="Male"/>
    <n v="58"/>
    <n v="758"/>
    <n v="1241"/>
    <n v="43964"/>
    <n v="71978"/>
    <n v="28014"/>
    <s v="profit"/>
  </r>
  <r>
    <x v="167"/>
    <s v="january"/>
    <s v="Elite Creative Solutions"/>
    <s v="Decor"/>
    <s v="Car accessories"/>
    <x v="2"/>
    <s v="Female"/>
    <n v="16"/>
    <n v="887"/>
    <n v="1059"/>
    <n v="14192"/>
    <n v="16944"/>
    <n v="2752"/>
    <s v="profit"/>
  </r>
  <r>
    <x v="273"/>
    <s v="october"/>
    <s v="Visionary Innovations"/>
    <s v="Fashion "/>
    <s v="Saree"/>
    <x v="5"/>
    <s v="Female"/>
    <n v="61"/>
    <n v="604"/>
    <n v="1251"/>
    <n v="36844"/>
    <n v="76311"/>
    <n v="39467"/>
    <s v="profit"/>
  </r>
  <r>
    <x v="274"/>
    <s v="october"/>
    <s v="Horizon Design Studio"/>
    <s v="Fashion "/>
    <s v="Saree"/>
    <x v="17"/>
    <s v="Female"/>
    <n v="62"/>
    <n v="641"/>
    <n v="869"/>
    <n v="39742"/>
    <n v="53878"/>
    <n v="14136"/>
    <s v="profit"/>
  </r>
  <r>
    <x v="275"/>
    <s v="october"/>
    <s v="Legacy Tech Products"/>
    <s v="Fashion "/>
    <s v="Saree"/>
    <x v="18"/>
    <s v="Female"/>
    <n v="53"/>
    <n v="913"/>
    <n v="1369"/>
    <n v="48389"/>
    <n v="72557"/>
    <n v="24168"/>
    <s v="profit"/>
  </r>
  <r>
    <x v="276"/>
    <s v="october"/>
    <s v="Pinnacle Wellness Services"/>
    <s v="Fashion "/>
    <s v="Saree"/>
    <x v="19"/>
    <s v="Female"/>
    <n v="56"/>
    <n v="840"/>
    <n v="1353"/>
    <n v="47040"/>
    <n v="75768"/>
    <n v="28728"/>
    <s v="profit"/>
  </r>
  <r>
    <x v="277"/>
    <s v="october"/>
    <s v="Urban Insight Consulting"/>
    <s v="Fashion "/>
    <s v="Suit"/>
    <x v="0"/>
    <s v="Female"/>
    <n v="85"/>
    <n v="541"/>
    <n v="1331"/>
    <n v="45985"/>
    <n v="113135"/>
    <n v="67150"/>
    <s v="profit"/>
  </r>
  <r>
    <x v="278"/>
    <s v="october"/>
    <s v="Crystal Horizons"/>
    <s v="Fashion "/>
    <s v="Suit"/>
    <x v="1"/>
    <s v="Female"/>
    <n v="56"/>
    <n v="611"/>
    <n v="1240"/>
    <n v="34216"/>
    <n v="69440"/>
    <n v="35224"/>
    <s v="profit"/>
  </r>
  <r>
    <x v="174"/>
    <s v="january"/>
    <s v="Pinnacle Design Solutions"/>
    <s v="Fashion "/>
    <s v="Suit"/>
    <x v="12"/>
    <s v="Male"/>
    <n v="90"/>
    <n v="554"/>
    <n v="940"/>
    <n v="49860"/>
    <n v="84600"/>
    <n v="34740"/>
    <s v="profit"/>
  </r>
  <r>
    <x v="279"/>
    <s v="october"/>
    <s v="Radiant Apparel"/>
    <s v="Fashion "/>
    <s v="Suit"/>
    <x v="2"/>
    <s v="Female"/>
    <n v="91"/>
    <n v="867"/>
    <n v="957"/>
    <n v="78897"/>
    <n v="87087"/>
    <n v="8190"/>
    <s v="profit"/>
  </r>
  <r>
    <x v="280"/>
    <s v="october"/>
    <s v="True Value Products"/>
    <s v="Fashion "/>
    <s v="Suit"/>
    <x v="3"/>
    <s v="Female"/>
    <n v="95"/>
    <n v="508"/>
    <n v="783"/>
    <n v="48260"/>
    <n v="74385"/>
    <n v="26125"/>
    <s v="profit"/>
  </r>
  <r>
    <x v="281"/>
    <s v="october"/>
    <s v="Zenith Health Products"/>
    <s v="Fashion "/>
    <s v="Suit"/>
    <x v="4"/>
    <s v="Male"/>
    <n v="75"/>
    <n v="549"/>
    <n v="1108"/>
    <n v="41175"/>
    <n v="83100"/>
    <n v="41925"/>
    <s v="profit"/>
  </r>
  <r>
    <x v="282"/>
    <s v="october"/>
    <s v="Stellar Wellness Products"/>
    <s v="Fashion "/>
    <s v="Women dress"/>
    <x v="17"/>
    <s v="Male"/>
    <n v="95"/>
    <n v="845"/>
    <n v="1102"/>
    <n v="80275"/>
    <n v="104690"/>
    <n v="24415"/>
    <s v="profit"/>
  </r>
  <r>
    <x v="283"/>
    <s v="october"/>
    <s v="Radiant Consulting Group"/>
    <s v="Fashion "/>
    <s v="Women dress"/>
    <x v="8"/>
    <s v="Male"/>
    <n v="86"/>
    <n v="949"/>
    <n v="924"/>
    <n v="81614"/>
    <n v="79464"/>
    <n v="-2150"/>
    <s v="loss"/>
  </r>
  <r>
    <x v="180"/>
    <s v="january"/>
    <s v="Pure Harmony Solutions"/>
    <s v="Decor"/>
    <s v="Home décor"/>
    <x v="19"/>
    <s v="Female"/>
    <n v="11"/>
    <n v="587"/>
    <n v="1386"/>
    <n v="6457"/>
    <n v="15246"/>
    <n v="8789"/>
    <s v="profit"/>
  </r>
  <r>
    <x v="284"/>
    <s v="october"/>
    <s v="Harmony Ventures Co."/>
    <s v="Fashion "/>
    <s v="Women dress"/>
    <x v="18"/>
    <s v="Female"/>
    <n v="73"/>
    <n v="801"/>
    <n v="1092"/>
    <n v="58473"/>
    <n v="79716"/>
    <n v="21243"/>
    <s v="profit"/>
  </r>
  <r>
    <x v="285"/>
    <s v="october"/>
    <s v="Urban Path Technologies"/>
    <s v="Fashion "/>
    <s v="Women dress"/>
    <x v="19"/>
    <s v="Male"/>
    <n v="70"/>
    <n v="699"/>
    <n v="1090"/>
    <n v="48930"/>
    <n v="76300"/>
    <n v="27370"/>
    <s v="profit"/>
  </r>
  <r>
    <x v="286"/>
    <s v="november"/>
    <s v="Modern Vision Ventures"/>
    <s v="Fashion "/>
    <s v="Male dress"/>
    <x v="3"/>
    <s v="Female"/>
    <n v="67"/>
    <n v="674"/>
    <n v="1413"/>
    <n v="45158"/>
    <n v="94671"/>
    <n v="49513"/>
    <s v="profit"/>
  </r>
  <r>
    <x v="287"/>
    <s v="november"/>
    <s v="Elite Travel Services"/>
    <s v="Fashion "/>
    <s v="Male dress"/>
    <x v="15"/>
    <s v="Female"/>
    <n v="55"/>
    <n v="599"/>
    <n v="1482"/>
    <n v="32945"/>
    <n v="81510"/>
    <n v="48565"/>
    <s v="profit"/>
  </r>
  <r>
    <x v="288"/>
    <s v="november"/>
    <s v="Crystal Innovations Group"/>
    <s v="Fashion "/>
    <s v="Male dress"/>
    <x v="8"/>
    <s v="Female"/>
    <n v="90"/>
    <n v="962"/>
    <n v="1495"/>
    <n v="86580"/>
    <n v="134550"/>
    <n v="47970"/>
    <s v="profit"/>
  </r>
  <r>
    <x v="186"/>
    <s v="january"/>
    <s v="Zenith Path Solutions"/>
    <s v="Decor"/>
    <s v="Home décor"/>
    <x v="4"/>
    <s v="Female"/>
    <n v="18"/>
    <n v="910"/>
    <n v="1065"/>
    <n v="16380"/>
    <n v="19170"/>
    <n v="2790"/>
    <s v="profit"/>
  </r>
  <r>
    <x v="289"/>
    <s v="november"/>
    <s v="Pinnacle Fitness Studio"/>
    <s v="Fashion "/>
    <s v="Male dress"/>
    <x v="3"/>
    <s v="Female"/>
    <n v="71"/>
    <n v="739"/>
    <n v="1353"/>
    <n v="52469"/>
    <n v="96063"/>
    <n v="43594"/>
    <s v="profit"/>
  </r>
  <r>
    <x v="290"/>
    <s v="november"/>
    <s v="Stellar Travel Agency"/>
    <s v="Fashion "/>
    <s v="Male dress"/>
    <x v="13"/>
    <s v="Female"/>
    <n v="63"/>
    <n v="691"/>
    <n v="1058"/>
    <n v="43533"/>
    <n v="66654"/>
    <n v="23121"/>
    <s v="profit"/>
  </r>
  <r>
    <x v="291"/>
    <s v="december"/>
    <s v="Apex Travel Ventures"/>
    <s v="Fashion "/>
    <s v="Saree"/>
    <x v="0"/>
    <s v="Male"/>
    <n v="99"/>
    <n v="705"/>
    <n v="1356"/>
    <n v="69795"/>
    <n v="134244"/>
    <n v="64449"/>
    <s v="profit"/>
  </r>
  <r>
    <x v="190"/>
    <s v="january"/>
    <s v="Legacy Media Solutions"/>
    <s v="Decor"/>
    <s v="Home décor"/>
    <x v="5"/>
    <s v="Male"/>
    <n v="11"/>
    <n v="543"/>
    <n v="1153"/>
    <n v="5973"/>
    <n v="12683"/>
    <n v="6710"/>
    <s v="profit"/>
  </r>
  <r>
    <x v="292"/>
    <s v="december"/>
    <s v="True Path Consulting"/>
    <s v="Fashion "/>
    <s v="Saree"/>
    <x v="2"/>
    <s v="Female"/>
    <n v="74"/>
    <n v="922"/>
    <n v="970"/>
    <n v="68228"/>
    <n v="71780"/>
    <n v="3552"/>
    <s v="profit"/>
  </r>
  <r>
    <x v="293"/>
    <s v="december"/>
    <s v="Legacy Finance Group"/>
    <s v="Fashion "/>
    <s v="Saree"/>
    <x v="3"/>
    <s v="Female"/>
    <n v="72"/>
    <n v="560"/>
    <n v="918"/>
    <n v="40320"/>
    <n v="66096"/>
    <n v="25776"/>
    <s v="profit"/>
  </r>
  <r>
    <x v="294"/>
    <s v="december"/>
    <s v="Pinnacle Design Ventures"/>
    <s v="Fashion "/>
    <s v="Saree"/>
    <x v="6"/>
    <s v="Female"/>
    <n v="59"/>
    <n v="834"/>
    <n v="951"/>
    <n v="49206"/>
    <n v="56109"/>
    <n v="6903"/>
    <s v="profit"/>
  </r>
  <r>
    <x v="295"/>
    <s v="december"/>
    <s v="Stellar Innovations Co."/>
    <s v="Fashion "/>
    <s v="Saree"/>
    <x v="7"/>
    <s v="Female"/>
    <n v="83"/>
    <n v="840"/>
    <n v="828"/>
    <n v="69720"/>
    <n v="68724"/>
    <n v="-996"/>
    <s v="loss"/>
  </r>
  <r>
    <x v="296"/>
    <s v="december"/>
    <s v="Harmony Marketing Co."/>
    <s v="Fashion "/>
    <s v="Saree"/>
    <x v="13"/>
    <s v="Female"/>
    <n v="64"/>
    <n v="965"/>
    <n v="1357"/>
    <n v="61760"/>
    <n v="86848"/>
    <n v="25088"/>
    <s v="profit"/>
  </r>
  <r>
    <x v="297"/>
    <s v="december"/>
    <s v="Urban Tech Innovations"/>
    <s v="Fashion "/>
    <s v="Saree"/>
    <x v="13"/>
    <s v="Female"/>
    <n v="59"/>
    <n v="671"/>
    <n v="1410"/>
    <n v="39589"/>
    <n v="83190"/>
    <n v="43601"/>
    <s v="profit"/>
  </r>
  <r>
    <x v="298"/>
    <s v="december"/>
    <s v="Crystal Wellness Group"/>
    <s v="Fashion "/>
    <s v="Saree"/>
    <x v="12"/>
    <s v="Female"/>
    <n v="85"/>
    <n v="761"/>
    <n v="926"/>
    <n v="64685"/>
    <n v="78710"/>
    <n v="14025"/>
    <s v="profit"/>
  </r>
  <r>
    <x v="299"/>
    <s v="december"/>
    <s v="Apex Media Co."/>
    <s v="Fashion "/>
    <s v="Saree"/>
    <x v="5"/>
    <s v="Female"/>
    <n v="81"/>
    <n v="522"/>
    <n v="1238"/>
    <n v="42282"/>
    <n v="100278"/>
    <n v="57996"/>
    <s v="profit"/>
  </r>
  <r>
    <x v="300"/>
    <s v="december"/>
    <s v="Legacy Health Ventures"/>
    <s v="Fashion "/>
    <s v="Suit"/>
    <x v="8"/>
    <s v="Female"/>
    <n v="72"/>
    <n v="943"/>
    <n v="1233"/>
    <n v="67896"/>
    <n v="88776"/>
    <n v="20880"/>
    <s v="profit"/>
  </r>
  <r>
    <x v="301"/>
    <s v="december"/>
    <s v="Pinnacle Spectrum Co."/>
    <s v="Fashion "/>
    <s v="Suit"/>
    <x v="18"/>
    <s v="Female"/>
    <n v="67"/>
    <n v="801"/>
    <n v="1220"/>
    <n v="53667"/>
    <n v="81740"/>
    <n v="28073"/>
    <s v="profit"/>
  </r>
  <r>
    <x v="195"/>
    <s v="february"/>
    <s v="Radiant Solutions Co."/>
    <s v="Electronic"/>
    <s v="Laptop"/>
    <x v="5"/>
    <s v="Female"/>
    <n v="29"/>
    <n v="725"/>
    <n v="792"/>
    <n v="21025"/>
    <n v="22968"/>
    <n v="1943"/>
    <s v="profit"/>
  </r>
  <r>
    <x v="302"/>
    <s v="december"/>
    <s v="Stellar Travel Products"/>
    <s v="Fashion "/>
    <s v="Suit"/>
    <x v="19"/>
    <s v="Female"/>
    <n v="57"/>
    <n v="647"/>
    <n v="905"/>
    <n v="36879"/>
    <n v="51585"/>
    <n v="14706"/>
    <s v="profit"/>
  </r>
  <r>
    <x v="303"/>
    <s v="december"/>
    <s v="Radiance Finance Services"/>
    <s v="Fashion "/>
    <s v="Suit"/>
    <x v="0"/>
    <s v="Female"/>
    <n v="91"/>
    <n v="906"/>
    <n v="925"/>
    <n v="82446"/>
    <n v="84175"/>
    <n v="1729"/>
    <s v="profit"/>
  </r>
  <r>
    <x v="304"/>
    <s v="december"/>
    <s v="Modern Travel Agency"/>
    <s v="Fashion "/>
    <s v="Suit"/>
    <x v="2"/>
    <s v="Male"/>
    <n v="82"/>
    <n v="955"/>
    <n v="1218"/>
    <n v="78310"/>
    <n v="99876"/>
    <n v="21566"/>
    <s v="profit"/>
  </r>
  <r>
    <x v="196"/>
    <s v="february"/>
    <s v="Modern Travel Solutions"/>
    <s v="Fashion "/>
    <s v="Saree"/>
    <x v="13"/>
    <s v="Female"/>
    <n v="59"/>
    <n v="725"/>
    <n v="1113"/>
    <n v="42775"/>
    <n v="65667"/>
    <n v="22892"/>
    <s v="profit"/>
  </r>
  <r>
    <x v="305"/>
    <s v="december"/>
    <s v="Crystal Path Consulting"/>
    <s v="Fashion "/>
    <s v="Suit"/>
    <x v="3"/>
    <s v="Male"/>
    <n v="72"/>
    <n v="829"/>
    <n v="1165"/>
    <n v="59688"/>
    <n v="83880"/>
    <n v="24192"/>
    <s v="profit"/>
  </r>
  <r>
    <x v="306"/>
    <s v="december"/>
    <s v="Zenith Educational Services"/>
    <s v="Fashion "/>
    <s v="Suit"/>
    <x v="3"/>
    <s v="Male"/>
    <n v="62"/>
    <n v="680"/>
    <n v="912"/>
    <n v="42160"/>
    <n v="56544"/>
    <n v="14384"/>
    <s v="profit"/>
  </r>
  <r>
    <x v="307"/>
    <s v="december"/>
    <s v="Apex Innovations Co."/>
    <s v="Fashion "/>
    <s v="Suit"/>
    <x v="4"/>
    <s v="Male"/>
    <n v="67"/>
    <n v="600"/>
    <n v="1328"/>
    <n v="40200"/>
    <n v="88976"/>
    <n v="48776"/>
    <s v="profit"/>
  </r>
  <r>
    <x v="308"/>
    <s v="january"/>
    <s v="Pure Harmony Health"/>
    <s v="Fashion "/>
    <s v="Suit"/>
    <x v="5"/>
    <s v="Female"/>
    <n v="97"/>
    <n v="946"/>
    <n v="1297"/>
    <n v="91762"/>
    <n v="125809"/>
    <n v="34047"/>
    <s v="profit"/>
  </r>
  <r>
    <x v="309"/>
    <s v="january"/>
    <s v="Apex Travel Innovations"/>
    <s v="Fashion "/>
    <s v="Saree"/>
    <x v="6"/>
    <s v="Male"/>
    <n v="62"/>
    <n v="800"/>
    <n v="882"/>
    <n v="49600"/>
    <n v="54684"/>
    <n v="5084"/>
    <s v="profit"/>
  </r>
  <r>
    <x v="310"/>
    <s v="january"/>
    <s v="Modern Health Products"/>
    <s v="Fashion "/>
    <s v="Saree"/>
    <x v="7"/>
    <s v="Male"/>
    <n v="65"/>
    <n v="875"/>
    <n v="1361"/>
    <n v="56875"/>
    <n v="88465"/>
    <n v="31590"/>
    <s v="profit"/>
  </r>
  <r>
    <x v="197"/>
    <s v="february"/>
    <s v="Zenith Tech Solutions"/>
    <s v="Fashion "/>
    <s v="Saree"/>
    <x v="18"/>
    <s v="Male"/>
    <n v="100"/>
    <n v="831"/>
    <n v="1466"/>
    <n v="83100"/>
    <n v="146600"/>
    <n v="63500"/>
    <s v="profit"/>
  </r>
  <r>
    <x v="311"/>
    <s v="january"/>
    <s v="Harmony Finance Group"/>
    <s v="Fashion "/>
    <s v="Saree"/>
    <x v="7"/>
    <s v="Male"/>
    <n v="88"/>
    <n v="823"/>
    <n v="1026"/>
    <n v="72424"/>
    <n v="90288"/>
    <n v="17864"/>
    <s v="profit"/>
  </r>
  <r>
    <x v="312"/>
    <s v="january"/>
    <s v="Pure Vision Consulting"/>
    <s v="Fashion "/>
    <s v="Saree"/>
    <x v="13"/>
    <s v="Female"/>
    <n v="54"/>
    <n v="664"/>
    <n v="761"/>
    <n v="35856"/>
    <n v="41094"/>
    <n v="5238"/>
    <s v="profit"/>
  </r>
  <r>
    <x v="313"/>
    <s v="january"/>
    <s v="Legacy Spectrum Co."/>
    <s v="Fashion "/>
    <s v="Saree"/>
    <x v="13"/>
    <s v="Male"/>
    <n v="52"/>
    <n v="538"/>
    <n v="1257"/>
    <n v="27976"/>
    <n v="65364"/>
    <n v="37388"/>
    <s v="profit"/>
  </r>
  <r>
    <x v="314"/>
    <s v="january"/>
    <s v="Stellar Media Services"/>
    <s v="Fashion "/>
    <s v="Suit"/>
    <x v="7"/>
    <s v="Male"/>
    <n v="81"/>
    <n v="556"/>
    <n v="1345"/>
    <n v="45036"/>
    <n v="108945"/>
    <n v="63909"/>
    <s v="profit"/>
  </r>
  <r>
    <x v="315"/>
    <s v="january"/>
    <s v="Radiant Innovations Group"/>
    <s v="Fashion "/>
    <s v="Suit"/>
    <x v="5"/>
    <s v="Male"/>
    <n v="72"/>
    <n v="608"/>
    <n v="1209"/>
    <n v="43776"/>
    <n v="87048"/>
    <n v="43272"/>
    <s v="profit"/>
  </r>
  <r>
    <x v="316"/>
    <s v="january"/>
    <s v="Horizon Path Ventures"/>
    <s v="Fashion "/>
    <s v="Suit"/>
    <x v="17"/>
    <s v="Female"/>
    <n v="61"/>
    <n v="994"/>
    <n v="886"/>
    <n v="60634"/>
    <n v="54046"/>
    <n v="-6588"/>
    <s v="loss"/>
  </r>
  <r>
    <x v="317"/>
    <s v="january"/>
    <s v="Zenith Tech Co."/>
    <s v="Fashion "/>
    <s v="Suit"/>
    <x v="8"/>
    <s v="Female"/>
    <n v="57"/>
    <n v="566"/>
    <n v="830"/>
    <n v="32262"/>
    <n v="47310"/>
    <n v="15048"/>
    <s v="profit"/>
  </r>
  <r>
    <x v="318"/>
    <s v="january"/>
    <s v="Apex Finance Ventures"/>
    <s v="Fashion "/>
    <s v="Suit"/>
    <x v="18"/>
    <s v="Female"/>
    <n v="50"/>
    <n v="714"/>
    <n v="1071"/>
    <n v="35700"/>
    <n v="53550"/>
    <n v="17850"/>
    <s v="profit"/>
  </r>
  <r>
    <x v="319"/>
    <s v="february"/>
    <s v="Zenith Wellness Co."/>
    <s v="Fashion "/>
    <s v="Saree"/>
    <x v="7"/>
    <s v="Female"/>
    <n v="80"/>
    <n v="636"/>
    <n v="1259"/>
    <n v="50880"/>
    <n v="100720"/>
    <n v="49840"/>
    <s v="profit"/>
  </r>
  <r>
    <x v="320"/>
    <s v="february"/>
    <s v="Apex Design Services"/>
    <s v="Fashion "/>
    <s v="Saree"/>
    <x v="7"/>
    <s v="Female"/>
    <n v="50"/>
    <n v="581"/>
    <n v="1380"/>
    <n v="29050"/>
    <n v="69000"/>
    <n v="39950"/>
    <s v="profit"/>
  </r>
  <r>
    <x v="6"/>
    <s v="april"/>
    <s v="Apex Solutions"/>
    <s v="Fashion "/>
    <s v="Women dress"/>
    <x v="6"/>
    <s v="Male"/>
    <n v="78"/>
    <n v="655"/>
    <n v="790"/>
    <n v="51090"/>
    <n v="61620"/>
    <n v="10530"/>
    <s v="profit"/>
  </r>
  <r>
    <x v="321"/>
    <s v="february"/>
    <s v="Pure Health Ventures"/>
    <s v="Fashion "/>
    <s v="Saree"/>
    <x v="13"/>
    <s v="Female"/>
    <n v="78"/>
    <n v="964"/>
    <n v="1264"/>
    <n v="75192"/>
    <n v="98592"/>
    <n v="23400"/>
    <s v="profit"/>
  </r>
  <r>
    <x v="322"/>
    <s v="february"/>
    <s v="Legacy Spectrum Group"/>
    <s v="Fashion "/>
    <s v="Saree"/>
    <x v="12"/>
    <s v="Male"/>
    <n v="97"/>
    <n v="982"/>
    <n v="1243"/>
    <n v="95254"/>
    <n v="120571"/>
    <n v="25317"/>
    <s v="profit"/>
  </r>
  <r>
    <x v="323"/>
    <s v="february"/>
    <s v="Pinnacle Media Ventures"/>
    <s v="Fashion "/>
    <s v="Saree"/>
    <x v="7"/>
    <s v="Male"/>
    <n v="93"/>
    <n v="736"/>
    <n v="864"/>
    <n v="68448"/>
    <n v="80352"/>
    <n v="11904"/>
    <s v="profit"/>
  </r>
  <r>
    <x v="324"/>
    <s v="february"/>
    <s v="Stellar Innovations Group"/>
    <s v="Fashion "/>
    <s v="Saree"/>
    <x v="5"/>
    <s v="Male"/>
    <n v="51"/>
    <n v="608"/>
    <n v="1179"/>
    <n v="31008"/>
    <n v="60129"/>
    <n v="29121"/>
    <s v="profit"/>
  </r>
  <r>
    <x v="325"/>
    <s v="february"/>
    <s v="Radiant Educational Co."/>
    <s v="Fashion "/>
    <s v="Saree"/>
    <x v="17"/>
    <s v="Male"/>
    <n v="95"/>
    <n v="642"/>
    <n v="796"/>
    <n v="60990"/>
    <n v="75620"/>
    <n v="14630"/>
    <s v="profit"/>
  </r>
  <r>
    <x v="12"/>
    <s v="april"/>
    <s v="Metro Tech Solutions"/>
    <s v="Electronic"/>
    <s v="Speaker"/>
    <x v="8"/>
    <s v="Female"/>
    <n v="22"/>
    <n v="755"/>
    <n v="996"/>
    <n v="16610"/>
    <n v="21912"/>
    <n v="5302"/>
    <s v="profit"/>
  </r>
  <r>
    <x v="326"/>
    <s v="february"/>
    <s v="Harmony Edge Ventures"/>
    <s v="Fashion "/>
    <s v="Saree"/>
    <x v="8"/>
    <s v="Female"/>
    <n v="90"/>
    <n v="713"/>
    <n v="1148"/>
    <n v="64170"/>
    <n v="103320"/>
    <n v="39150"/>
    <s v="profit"/>
  </r>
  <r>
    <x v="327"/>
    <s v="february"/>
    <s v="Apex Finance Group"/>
    <s v="Fashion "/>
    <s v="Saree"/>
    <x v="19"/>
    <s v="Male"/>
    <n v="81"/>
    <n v="813"/>
    <n v="1428"/>
    <n v="65853"/>
    <n v="115668"/>
    <n v="49815"/>
    <s v="profit"/>
  </r>
  <r>
    <x v="328"/>
    <s v="february"/>
    <s v="Pure Harmony Media"/>
    <s v="Fashion "/>
    <s v="Saree"/>
    <x v="0"/>
    <s v="Male"/>
    <n v="57"/>
    <n v="912"/>
    <n v="1246"/>
    <n v="51984"/>
    <n v="71022"/>
    <n v="19038"/>
    <s v="profit"/>
  </r>
  <r>
    <x v="329"/>
    <s v="february"/>
    <s v="Legacy Health Co."/>
    <s v="Fashion "/>
    <s v="Suit"/>
    <x v="1"/>
    <s v="Male"/>
    <n v="61"/>
    <n v="565"/>
    <n v="1212"/>
    <n v="34465"/>
    <n v="73932"/>
    <n v="39467"/>
    <s v="profit"/>
  </r>
  <r>
    <x v="330"/>
    <s v="february"/>
    <s v="ACCOUNTS EXPERT"/>
    <s v="Fashion "/>
    <s v="CHAIR"/>
    <x v="1"/>
    <s v="Male"/>
    <n v="62"/>
    <n v="805"/>
    <n v="1163"/>
    <n v="49910"/>
    <n v="72106"/>
    <n v="22196"/>
    <s v="profit"/>
  </r>
  <r>
    <x v="198"/>
    <s v="april"/>
    <s v="Golden Horizon Ventures"/>
    <s v="Fashion "/>
    <s v="Women dress"/>
    <x v="15"/>
    <s v="Male"/>
    <n v="74"/>
    <n v="743"/>
    <n v="1265"/>
    <n v="54982"/>
    <n v="93610"/>
    <n v="38628"/>
    <s v="profit"/>
  </r>
  <r>
    <x v="199"/>
    <s v="april"/>
    <s v="Eternal Traditions"/>
    <s v="Fashion "/>
    <s v="Women dress"/>
    <x v="16"/>
    <s v="Male"/>
    <n v="83"/>
    <n v="594"/>
    <n v="852"/>
    <n v="49302"/>
    <n v="70716"/>
    <n v="21414"/>
    <s v="profit"/>
  </r>
  <r>
    <x v="200"/>
    <s v="april"/>
    <s v="Harmony Foods"/>
    <s v="Fashion "/>
    <s v="Women dress"/>
    <x v="8"/>
    <s v="Male"/>
    <n v="70"/>
    <n v="878"/>
    <n v="844"/>
    <n v="61460"/>
    <n v="59080"/>
    <n v="-2380"/>
    <s v="loss"/>
  </r>
  <r>
    <x v="201"/>
    <s v="april"/>
    <s v="Sacred Roots Apparel"/>
    <s v="Fashion "/>
    <s v="Male dress"/>
    <x v="8"/>
    <s v="Female"/>
    <n v="57"/>
    <n v="724"/>
    <n v="839"/>
    <n v="41268"/>
    <n v="47823"/>
    <n v="6555"/>
    <s v="profit"/>
  </r>
  <r>
    <x v="22"/>
    <s v="april"/>
    <s v="Elite Marketing Solutions"/>
    <s v="Electronic"/>
    <s v="TV"/>
    <x v="13"/>
    <s v="Male"/>
    <n v="23"/>
    <n v="627"/>
    <n v="855"/>
    <n v="14421"/>
    <n v="19665"/>
    <n v="5244"/>
    <s v="profit"/>
  </r>
  <r>
    <x v="202"/>
    <s v="april"/>
    <s v="Quantum Finance Services"/>
    <s v="Fashion "/>
    <s v="Male dress"/>
    <x v="9"/>
    <s v="Female"/>
    <n v="50"/>
    <n v="537"/>
    <n v="1172"/>
    <n v="26850"/>
    <n v="58600"/>
    <n v="31750"/>
    <s v="profit"/>
  </r>
  <r>
    <x v="24"/>
    <s v="april"/>
    <s v="Crystal Clear Solutions"/>
    <s v="Electronic"/>
    <s v="TV"/>
    <x v="12"/>
    <s v="Female"/>
    <n v="23"/>
    <n v="938"/>
    <n v="1336"/>
    <n v="21574"/>
    <n v="30728"/>
    <n v="9154"/>
    <s v="profit"/>
  </r>
  <r>
    <x v="203"/>
    <s v="april"/>
    <s v="Brilliant Minds Academy"/>
    <s v="Fashion "/>
    <s v="Male dress"/>
    <x v="4"/>
    <s v="Female"/>
    <n v="67"/>
    <n v="989"/>
    <n v="956"/>
    <n v="66263"/>
    <n v="64052"/>
    <n v="-2211"/>
    <s v="loss"/>
  </r>
  <r>
    <x v="204"/>
    <s v="april"/>
    <s v="Visionary Holdings"/>
    <s v="Fashion "/>
    <s v="Male dress"/>
    <x v="10"/>
    <s v="Female"/>
    <n v="83"/>
    <n v="917"/>
    <n v="989"/>
    <n v="76111"/>
    <n v="82087"/>
    <n v="5976"/>
    <s v="profit"/>
  </r>
  <r>
    <x v="205"/>
    <s v="april"/>
    <s v="Stellar Design Studio"/>
    <s v="Fashion "/>
    <s v="Male dress"/>
    <x v="11"/>
    <s v="Female"/>
    <n v="74"/>
    <n v="645"/>
    <n v="879"/>
    <n v="47730"/>
    <n v="65046"/>
    <n v="17316"/>
    <s v="profit"/>
  </r>
  <r>
    <x v="206"/>
    <s v="april"/>
    <s v="Classic Cuisines"/>
    <s v="Fashion "/>
    <s v="Male dress"/>
    <x v="6"/>
    <s v="Male"/>
    <n v="76"/>
    <n v="943"/>
    <n v="1394"/>
    <n v="71668"/>
    <n v="105944"/>
    <n v="34276"/>
    <s v="profit"/>
  </r>
  <r>
    <x v="207"/>
    <s v="april"/>
    <s v="Bold Ventures"/>
    <s v="Fashion "/>
    <s v="Male dress"/>
    <x v="7"/>
    <s v="Male"/>
    <n v="85"/>
    <n v="505"/>
    <n v="1435"/>
    <n v="42925"/>
    <n v="121975"/>
    <n v="79050"/>
    <s v="profit"/>
  </r>
  <r>
    <x v="208"/>
    <s v="may"/>
    <s v="Radiance Spa"/>
    <s v="Fashion "/>
    <s v="Saree"/>
    <x v="12"/>
    <s v="Male"/>
    <n v="82"/>
    <n v="928"/>
    <n v="1428"/>
    <n v="76096"/>
    <n v="117096"/>
    <n v="41000"/>
    <s v="profit"/>
  </r>
  <r>
    <x v="209"/>
    <s v="may"/>
    <s v="Verve Fitness Studio"/>
    <s v="Fashion "/>
    <s v="Saree"/>
    <x v="7"/>
    <s v="Female"/>
    <n v="72"/>
    <n v="605"/>
    <n v="1081"/>
    <n v="43560"/>
    <n v="77832"/>
    <n v="34272"/>
    <s v="profit"/>
  </r>
  <r>
    <x v="210"/>
    <s v="may"/>
    <s v="Sparkle Cleaners"/>
    <s v="Fashion "/>
    <s v="Saree"/>
    <x v="7"/>
    <s v="Female"/>
    <n v="82"/>
    <n v="993"/>
    <n v="823"/>
    <n v="81426"/>
    <n v="67486"/>
    <n v="-13940"/>
    <s v="loss"/>
  </r>
  <r>
    <x v="211"/>
    <s v="may"/>
    <s v="Global Reach Logistics"/>
    <s v="Fashion "/>
    <s v="Saree"/>
    <x v="8"/>
    <s v="Female"/>
    <n v="53"/>
    <n v="803"/>
    <n v="1335"/>
    <n v="42559"/>
    <n v="70755"/>
    <n v="28196"/>
    <s v="profit"/>
  </r>
  <r>
    <x v="212"/>
    <s v="may"/>
    <s v="Noble Path Finance"/>
    <s v="Fashion "/>
    <s v="Saree"/>
    <x v="4"/>
    <s v="Female"/>
    <n v="87"/>
    <n v="742"/>
    <n v="856"/>
    <n v="64554"/>
    <n v="74472"/>
    <n v="9918"/>
    <s v="profit"/>
  </r>
  <r>
    <x v="213"/>
    <s v="may"/>
    <s v="Dynamic Events Management"/>
    <s v="Fashion "/>
    <s v="Saree"/>
    <x v="8"/>
    <s v="Female"/>
    <n v="70"/>
    <n v="605"/>
    <n v="1489"/>
    <n v="42350"/>
    <n v="104230"/>
    <n v="61880"/>
    <s v="profit"/>
  </r>
  <r>
    <x v="214"/>
    <s v="may"/>
    <s v="Crystal Waters Resort"/>
    <s v="Fashion "/>
    <s v="Saree"/>
    <x v="9"/>
    <s v="Female"/>
    <n v="94"/>
    <n v="754"/>
    <n v="1354"/>
    <n v="70876"/>
    <n v="127276"/>
    <n v="56400"/>
    <s v="profit"/>
  </r>
  <r>
    <x v="215"/>
    <s v="may"/>
    <s v="Excellence Tutors"/>
    <s v="Fashion "/>
    <s v="Saree"/>
    <x v="4"/>
    <s v="Female"/>
    <n v="80"/>
    <n v="622"/>
    <n v="1168"/>
    <n v="49760"/>
    <n v="93440"/>
    <n v="43680"/>
    <s v="profit"/>
  </r>
  <r>
    <x v="216"/>
    <s v="may"/>
    <s v="Horizon Builders"/>
    <s v="Fashion "/>
    <s v="Saree"/>
    <x v="10"/>
    <s v="Male"/>
    <n v="88"/>
    <n v="625"/>
    <n v="1324"/>
    <n v="55000"/>
    <n v="116512"/>
    <n v="61512"/>
    <s v="profit"/>
  </r>
  <r>
    <x v="217"/>
    <s v="may"/>
    <s v="Classic Heritage Crafts"/>
    <s v="Fashion "/>
    <s v="Saree"/>
    <x v="6"/>
    <s v="Male"/>
    <n v="67"/>
    <n v="760"/>
    <n v="1006"/>
    <n v="50920"/>
    <n v="67402"/>
    <n v="16482"/>
    <s v="profit"/>
  </r>
  <r>
    <x v="218"/>
    <s v="may"/>
    <s v="Prime Focus Media"/>
    <s v="Fashion "/>
    <s v="Suit"/>
    <x v="7"/>
    <s v="Male"/>
    <n v="75"/>
    <n v="966"/>
    <n v="1355"/>
    <n v="72450"/>
    <n v="101625"/>
    <n v="29175"/>
    <s v="profit"/>
  </r>
  <r>
    <x v="219"/>
    <s v="june"/>
    <s v="Noble Nutraceuticals"/>
    <s v="Fashion "/>
    <s v="Suit"/>
    <x v="7"/>
    <s v="Female"/>
    <n v="51"/>
    <n v="749"/>
    <n v="1060"/>
    <n v="38199"/>
    <n v="54060"/>
    <n v="15861"/>
    <s v="profit"/>
  </r>
  <r>
    <x v="220"/>
    <s v="june"/>
    <s v="Supreme Travel Agency"/>
    <s v="Fashion "/>
    <s v="Suit"/>
    <x v="13"/>
    <s v="Male"/>
    <n v="94"/>
    <n v="721"/>
    <n v="996"/>
    <n v="67774"/>
    <n v="93624"/>
    <n v="25850"/>
    <s v="profit"/>
  </r>
  <r>
    <x v="221"/>
    <s v="june"/>
    <s v="Future Vision Tech"/>
    <s v="Fashion "/>
    <s v="Suit"/>
    <x v="13"/>
    <s v="Male"/>
    <n v="71"/>
    <n v="869"/>
    <n v="753"/>
    <n v="61699"/>
    <n v="53463"/>
    <n v="-8236"/>
    <s v="loss"/>
  </r>
  <r>
    <x v="222"/>
    <s v="june"/>
    <s v="Urban Groove Apparel"/>
    <s v="Fashion "/>
    <s v="Suit"/>
    <x v="12"/>
    <s v="Male"/>
    <n v="52"/>
    <n v="550"/>
    <n v="869"/>
    <n v="28600"/>
    <n v="45188"/>
    <n v="16588"/>
    <s v="profit"/>
  </r>
  <r>
    <x v="223"/>
    <s v="june"/>
    <s v="Echo Real Estate"/>
    <s v="Fashion "/>
    <s v="Suit"/>
    <x v="7"/>
    <s v="Male"/>
    <n v="77"/>
    <n v="513"/>
    <n v="871"/>
    <n v="39501"/>
    <n v="67067"/>
    <n v="27566"/>
    <s v="profit"/>
  </r>
  <r>
    <x v="224"/>
    <s v="june"/>
    <s v="Pinnacle Health Products"/>
    <s v="Fashion "/>
    <s v="Suit"/>
    <x v="5"/>
    <s v="Female"/>
    <n v="84"/>
    <n v="739"/>
    <n v="1161"/>
    <n v="62076"/>
    <n v="97524"/>
    <n v="35448"/>
    <s v="profit"/>
  </r>
  <r>
    <x v="225"/>
    <s v="june"/>
    <s v="Apex Auto Care"/>
    <s v="Fashion "/>
    <s v="Suit"/>
    <x v="17"/>
    <s v="Female"/>
    <n v="71"/>
    <n v="923"/>
    <n v="996"/>
    <n v="65533"/>
    <n v="70716"/>
    <n v="5183"/>
    <s v="profit"/>
  </r>
  <r>
    <x v="226"/>
    <s v="june"/>
    <s v="Royal Glow Cosmetics"/>
    <s v="Fashion "/>
    <s v="Suit"/>
    <x v="8"/>
    <s v="Female"/>
    <n v="59"/>
    <n v="862"/>
    <n v="1233"/>
    <n v="50858"/>
    <n v="72747"/>
    <n v="21889"/>
    <s v="profit"/>
  </r>
  <r>
    <x v="49"/>
    <s v="may"/>
    <s v="Absolute Solutions"/>
    <s v="Fashion "/>
    <s v="Saree"/>
    <x v="6"/>
    <s v="Male"/>
    <n v="90"/>
    <n v="718"/>
    <n v="1353"/>
    <n v="64620"/>
    <n v="121770"/>
    <n v="57150"/>
    <s v="profit"/>
  </r>
  <r>
    <x v="227"/>
    <s v="june"/>
    <s v="Zenith Culinary Arts"/>
    <s v="Fashion "/>
    <s v="Suit"/>
    <x v="18"/>
    <s v="Female"/>
    <n v="77"/>
    <n v="882"/>
    <n v="914"/>
    <n v="67914"/>
    <n v="70378"/>
    <n v="2464"/>
    <s v="profit"/>
  </r>
  <r>
    <x v="228"/>
    <s v="june"/>
    <s v="Visionary Tours"/>
    <s v="Fashion "/>
    <s v="Suit"/>
    <x v="19"/>
    <s v="Female"/>
    <n v="90"/>
    <n v="862"/>
    <n v="902"/>
    <n v="77580"/>
    <n v="81180"/>
    <n v="3600"/>
    <s v="profit"/>
  </r>
  <r>
    <x v="229"/>
    <s v="june"/>
    <s v="Elite Essence Products"/>
    <s v="Fashion "/>
    <s v="Saree"/>
    <x v="3"/>
    <s v="Male"/>
    <n v="73"/>
    <n v="541"/>
    <n v="1114"/>
    <n v="39493"/>
    <n v="81322"/>
    <n v="41829"/>
    <s v="profit"/>
  </r>
  <r>
    <x v="230"/>
    <s v="june"/>
    <s v="Dynamic Creations"/>
    <s v="Fashion "/>
    <s v="Saree"/>
    <x v="15"/>
    <s v="Male"/>
    <n v="94"/>
    <n v="772"/>
    <n v="1390"/>
    <n v="72568"/>
    <n v="130660"/>
    <n v="58092"/>
    <s v="profit"/>
  </r>
  <r>
    <x v="231"/>
    <s v="june"/>
    <s v="Quantum Design Studio"/>
    <s v="Fashion "/>
    <s v="Saree"/>
    <x v="14"/>
    <s v="Male"/>
    <n v="66"/>
    <n v="771"/>
    <n v="1419"/>
    <n v="50886"/>
    <n v="93654"/>
    <n v="42768"/>
    <s v="profit"/>
  </r>
  <r>
    <x v="232"/>
    <s v="june"/>
    <s v="Apex Construction"/>
    <s v="Fashion "/>
    <s v="Saree"/>
    <x v="3"/>
    <s v="Female"/>
    <n v="65"/>
    <n v="762"/>
    <n v="1394"/>
    <n v="49530"/>
    <n v="90610"/>
    <n v="41080"/>
    <s v="profit"/>
  </r>
  <r>
    <x v="233"/>
    <s v="june"/>
    <s v="Legacy Innovations"/>
    <s v="Fashion "/>
    <s v="Suit"/>
    <x v="13"/>
    <s v="Female"/>
    <n v="78"/>
    <n v="918"/>
    <n v="1469"/>
    <n v="71604"/>
    <n v="114582"/>
    <n v="42978"/>
    <s v="profit"/>
  </r>
  <r>
    <x v="234"/>
    <s v="june"/>
    <s v="Pure Harmony Foods"/>
    <s v="Fashion "/>
    <s v="Suit"/>
    <x v="15"/>
    <s v="Male"/>
    <n v="76"/>
    <n v="624"/>
    <n v="899"/>
    <n v="47424"/>
    <n v="68324"/>
    <n v="20900"/>
    <s v="profit"/>
  </r>
  <r>
    <x v="58"/>
    <s v="may"/>
    <s v="Synergy Tech Solutions"/>
    <s v="Fashion "/>
    <s v="Saree"/>
    <x v="11"/>
    <s v="Male"/>
    <n v="59"/>
    <n v="716"/>
    <n v="1257"/>
    <n v="42244"/>
    <n v="74163"/>
    <n v="31919"/>
    <s v="profit"/>
  </r>
  <r>
    <x v="235"/>
    <s v="june"/>
    <s v="Zenith Security Systems"/>
    <s v="Fashion "/>
    <s v="Suit"/>
    <x v="16"/>
    <s v="Male"/>
    <n v="99"/>
    <n v="598"/>
    <n v="1404"/>
    <n v="59202"/>
    <n v="138996"/>
    <n v="79794"/>
    <s v="profit"/>
  </r>
  <r>
    <x v="236"/>
    <s v="june"/>
    <s v="Crystal Clear Beverages"/>
    <s v="Fashion "/>
    <s v="Suit"/>
    <x v="6"/>
    <s v="Male"/>
    <n v="78"/>
    <n v="761"/>
    <n v="1174"/>
    <n v="59358"/>
    <n v="91572"/>
    <n v="32214"/>
    <s v="profit"/>
  </r>
  <r>
    <x v="237"/>
    <s v="june"/>
    <s v="Metro Line Tech"/>
    <s v="Fashion "/>
    <s v="Suit"/>
    <x v="8"/>
    <s v="Male"/>
    <n v="96"/>
    <n v="512"/>
    <n v="970"/>
    <n v="49152"/>
    <n v="93120"/>
    <n v="43968"/>
    <s v="profit"/>
  </r>
  <r>
    <x v="238"/>
    <s v="june"/>
    <s v="Urban Pulse Consulting"/>
    <s v="Fashion "/>
    <s v="Suit"/>
    <x v="12"/>
    <s v="Male"/>
    <n v="85"/>
    <n v="765"/>
    <n v="1024"/>
    <n v="65025"/>
    <n v="87040"/>
    <n v="22015"/>
    <s v="profit"/>
  </r>
  <r>
    <x v="239"/>
    <s v="july"/>
    <s v="Legacy Design Group"/>
    <s v="Fashion "/>
    <s v="Saree"/>
    <x v="1"/>
    <s v="Female"/>
    <n v="59"/>
    <n v="663"/>
    <n v="872"/>
    <n v="39117"/>
    <n v="51448"/>
    <n v="12331"/>
    <s v="profit"/>
  </r>
  <r>
    <x v="240"/>
    <s v="july"/>
    <s v="Supreme Wellness"/>
    <s v="Fashion "/>
    <s v="Saree"/>
    <x v="2"/>
    <s v="Female"/>
    <n v="75"/>
    <n v="871"/>
    <n v="1274"/>
    <n v="65325"/>
    <n v="95550"/>
    <n v="30225"/>
    <s v="profit"/>
  </r>
  <r>
    <x v="241"/>
    <s v="july"/>
    <s v="Harmony Tech Innovations"/>
    <s v="Fashion "/>
    <s v="Saree"/>
    <x v="3"/>
    <s v="Female"/>
    <n v="87"/>
    <n v="869"/>
    <n v="1247"/>
    <n v="75603"/>
    <n v="108489"/>
    <n v="32886"/>
    <s v="profit"/>
  </r>
  <r>
    <x v="242"/>
    <s v="july"/>
    <s v="Stellar Education Services"/>
    <s v="Fashion "/>
    <s v="Saree"/>
    <x v="3"/>
    <s v="Female"/>
    <n v="100"/>
    <n v="605"/>
    <n v="1249"/>
    <n v="60500"/>
    <n v="124900"/>
    <n v="64400"/>
    <s v="profit"/>
  </r>
  <r>
    <x v="243"/>
    <s v="july"/>
    <s v="Visionary Health Products"/>
    <s v="Fashion "/>
    <s v="Saree"/>
    <x v="4"/>
    <s v="Female"/>
    <n v="51"/>
    <n v="798"/>
    <n v="910"/>
    <n v="40698"/>
    <n v="46410"/>
    <n v="5712"/>
    <s v="profit"/>
  </r>
  <r>
    <x v="244"/>
    <s v="july"/>
    <s v="Crystal Innovations"/>
    <s v="Fashion "/>
    <s v="Saree"/>
    <x v="5"/>
    <s v="Female"/>
    <n v="52"/>
    <n v="984"/>
    <n v="992"/>
    <n v="51168"/>
    <n v="51584"/>
    <n v="416"/>
    <s v="profit"/>
  </r>
  <r>
    <x v="245"/>
    <s v="july"/>
    <s v="Future Trends Retail"/>
    <s v="Fashion "/>
    <s v="Saree"/>
    <x v="3"/>
    <s v="Female"/>
    <n v="97"/>
    <n v="565"/>
    <n v="995"/>
    <n v="54805"/>
    <n v="96515"/>
    <n v="41710"/>
    <s v="profit"/>
  </r>
  <r>
    <x v="246"/>
    <s v="july"/>
    <s v="Radiant Horizon Ventures"/>
    <s v="Fashion "/>
    <s v="Saree"/>
    <x v="15"/>
    <s v="Female"/>
    <n v="58"/>
    <n v="799"/>
    <n v="1273"/>
    <n v="46342"/>
    <n v="73834"/>
    <n v="27492"/>
    <s v="profit"/>
  </r>
  <r>
    <x v="247"/>
    <s v="july"/>
    <s v="Urban Edge Realty"/>
    <s v="Fashion "/>
    <s v="Saree"/>
    <x v="14"/>
    <s v="Male"/>
    <n v="69"/>
    <n v="524"/>
    <n v="893"/>
    <n v="36156"/>
    <n v="61617"/>
    <n v="25461"/>
    <s v="profit"/>
  </r>
  <r>
    <x v="248"/>
    <s v="july"/>
    <s v="Prime Focus Innovations"/>
    <s v="Fashion "/>
    <s v="Saree"/>
    <x v="8"/>
    <s v="Male"/>
    <n v="81"/>
    <n v="903"/>
    <n v="1306"/>
    <n v="73143"/>
    <n v="105786"/>
    <n v="32643"/>
    <s v="profit"/>
  </r>
  <r>
    <x v="249"/>
    <s v="august"/>
    <s v="Elite Spectrum Consulting"/>
    <s v="Fashion "/>
    <s v="Saree"/>
    <x v="3"/>
    <s v="Male"/>
    <n v="89"/>
    <n v="584"/>
    <n v="777"/>
    <n v="51976"/>
    <n v="69153"/>
    <n v="17177"/>
    <s v="profit"/>
  </r>
  <r>
    <x v="250"/>
    <s v="august"/>
    <s v="Dynamic Design Studio"/>
    <s v="Fashion "/>
    <s v="Saree"/>
    <x v="13"/>
    <s v="Male"/>
    <n v="75"/>
    <n v="906"/>
    <n v="954"/>
    <n v="67950"/>
    <n v="71550"/>
    <n v="3600"/>
    <s v="profit"/>
  </r>
  <r>
    <x v="63"/>
    <s v="june"/>
    <s v="Radiant Enterprise Solutions"/>
    <s v="Decor"/>
    <s v="Car accessories"/>
    <x v="3"/>
    <s v="Female"/>
    <n v="17"/>
    <n v="901"/>
    <n v="1283"/>
    <n v="15317"/>
    <n v="21811"/>
    <n v="6494"/>
    <s v="profit"/>
  </r>
  <r>
    <x v="251"/>
    <s v="august"/>
    <s v="Royal Crest Foods"/>
    <s v="Fashion "/>
    <s v="Suit"/>
    <x v="16"/>
    <s v="Female"/>
    <n v="98"/>
    <n v="925"/>
    <n v="904"/>
    <n v="90650"/>
    <n v="88592"/>
    <n v="-2058"/>
    <s v="loss"/>
  </r>
  <r>
    <x v="252"/>
    <s v="august"/>
    <s v="Zenith Travels"/>
    <s v="Fashion "/>
    <s v="Suit"/>
    <x v="6"/>
    <s v="Female"/>
    <n v="73"/>
    <n v="508"/>
    <n v="1324"/>
    <n v="37084"/>
    <n v="96652"/>
    <n v="59568"/>
    <s v="profit"/>
  </r>
  <r>
    <x v="253"/>
    <s v="august"/>
    <s v="Quantum Media Group"/>
    <s v="Fashion "/>
    <s v="Saree"/>
    <x v="7"/>
    <s v="Female"/>
    <n v="87"/>
    <n v="876"/>
    <n v="880"/>
    <n v="76212"/>
    <n v="76560"/>
    <n v="348"/>
    <s v="profit"/>
  </r>
  <r>
    <x v="254"/>
    <s v="august"/>
    <s v="Legacy Builders"/>
    <s v="Fashion "/>
    <s v="Saree"/>
    <x v="5"/>
    <s v="Female"/>
    <n v="69"/>
    <n v="993"/>
    <n v="862"/>
    <n v="68517"/>
    <n v="59478"/>
    <n v="-9039"/>
    <s v="loss"/>
  </r>
  <r>
    <x v="255"/>
    <s v="august"/>
    <s v="Apex Spa &amp; Wellness"/>
    <s v="Fashion "/>
    <s v="Saree"/>
    <x v="17"/>
    <s v="Female"/>
    <n v="62"/>
    <n v="781"/>
    <n v="946"/>
    <n v="48422"/>
    <n v="58652"/>
    <n v="10230"/>
    <s v="profit"/>
  </r>
  <r>
    <x v="64"/>
    <s v="june"/>
    <s v="Infinite Solutions"/>
    <s v="Fashion "/>
    <s v="Saree"/>
    <x v="8"/>
    <s v="Female"/>
    <n v="83"/>
    <n v="889"/>
    <n v="1075"/>
    <n v="73787"/>
    <n v="89225"/>
    <n v="15438"/>
    <s v="profit"/>
  </r>
  <r>
    <x v="256"/>
    <s v="august"/>
    <s v="Radiant Travel Services"/>
    <s v="Fashion "/>
    <s v="Saree"/>
    <x v="8"/>
    <s v="Female"/>
    <n v="63"/>
    <n v="718"/>
    <n v="1047"/>
    <n v="45234"/>
    <n v="65961"/>
    <n v="20727"/>
    <s v="profit"/>
  </r>
  <r>
    <x v="257"/>
    <s v="august"/>
    <s v="Modern Trends Consulting"/>
    <s v="Fashion "/>
    <s v="Saree"/>
    <x v="18"/>
    <s v="Female"/>
    <n v="72"/>
    <n v="673"/>
    <n v="1027"/>
    <n v="48456"/>
    <n v="73944"/>
    <n v="25488"/>
    <s v="profit"/>
  </r>
  <r>
    <x v="258"/>
    <s v="august"/>
    <s v="Global Horizon Ventures"/>
    <s v="Fashion "/>
    <s v="Saree"/>
    <x v="19"/>
    <s v="Female"/>
    <n v="76"/>
    <n v="567"/>
    <n v="897"/>
    <n v="43092"/>
    <n v="68172"/>
    <n v="25080"/>
    <s v="profit"/>
  </r>
  <r>
    <x v="259"/>
    <s v="august"/>
    <s v="Elite Enterprises"/>
    <s v="Fashion "/>
    <s v="Saree"/>
    <x v="0"/>
    <s v="Male"/>
    <n v="70"/>
    <n v="751"/>
    <n v="1026"/>
    <n v="52570"/>
    <n v="71820"/>
    <n v="19250"/>
    <s v="profit"/>
  </r>
  <r>
    <x v="260"/>
    <s v="september"/>
    <s v="Pinnacle Health Innovations"/>
    <s v="Fashion "/>
    <s v="Saree"/>
    <x v="2"/>
    <s v="Male"/>
    <n v="56"/>
    <n v="559"/>
    <n v="1151"/>
    <n v="31304"/>
    <n v="64456"/>
    <n v="33152"/>
    <s v="profit"/>
  </r>
  <r>
    <x v="261"/>
    <s v="september"/>
    <s v="Horizon Fashion"/>
    <s v="Fashion "/>
    <s v="Suit"/>
    <x v="3"/>
    <s v="Male"/>
    <n v="72"/>
    <n v="719"/>
    <n v="911"/>
    <n v="51768"/>
    <n v="65592"/>
    <n v="13824"/>
    <s v="profit"/>
  </r>
  <r>
    <x v="262"/>
    <s v="september"/>
    <s v="Crystal Essence Beverages"/>
    <s v="Fashion "/>
    <s v="Suit"/>
    <x v="3"/>
    <s v="Male"/>
    <n v="89"/>
    <n v="703"/>
    <n v="795"/>
    <n v="62567"/>
    <n v="70755"/>
    <n v="8188"/>
    <s v="profit"/>
  </r>
  <r>
    <x v="263"/>
    <s v="september"/>
    <s v="Dynamic Pathways"/>
    <s v="Fashion "/>
    <s v="Suit"/>
    <x v="4"/>
    <s v="Female"/>
    <n v="77"/>
    <n v="780"/>
    <n v="967"/>
    <n v="60060"/>
    <n v="74459"/>
    <n v="14399"/>
    <s v="profit"/>
  </r>
  <r>
    <x v="264"/>
    <s v="september"/>
    <s v="Radiance Apparel"/>
    <s v="Fashion "/>
    <s v="Suit"/>
    <x v="3"/>
    <s v="Female"/>
    <n v="54"/>
    <n v="762"/>
    <n v="1186"/>
    <n v="41148"/>
    <n v="64044"/>
    <n v="22896"/>
    <s v="profit"/>
  </r>
  <r>
    <x v="265"/>
    <s v="september"/>
    <s v="Zenith Design Group"/>
    <s v="Fashion "/>
    <s v="Suit"/>
    <x v="15"/>
    <s v="Male"/>
    <n v="91"/>
    <n v="647"/>
    <n v="1073"/>
    <n v="58877"/>
    <n v="97643"/>
    <n v="38766"/>
    <s v="profit"/>
  </r>
  <r>
    <x v="65"/>
    <s v="july"/>
    <s v="Synergy Solutions Group"/>
    <s v="Decor"/>
    <s v="Home décor"/>
    <x v="8"/>
    <s v="Female"/>
    <n v="14"/>
    <n v="684"/>
    <n v="1483"/>
    <n v="9576"/>
    <n v="20762"/>
    <n v="11186"/>
    <s v="profit"/>
  </r>
  <r>
    <x v="266"/>
    <s v="september"/>
    <s v="Modern Horizons Consulting"/>
    <s v="Fashion "/>
    <s v="Suit"/>
    <x v="8"/>
    <s v="Male"/>
    <n v="63"/>
    <n v="720"/>
    <n v="1458"/>
    <n v="45360"/>
    <n v="91854"/>
    <n v="46494"/>
    <s v="profit"/>
  </r>
  <r>
    <x v="267"/>
    <s v="september"/>
    <s v="Apex Realty Services"/>
    <s v="Fashion "/>
    <s v="Suit"/>
    <x v="4"/>
    <s v="Male"/>
    <n v="66"/>
    <n v="958"/>
    <n v="1017"/>
    <n v="63228"/>
    <n v="67122"/>
    <n v="3894"/>
    <s v="profit"/>
  </r>
  <r>
    <x v="268"/>
    <s v="september"/>
    <s v="Zenith Educational Group"/>
    <s v="Fashion "/>
    <s v="Suit"/>
    <x v="8"/>
    <s v="Male"/>
    <n v="54"/>
    <n v="663"/>
    <n v="943"/>
    <n v="35802"/>
    <n v="50922"/>
    <n v="15120"/>
    <s v="profit"/>
  </r>
  <r>
    <x v="269"/>
    <s v="september"/>
    <s v="True Path Ventures"/>
    <s v="Fashion "/>
    <s v="Suit"/>
    <x v="9"/>
    <s v="Female"/>
    <n v="73"/>
    <n v="540"/>
    <n v="1397"/>
    <n v="39420"/>
    <n v="101981"/>
    <n v="62561"/>
    <s v="profit"/>
  </r>
  <r>
    <x v="270"/>
    <s v="september"/>
    <s v="Radiance Media"/>
    <s v="Fashion "/>
    <s v="Suit"/>
    <x v="4"/>
    <s v="Male"/>
    <n v="76"/>
    <n v="744"/>
    <n v="1145"/>
    <n v="56544"/>
    <n v="87020"/>
    <n v="30476"/>
    <s v="profit"/>
  </r>
  <r>
    <x v="271"/>
    <s v="september"/>
    <s v="Legacy Health Systems"/>
    <s v="Fashion "/>
    <s v="Suit"/>
    <x v="10"/>
    <s v="Male"/>
    <n v="94"/>
    <n v="874"/>
    <n v="895"/>
    <n v="82156"/>
    <n v="84130"/>
    <n v="1974"/>
    <s v="profit"/>
  </r>
  <r>
    <x v="272"/>
    <s v="september"/>
    <s v="Urban Focus Products"/>
    <s v="Fashion "/>
    <s v="Suit"/>
    <x v="11"/>
    <s v="Male"/>
    <n v="97"/>
    <n v="752"/>
    <n v="1286"/>
    <n v="72944"/>
    <n v="124742"/>
    <n v="51798"/>
    <s v="profit"/>
  </r>
  <r>
    <x v="273"/>
    <s v="october"/>
    <s v="Visionary Innovations"/>
    <s v="Fashion "/>
    <s v="Saree"/>
    <x v="5"/>
    <s v="Female"/>
    <n v="77"/>
    <n v="951"/>
    <n v="1432"/>
    <n v="73227"/>
    <n v="110264"/>
    <n v="37037"/>
    <s v="profit"/>
  </r>
  <r>
    <x v="274"/>
    <s v="october"/>
    <s v="Horizon Design Studio"/>
    <s v="Fashion "/>
    <s v="Saree"/>
    <x v="17"/>
    <s v="Female"/>
    <n v="52"/>
    <n v="633"/>
    <n v="1226"/>
    <n v="32916"/>
    <n v="63752"/>
    <n v="30836"/>
    <s v="profit"/>
  </r>
  <r>
    <x v="275"/>
    <s v="october"/>
    <s v="Legacy Tech Products"/>
    <s v="Fashion "/>
    <s v="Saree"/>
    <x v="18"/>
    <s v="Female"/>
    <n v="80"/>
    <n v="982"/>
    <n v="1224"/>
    <n v="78560"/>
    <n v="97920"/>
    <n v="19360"/>
    <s v="profit"/>
  </r>
  <r>
    <x v="276"/>
    <s v="october"/>
    <s v="Pinnacle Wellness Services"/>
    <s v="Fashion "/>
    <s v="Saree"/>
    <x v="19"/>
    <s v="Female"/>
    <n v="81"/>
    <n v="917"/>
    <n v="1344"/>
    <n v="74277"/>
    <n v="108864"/>
    <n v="34587"/>
    <s v="profit"/>
  </r>
  <r>
    <x v="277"/>
    <s v="october"/>
    <s v="Urban Insight Consulting"/>
    <s v="Fashion "/>
    <s v="Suit"/>
    <x v="0"/>
    <s v="Female"/>
    <n v="63"/>
    <n v="747"/>
    <n v="778"/>
    <n v="47061"/>
    <n v="49014"/>
    <n v="1953"/>
    <s v="profit"/>
  </r>
  <r>
    <x v="66"/>
    <s v="july"/>
    <s v="Horizon Tech Solutions"/>
    <s v="Electronic"/>
    <s v="Laptop"/>
    <x v="7"/>
    <s v="Female"/>
    <n v="23"/>
    <n v="559"/>
    <n v="1456"/>
    <n v="12857"/>
    <n v="33488"/>
    <n v="20631"/>
    <s v="profit"/>
  </r>
  <r>
    <x v="278"/>
    <s v="october"/>
    <s v="Crystal Horizons"/>
    <s v="Fashion "/>
    <s v="Suit"/>
    <x v="1"/>
    <s v="Female"/>
    <n v="88"/>
    <n v="978"/>
    <n v="1231"/>
    <n v="86064"/>
    <n v="108328"/>
    <n v="22264"/>
    <s v="profit"/>
  </r>
  <r>
    <x v="279"/>
    <s v="october"/>
    <s v="Radiant Apparel"/>
    <s v="Fashion "/>
    <s v="Suit"/>
    <x v="2"/>
    <s v="Female"/>
    <n v="82"/>
    <n v="652"/>
    <n v="994"/>
    <n v="53464"/>
    <n v="81508"/>
    <n v="28044"/>
    <s v="profit"/>
  </r>
  <r>
    <x v="280"/>
    <s v="october"/>
    <s v="True Value Products"/>
    <s v="Fashion "/>
    <s v="Suit"/>
    <x v="3"/>
    <s v="Female"/>
    <n v="80"/>
    <n v="841"/>
    <n v="1490"/>
    <n v="67280"/>
    <n v="119200"/>
    <n v="51920"/>
    <s v="profit"/>
  </r>
  <r>
    <x v="281"/>
    <s v="october"/>
    <s v="Zenith Health Products"/>
    <s v="Fashion "/>
    <s v="Suit"/>
    <x v="4"/>
    <s v="Male"/>
    <n v="70"/>
    <n v="798"/>
    <n v="1318"/>
    <n v="55860"/>
    <n v="92260"/>
    <n v="36400"/>
    <s v="profit"/>
  </r>
  <r>
    <x v="282"/>
    <s v="october"/>
    <s v="Stellar Wellness Products"/>
    <s v="Fashion "/>
    <s v="Women dress"/>
    <x v="17"/>
    <s v="Male"/>
    <n v="69"/>
    <n v="921"/>
    <n v="1177"/>
    <n v="63549"/>
    <n v="81213"/>
    <n v="17664"/>
    <s v="profit"/>
  </r>
  <r>
    <x v="283"/>
    <s v="october"/>
    <s v="Radiant Consulting Group"/>
    <s v="Fashion "/>
    <s v="Women dress"/>
    <x v="8"/>
    <s v="Male"/>
    <n v="60"/>
    <n v="729"/>
    <n v="759"/>
    <n v="43740"/>
    <n v="45540"/>
    <n v="1800"/>
    <s v="profit"/>
  </r>
  <r>
    <x v="284"/>
    <s v="october"/>
    <s v="Harmony Ventures Co."/>
    <s v="Fashion "/>
    <s v="Women dress"/>
    <x v="18"/>
    <s v="Female"/>
    <n v="99"/>
    <n v="880"/>
    <n v="1318"/>
    <n v="87120"/>
    <n v="130482"/>
    <n v="43362"/>
    <s v="profit"/>
  </r>
  <r>
    <x v="285"/>
    <s v="october"/>
    <s v="Urban Path Technologies"/>
    <s v="Fashion "/>
    <s v="Women dress"/>
    <x v="19"/>
    <s v="Male"/>
    <n v="88"/>
    <n v="552"/>
    <n v="1422"/>
    <n v="48576"/>
    <n v="125136"/>
    <n v="76560"/>
    <s v="profit"/>
  </r>
  <r>
    <x v="286"/>
    <s v="november"/>
    <s v="Modern Vision Ventures"/>
    <s v="Fashion "/>
    <s v="Male dress"/>
    <x v="3"/>
    <s v="Female"/>
    <n v="60"/>
    <n v="827"/>
    <n v="762"/>
    <n v="49620"/>
    <n v="45720"/>
    <n v="-3900"/>
    <s v="loss"/>
  </r>
  <r>
    <x v="287"/>
    <s v="november"/>
    <s v="Elite Travel Services"/>
    <s v="Fashion "/>
    <s v="Male dress"/>
    <x v="15"/>
    <s v="Female"/>
    <n v="64"/>
    <n v="529"/>
    <n v="1195"/>
    <n v="33856"/>
    <n v="76480"/>
    <n v="42624"/>
    <s v="profit"/>
  </r>
  <r>
    <x v="288"/>
    <s v="november"/>
    <s v="Crystal Innovations Group"/>
    <s v="Fashion "/>
    <s v="Male dress"/>
    <x v="8"/>
    <s v="Female"/>
    <n v="51"/>
    <n v="859"/>
    <n v="1243"/>
    <n v="43809"/>
    <n v="63393"/>
    <n v="19584"/>
    <s v="profit"/>
  </r>
  <r>
    <x v="289"/>
    <s v="november"/>
    <s v="Pinnacle Fitness Studio"/>
    <s v="Fashion "/>
    <s v="Male dress"/>
    <x v="3"/>
    <s v="Female"/>
    <n v="68"/>
    <n v="756"/>
    <n v="887"/>
    <n v="51408"/>
    <n v="60316"/>
    <n v="8908"/>
    <s v="profit"/>
  </r>
  <r>
    <x v="290"/>
    <s v="november"/>
    <s v="Stellar Travel Agency"/>
    <s v="Fashion "/>
    <s v="Male dress"/>
    <x v="13"/>
    <s v="Female"/>
    <n v="87"/>
    <n v="882"/>
    <n v="1211"/>
    <n v="76734"/>
    <n v="105357"/>
    <n v="28623"/>
    <s v="profit"/>
  </r>
  <r>
    <x v="291"/>
    <s v="december"/>
    <s v="Apex Travel Ventures"/>
    <s v="Fashion "/>
    <s v="Saree"/>
    <x v="0"/>
    <s v="Male"/>
    <n v="51"/>
    <n v="685"/>
    <n v="1224"/>
    <n v="34935"/>
    <n v="62424"/>
    <n v="27489"/>
    <s v="profit"/>
  </r>
  <r>
    <x v="292"/>
    <s v="december"/>
    <s v="True Path Consulting"/>
    <s v="Fashion "/>
    <s v="Saree"/>
    <x v="2"/>
    <s v="Female"/>
    <n v="72"/>
    <n v="765"/>
    <n v="1368"/>
    <n v="55080"/>
    <n v="98496"/>
    <n v="43416"/>
    <s v="profit"/>
  </r>
  <r>
    <x v="293"/>
    <s v="december"/>
    <s v="Legacy Finance Group"/>
    <s v="Fashion "/>
    <s v="Saree"/>
    <x v="3"/>
    <s v="Female"/>
    <n v="54"/>
    <n v="702"/>
    <n v="930"/>
    <n v="37908"/>
    <n v="50220"/>
    <n v="12312"/>
    <s v="profit"/>
  </r>
  <r>
    <x v="294"/>
    <s v="december"/>
    <s v="Pinnacle Design Ventures"/>
    <s v="Fashion "/>
    <s v="Saree"/>
    <x v="6"/>
    <s v="Female"/>
    <n v="97"/>
    <n v="917"/>
    <n v="1203"/>
    <n v="88949"/>
    <n v="116691"/>
    <n v="27742"/>
    <s v="profit"/>
  </r>
  <r>
    <x v="295"/>
    <s v="december"/>
    <s v="Stellar Innovations Co."/>
    <s v="Fashion "/>
    <s v="Saree"/>
    <x v="7"/>
    <s v="Female"/>
    <n v="84"/>
    <n v="516"/>
    <n v="820"/>
    <n v="43344"/>
    <n v="68880"/>
    <n v="25536"/>
    <s v="profit"/>
  </r>
  <r>
    <x v="67"/>
    <s v="august"/>
    <s v="Apex Wellness Solutions"/>
    <s v="Fashion "/>
    <s v="Suit"/>
    <x v="15"/>
    <s v="Male"/>
    <n v="66"/>
    <n v="715"/>
    <n v="1460"/>
    <n v="47190"/>
    <n v="96360"/>
    <n v="49170"/>
    <s v="profit"/>
  </r>
  <r>
    <x v="296"/>
    <s v="december"/>
    <s v="Harmony Marketing Co."/>
    <s v="Fashion "/>
    <s v="Saree"/>
    <x v="13"/>
    <s v="Female"/>
    <n v="92"/>
    <n v="789"/>
    <n v="1229"/>
    <n v="72588"/>
    <n v="113068"/>
    <n v="40480"/>
    <s v="profit"/>
  </r>
  <r>
    <x v="297"/>
    <s v="december"/>
    <s v="Urban Tech Innovations"/>
    <s v="Fashion "/>
    <s v="Saree"/>
    <x v="13"/>
    <s v="Female"/>
    <n v="53"/>
    <n v="962"/>
    <n v="1442"/>
    <n v="50986"/>
    <n v="76426"/>
    <n v="25440"/>
    <s v="profit"/>
  </r>
  <r>
    <x v="298"/>
    <s v="december"/>
    <s v="Crystal Wellness Group"/>
    <s v="Fashion "/>
    <s v="Saree"/>
    <x v="12"/>
    <s v="Female"/>
    <n v="81"/>
    <n v="565"/>
    <n v="1224"/>
    <n v="45765"/>
    <n v="99144"/>
    <n v="53379"/>
    <s v="profit"/>
  </r>
  <r>
    <x v="299"/>
    <s v="december"/>
    <s v="Apex Media Co."/>
    <s v="Fashion "/>
    <s v="Saree"/>
    <x v="5"/>
    <s v="Female"/>
    <n v="96"/>
    <n v="715"/>
    <n v="1171"/>
    <n v="68640"/>
    <n v="112416"/>
    <n v="43776"/>
    <s v="profit"/>
  </r>
  <r>
    <x v="68"/>
    <s v="august"/>
    <s v="Radiance Tech Solutions"/>
    <s v="Decor"/>
    <s v="Home décor"/>
    <x v="6"/>
    <s v="Female"/>
    <n v="10"/>
    <n v="812"/>
    <n v="1112"/>
    <n v="8120"/>
    <n v="11120"/>
    <n v="3000"/>
    <s v="profit"/>
  </r>
  <r>
    <x v="300"/>
    <s v="december"/>
    <s v="Legacy Health Ventures"/>
    <s v="Fashion "/>
    <s v="Suit"/>
    <x v="8"/>
    <s v="Female"/>
    <n v="69"/>
    <n v="699"/>
    <n v="835"/>
    <n v="48231"/>
    <n v="57615"/>
    <n v="9384"/>
    <s v="profit"/>
  </r>
  <r>
    <x v="301"/>
    <s v="december"/>
    <s v="Pinnacle Spectrum Co."/>
    <s v="Fashion "/>
    <s v="Suit"/>
    <x v="18"/>
    <s v="Female"/>
    <n v="58"/>
    <n v="924"/>
    <n v="990"/>
    <n v="53592"/>
    <n v="57420"/>
    <n v="3828"/>
    <s v="profit"/>
  </r>
  <r>
    <x v="302"/>
    <s v="december"/>
    <s v="Stellar Travel Products"/>
    <s v="Fashion "/>
    <s v="Suit"/>
    <x v="19"/>
    <s v="Female"/>
    <n v="83"/>
    <n v="790"/>
    <n v="1164"/>
    <n v="65570"/>
    <n v="96612"/>
    <n v="31042"/>
    <s v="profit"/>
  </r>
  <r>
    <x v="303"/>
    <s v="december"/>
    <s v="Radiance Finance Services"/>
    <s v="Fashion "/>
    <s v="Suit"/>
    <x v="0"/>
    <s v="Female"/>
    <n v="60"/>
    <n v="867"/>
    <n v="854"/>
    <n v="52020"/>
    <n v="51240"/>
    <n v="-780"/>
    <s v="loss"/>
  </r>
  <r>
    <x v="304"/>
    <s v="december"/>
    <s v="Modern Travel Agency"/>
    <s v="Fashion "/>
    <s v="Suit"/>
    <x v="2"/>
    <s v="Male"/>
    <n v="89"/>
    <n v="702"/>
    <n v="1314"/>
    <n v="62478"/>
    <n v="116946"/>
    <n v="54468"/>
    <s v="profit"/>
  </r>
  <r>
    <x v="305"/>
    <s v="december"/>
    <s v="Crystal Path Consulting"/>
    <s v="Fashion "/>
    <s v="Suit"/>
    <x v="3"/>
    <s v="Male"/>
    <n v="91"/>
    <n v="805"/>
    <n v="1361"/>
    <n v="73255"/>
    <n v="123851"/>
    <n v="50596"/>
    <s v="profit"/>
  </r>
  <r>
    <x v="306"/>
    <s v="december"/>
    <s v="Zenith Educational Services"/>
    <s v="Fashion "/>
    <s v="Suit"/>
    <x v="3"/>
    <s v="Male"/>
    <n v="78"/>
    <n v="682"/>
    <n v="962"/>
    <n v="53196"/>
    <n v="75036"/>
    <n v="21840"/>
    <s v="profit"/>
  </r>
  <r>
    <x v="69"/>
    <s v="august"/>
    <s v="Apex Enterprise Solutions"/>
    <s v="Electronic"/>
    <s v="Laptop"/>
    <x v="10"/>
    <s v="Male"/>
    <n v="22"/>
    <n v="888"/>
    <n v="1284"/>
    <n v="19536"/>
    <n v="28248"/>
    <n v="8712"/>
    <s v="profit"/>
  </r>
  <r>
    <x v="307"/>
    <s v="december"/>
    <s v="Apex Innovations Co."/>
    <s v="Fashion "/>
    <s v="Suit"/>
    <x v="4"/>
    <s v="Male"/>
    <n v="54"/>
    <n v="990"/>
    <n v="970"/>
    <n v="53460"/>
    <n v="52380"/>
    <n v="-1080"/>
    <s v="loss"/>
  </r>
  <r>
    <x v="308"/>
    <s v="january"/>
    <s v="Pure Harmony Health"/>
    <s v="Fashion "/>
    <s v="Suit"/>
    <x v="5"/>
    <s v="Female"/>
    <n v="72"/>
    <n v="749"/>
    <n v="1262"/>
    <n v="53928"/>
    <n v="90864"/>
    <n v="36936"/>
    <s v="profit"/>
  </r>
  <r>
    <x v="309"/>
    <s v="january"/>
    <s v="Apex Travel Innovations"/>
    <s v="Fashion "/>
    <s v="Saree"/>
    <x v="6"/>
    <s v="Male"/>
    <n v="51"/>
    <n v="925"/>
    <n v="750"/>
    <n v="47175"/>
    <n v="38250"/>
    <n v="-8925"/>
    <s v="loss"/>
  </r>
  <r>
    <x v="310"/>
    <s v="january"/>
    <s v="Modern Health Products"/>
    <s v="Fashion "/>
    <s v="Saree"/>
    <x v="7"/>
    <s v="Male"/>
    <n v="56"/>
    <n v="782"/>
    <n v="1353"/>
    <n v="43792"/>
    <n v="75768"/>
    <n v="31976"/>
    <s v="profit"/>
  </r>
  <r>
    <x v="311"/>
    <s v="january"/>
    <s v="Harmony Finance Group"/>
    <s v="Fashion "/>
    <s v="Saree"/>
    <x v="7"/>
    <s v="Male"/>
    <n v="92"/>
    <n v="978"/>
    <n v="1062"/>
    <n v="89976"/>
    <n v="97704"/>
    <n v="7728"/>
    <s v="profit"/>
  </r>
  <r>
    <x v="70"/>
    <s v="august"/>
    <s v="Prestige Solutions"/>
    <s v="Electronic"/>
    <s v="Laptop"/>
    <x v="13"/>
    <s v="Female"/>
    <n v="29"/>
    <n v="818"/>
    <n v="999"/>
    <n v="23722"/>
    <n v="28971"/>
    <n v="5249"/>
    <s v="profit"/>
  </r>
  <r>
    <x v="312"/>
    <s v="january"/>
    <s v="Pure Vision Consulting"/>
    <s v="Fashion "/>
    <s v="Saree"/>
    <x v="13"/>
    <s v="Female"/>
    <n v="75"/>
    <n v="539"/>
    <n v="1068"/>
    <n v="40425"/>
    <n v="80100"/>
    <n v="39675"/>
    <s v="profit"/>
  </r>
  <r>
    <x v="313"/>
    <s v="january"/>
    <s v="Legacy Spectrum Co."/>
    <s v="Fashion "/>
    <s v="Saree"/>
    <x v="13"/>
    <s v="Male"/>
    <n v="78"/>
    <n v="608"/>
    <n v="1496"/>
    <n v="47424"/>
    <n v="116688"/>
    <n v="69264"/>
    <s v="profit"/>
  </r>
  <r>
    <x v="314"/>
    <s v="january"/>
    <s v="Stellar Media Services"/>
    <s v="Fashion "/>
    <s v="Suit"/>
    <x v="7"/>
    <s v="Male"/>
    <n v="66"/>
    <n v="831"/>
    <n v="787"/>
    <n v="54846"/>
    <n v="51942"/>
    <n v="-2904"/>
    <s v="loss"/>
  </r>
  <r>
    <x v="315"/>
    <s v="january"/>
    <s v="Radiant Innovations Group"/>
    <s v="Fashion "/>
    <s v="Suit"/>
    <x v="5"/>
    <s v="Male"/>
    <n v="86"/>
    <n v="855"/>
    <n v="930"/>
    <n v="73530"/>
    <n v="79980"/>
    <n v="6450"/>
    <s v="profit"/>
  </r>
  <r>
    <x v="316"/>
    <s v="january"/>
    <s v="Horizon Path Ventures"/>
    <s v="Fashion "/>
    <s v="Suit"/>
    <x v="17"/>
    <s v="Female"/>
    <n v="84"/>
    <n v="948"/>
    <n v="1156"/>
    <n v="79632"/>
    <n v="97104"/>
    <n v="17472"/>
    <s v="profit"/>
  </r>
  <r>
    <x v="317"/>
    <s v="january"/>
    <s v="Zenith Tech Co."/>
    <s v="Fashion "/>
    <s v="Suit"/>
    <x v="8"/>
    <s v="Female"/>
    <n v="90"/>
    <n v="962"/>
    <n v="970"/>
    <n v="86580"/>
    <n v="87300"/>
    <n v="720"/>
    <s v="profit"/>
  </r>
  <r>
    <x v="318"/>
    <s v="january"/>
    <s v="Apex Finance Ventures"/>
    <s v="Fashion "/>
    <s v="Suit"/>
    <x v="18"/>
    <s v="Female"/>
    <n v="84"/>
    <n v="521"/>
    <n v="1320"/>
    <n v="43764"/>
    <n v="110880"/>
    <n v="67116"/>
    <s v="profit"/>
  </r>
  <r>
    <x v="319"/>
    <s v="february"/>
    <s v="Zenith Wellness Co."/>
    <s v="Fashion "/>
    <s v="Saree"/>
    <x v="7"/>
    <s v="Female"/>
    <n v="85"/>
    <n v="938"/>
    <n v="802"/>
    <n v="79730"/>
    <n v="68170"/>
    <n v="-11560"/>
    <s v="loss"/>
  </r>
  <r>
    <x v="71"/>
    <s v="august"/>
    <s v="Urban Wave Solutions"/>
    <s v="Fashion "/>
    <s v="Saree"/>
    <x v="1"/>
    <s v="Male"/>
    <n v="60"/>
    <n v="645"/>
    <n v="936"/>
    <n v="38700"/>
    <n v="56160"/>
    <n v="17460"/>
    <s v="profit"/>
  </r>
  <r>
    <x v="320"/>
    <s v="february"/>
    <s v="Apex Design Services"/>
    <s v="Fashion "/>
    <s v="Saree"/>
    <x v="7"/>
    <s v="Female"/>
    <n v="62"/>
    <n v="562"/>
    <n v="884"/>
    <n v="34844"/>
    <n v="54808"/>
    <n v="19964"/>
    <s v="profit"/>
  </r>
  <r>
    <x v="321"/>
    <s v="february"/>
    <s v="Pure Health Ventures"/>
    <s v="Fashion "/>
    <s v="Saree"/>
    <x v="13"/>
    <s v="Female"/>
    <n v="50"/>
    <n v="887"/>
    <n v="1068"/>
    <n v="44350"/>
    <n v="53400"/>
    <n v="9050"/>
    <s v="profit"/>
  </r>
  <r>
    <x v="322"/>
    <s v="february"/>
    <s v="Legacy Spectrum Group"/>
    <s v="Fashion "/>
    <s v="Saree"/>
    <x v="12"/>
    <s v="Male"/>
    <n v="66"/>
    <n v="771"/>
    <n v="1492"/>
    <n v="50886"/>
    <n v="98472"/>
    <n v="47586"/>
    <s v="profit"/>
  </r>
  <r>
    <x v="323"/>
    <s v="february"/>
    <s v="Pinnacle Media Ventures"/>
    <s v="Fashion "/>
    <s v="Saree"/>
    <x v="7"/>
    <s v="Male"/>
    <n v="61"/>
    <n v="529"/>
    <n v="1419"/>
    <n v="32269"/>
    <n v="86559"/>
    <n v="54290"/>
    <s v="profit"/>
  </r>
  <r>
    <x v="72"/>
    <s v="september"/>
    <s v="Visionary Realty Solutions"/>
    <s v="Fashion "/>
    <s v="Suit"/>
    <x v="5"/>
    <s v="Female"/>
    <n v="68"/>
    <n v="777"/>
    <n v="1433"/>
    <n v="52836"/>
    <n v="97444"/>
    <n v="44608"/>
    <s v="profit"/>
  </r>
  <r>
    <x v="324"/>
    <s v="february"/>
    <s v="Stellar Innovations Group"/>
    <s v="Fashion "/>
    <s v="Saree"/>
    <x v="5"/>
    <s v="Male"/>
    <n v="78"/>
    <n v="511"/>
    <n v="1368"/>
    <n v="39858"/>
    <n v="106704"/>
    <n v="66846"/>
    <s v="profit"/>
  </r>
  <r>
    <x v="325"/>
    <s v="february"/>
    <s v="Radiant Educational Co."/>
    <s v="Fashion "/>
    <s v="Saree"/>
    <x v="17"/>
    <s v="Male"/>
    <n v="96"/>
    <n v="790"/>
    <n v="1335"/>
    <n v="75840"/>
    <n v="128160"/>
    <n v="52320"/>
    <s v="profit"/>
  </r>
  <r>
    <x v="326"/>
    <s v="february"/>
    <s v="Harmony Edge Ventures"/>
    <s v="Fashion "/>
    <s v="Saree"/>
    <x v="8"/>
    <s v="Female"/>
    <n v="63"/>
    <n v="722"/>
    <n v="1374"/>
    <n v="45486"/>
    <n v="86562"/>
    <n v="41076"/>
    <s v="profit"/>
  </r>
  <r>
    <x v="327"/>
    <s v="february"/>
    <s v="Apex Finance Group"/>
    <s v="Fashion "/>
    <s v="Saree"/>
    <x v="19"/>
    <s v="Male"/>
    <n v="92"/>
    <n v="521"/>
    <n v="1414"/>
    <n v="47932"/>
    <n v="130088"/>
    <n v="82156"/>
    <s v="profit"/>
  </r>
  <r>
    <x v="328"/>
    <s v="february"/>
    <s v="Pure Harmony Media"/>
    <s v="Fashion "/>
    <s v="Saree"/>
    <x v="0"/>
    <s v="Male"/>
    <n v="65"/>
    <n v="661"/>
    <n v="1425"/>
    <n v="42965"/>
    <n v="92625"/>
    <n v="49660"/>
    <s v="profit"/>
  </r>
  <r>
    <x v="329"/>
    <s v="february"/>
    <s v="Legacy Health Co."/>
    <s v="Fashion "/>
    <s v="Suit"/>
    <x v="1"/>
    <s v="Male"/>
    <n v="77"/>
    <n v="595"/>
    <n v="1470"/>
    <n v="45815"/>
    <n v="113190"/>
    <n v="67375"/>
    <s v="profit"/>
  </r>
  <r>
    <x v="330"/>
    <s v="february"/>
    <s v="ACCOUNTS EXPERT"/>
    <s v="Fashion "/>
    <s v="CHAIR"/>
    <x v="1"/>
    <s v="Male"/>
    <n v="62"/>
    <n v="774"/>
    <n v="1050"/>
    <n v="47988"/>
    <n v="65100"/>
    <n v="17112"/>
    <s v="profit"/>
  </r>
  <r>
    <x v="198"/>
    <s v="april"/>
    <s v="Golden Horizon Ventures"/>
    <s v="Fashion "/>
    <s v="Women dress"/>
    <x v="15"/>
    <s v="Male"/>
    <n v="65"/>
    <n v="816"/>
    <n v="1347"/>
    <n v="53040"/>
    <n v="87555"/>
    <n v="34515"/>
    <s v="profit"/>
  </r>
  <r>
    <x v="73"/>
    <s v="september"/>
    <s v="Pure Essence Solutions"/>
    <s v="Decor"/>
    <s v="Home décor"/>
    <x v="6"/>
    <s v="Female"/>
    <n v="19"/>
    <n v="576"/>
    <n v="1181"/>
    <n v="10944"/>
    <n v="22439"/>
    <n v="11495"/>
    <s v="profit"/>
  </r>
  <r>
    <x v="199"/>
    <s v="april"/>
    <s v="Eternal Traditions"/>
    <s v="Fashion "/>
    <s v="Women dress"/>
    <x v="16"/>
    <s v="Male"/>
    <n v="100"/>
    <n v="893"/>
    <n v="1460"/>
    <n v="89300"/>
    <n v="146000"/>
    <n v="56700"/>
    <s v="profit"/>
  </r>
  <r>
    <x v="200"/>
    <s v="april"/>
    <s v="Harmony Foods"/>
    <s v="Fashion "/>
    <s v="Women dress"/>
    <x v="8"/>
    <s v="Male"/>
    <n v="79"/>
    <n v="632"/>
    <n v="1271"/>
    <n v="49928"/>
    <n v="100409"/>
    <n v="50481"/>
    <s v="profit"/>
  </r>
  <r>
    <x v="201"/>
    <s v="april"/>
    <s v="Sacred Roots Apparel"/>
    <s v="Fashion "/>
    <s v="Male dress"/>
    <x v="8"/>
    <s v="Female"/>
    <n v="74"/>
    <n v="859"/>
    <n v="1315"/>
    <n v="63566"/>
    <n v="97310"/>
    <n v="33744"/>
    <s v="profit"/>
  </r>
  <r>
    <x v="202"/>
    <s v="april"/>
    <s v="Quantum Finance Services"/>
    <s v="Fashion "/>
    <s v="Male dress"/>
    <x v="9"/>
    <s v="Female"/>
    <n v="77"/>
    <n v="579"/>
    <n v="1178"/>
    <n v="44583"/>
    <n v="90706"/>
    <n v="46123"/>
    <s v="profit"/>
  </r>
  <r>
    <x v="74"/>
    <s v="september"/>
    <s v="Crystal Health Solutions"/>
    <s v="Decor"/>
    <s v="Home décor"/>
    <x v="7"/>
    <s v="Male"/>
    <n v="16"/>
    <n v="689"/>
    <n v="1068"/>
    <n v="11024"/>
    <n v="17088"/>
    <n v="6064"/>
    <s v="profit"/>
  </r>
  <r>
    <x v="203"/>
    <s v="april"/>
    <s v="Brilliant Minds Academy"/>
    <s v="Fashion "/>
    <s v="Male dress"/>
    <x v="4"/>
    <s v="Female"/>
    <n v="61"/>
    <n v="865"/>
    <n v="894"/>
    <n v="52765"/>
    <n v="54534"/>
    <n v="1769"/>
    <s v="profit"/>
  </r>
  <r>
    <x v="204"/>
    <s v="april"/>
    <s v="Visionary Holdings"/>
    <s v="Fashion "/>
    <s v="Male dress"/>
    <x v="10"/>
    <s v="Female"/>
    <n v="57"/>
    <n v="881"/>
    <n v="1185"/>
    <n v="50217"/>
    <n v="67545"/>
    <n v="17328"/>
    <s v="profit"/>
  </r>
  <r>
    <x v="205"/>
    <s v="april"/>
    <s v="Stellar Design Studio"/>
    <s v="Fashion "/>
    <s v="Male dress"/>
    <x v="11"/>
    <s v="Female"/>
    <n v="57"/>
    <n v="548"/>
    <n v="1306"/>
    <n v="31236"/>
    <n v="74442"/>
    <n v="43206"/>
    <s v="profit"/>
  </r>
  <r>
    <x v="206"/>
    <s v="april"/>
    <s v="Classic Cuisines"/>
    <s v="Fashion "/>
    <s v="Male dress"/>
    <x v="6"/>
    <s v="Male"/>
    <n v="84"/>
    <n v="702"/>
    <n v="787"/>
    <n v="58968"/>
    <n v="66108"/>
    <n v="7140"/>
    <s v="profit"/>
  </r>
  <r>
    <x v="207"/>
    <s v="april"/>
    <s v="Bold Ventures"/>
    <s v="Fashion "/>
    <s v="Male dress"/>
    <x v="7"/>
    <s v="Male"/>
    <n v="76"/>
    <n v="875"/>
    <n v="1268"/>
    <n v="66500"/>
    <n v="96368"/>
    <n v="29868"/>
    <s v="profit"/>
  </r>
  <r>
    <x v="208"/>
    <s v="may"/>
    <s v="Radiance Spa"/>
    <s v="Fashion "/>
    <s v="Saree"/>
    <x v="12"/>
    <s v="Male"/>
    <n v="50"/>
    <n v="885"/>
    <n v="927"/>
    <n v="44250"/>
    <n v="46350"/>
    <n v="2100"/>
    <s v="profit"/>
  </r>
  <r>
    <x v="209"/>
    <s v="may"/>
    <s v="Verve Fitness Studio"/>
    <s v="Fashion "/>
    <s v="Saree"/>
    <x v="7"/>
    <s v="Female"/>
    <n v="53"/>
    <n v="950"/>
    <n v="875"/>
    <n v="50350"/>
    <n v="46375"/>
    <n v="-3975"/>
    <s v="loss"/>
  </r>
  <r>
    <x v="210"/>
    <s v="may"/>
    <s v="Sparkle Cleaners"/>
    <s v="Fashion "/>
    <s v="Saree"/>
    <x v="7"/>
    <s v="Female"/>
    <n v="62"/>
    <n v="623"/>
    <n v="1253"/>
    <n v="38626"/>
    <n v="77686"/>
    <n v="39060"/>
    <s v="profit"/>
  </r>
  <r>
    <x v="75"/>
    <s v="september"/>
    <s v="Stellar Travel Solutions"/>
    <s v="Decor"/>
    <s v="Car accessories"/>
    <x v="7"/>
    <s v="Female"/>
    <n v="18"/>
    <n v="835"/>
    <n v="1234"/>
    <n v="15030"/>
    <n v="22212"/>
    <n v="7182"/>
    <s v="profit"/>
  </r>
  <r>
    <x v="211"/>
    <s v="may"/>
    <s v="Global Reach Logistics"/>
    <s v="Fashion "/>
    <s v="Saree"/>
    <x v="8"/>
    <s v="Female"/>
    <n v="72"/>
    <n v="920"/>
    <n v="753"/>
    <n v="66240"/>
    <n v="54216"/>
    <n v="-12024"/>
    <s v="loss"/>
  </r>
  <r>
    <x v="76"/>
    <s v="september"/>
    <s v="Pure Harmony Solutions"/>
    <s v="Decor"/>
    <s v="Car accessories"/>
    <x v="13"/>
    <s v="Female"/>
    <n v="13"/>
    <n v="855"/>
    <n v="951"/>
    <n v="11115"/>
    <n v="12363"/>
    <n v="1248"/>
    <s v="profit"/>
  </r>
  <r>
    <x v="212"/>
    <s v="may"/>
    <s v="Noble Path Finance"/>
    <s v="Fashion "/>
    <s v="Saree"/>
    <x v="4"/>
    <s v="Female"/>
    <n v="69"/>
    <n v="860"/>
    <n v="1081"/>
    <n v="59340"/>
    <n v="74589"/>
    <n v="15249"/>
    <s v="profit"/>
  </r>
  <r>
    <x v="213"/>
    <s v="may"/>
    <s v="Dynamic Events Management"/>
    <s v="Fashion "/>
    <s v="Saree"/>
    <x v="8"/>
    <s v="Female"/>
    <n v="80"/>
    <n v="765"/>
    <n v="924"/>
    <n v="61200"/>
    <n v="73920"/>
    <n v="12720"/>
    <s v="profit"/>
  </r>
  <r>
    <x v="214"/>
    <s v="may"/>
    <s v="Crystal Waters Resort"/>
    <s v="Fashion "/>
    <s v="Saree"/>
    <x v="9"/>
    <s v="Female"/>
    <n v="75"/>
    <n v="690"/>
    <n v="817"/>
    <n v="51750"/>
    <n v="61275"/>
    <n v="9525"/>
    <s v="profit"/>
  </r>
  <r>
    <x v="215"/>
    <s v="may"/>
    <s v="Excellence Tutors"/>
    <s v="Fashion "/>
    <s v="Saree"/>
    <x v="4"/>
    <s v="Female"/>
    <n v="100"/>
    <n v="795"/>
    <n v="1136"/>
    <n v="79500"/>
    <n v="113600"/>
    <n v="34100"/>
    <s v="profit"/>
  </r>
  <r>
    <x v="216"/>
    <s v="may"/>
    <s v="Horizon Builders"/>
    <s v="Fashion "/>
    <s v="Saree"/>
    <x v="10"/>
    <s v="Male"/>
    <n v="85"/>
    <n v="845"/>
    <n v="1155"/>
    <n v="71825"/>
    <n v="98175"/>
    <n v="26350"/>
    <s v="profit"/>
  </r>
  <r>
    <x v="77"/>
    <s v="october"/>
    <s v="Modern Spectrum Solutions"/>
    <s v="Fashion "/>
    <s v="Saree"/>
    <x v="8"/>
    <s v="Female"/>
    <n v="79"/>
    <n v="683"/>
    <n v="1444"/>
    <n v="53957"/>
    <n v="114076"/>
    <n v="60119"/>
    <s v="profit"/>
  </r>
  <r>
    <x v="217"/>
    <s v="may"/>
    <s v="Classic Heritage Crafts"/>
    <s v="Fashion "/>
    <s v="Saree"/>
    <x v="6"/>
    <s v="Male"/>
    <n v="51"/>
    <n v="876"/>
    <n v="1252"/>
    <n v="44676"/>
    <n v="63852"/>
    <n v="19176"/>
    <s v="profit"/>
  </r>
  <r>
    <x v="218"/>
    <s v="may"/>
    <s v="Prime Focus Media"/>
    <s v="Fashion "/>
    <s v="Suit"/>
    <x v="7"/>
    <s v="Male"/>
    <n v="55"/>
    <n v="793"/>
    <n v="1045"/>
    <n v="43615"/>
    <n v="57475"/>
    <n v="13860"/>
    <s v="profit"/>
  </r>
  <r>
    <x v="219"/>
    <s v="june"/>
    <s v="Noble Nutraceuticals"/>
    <s v="Fashion "/>
    <s v="Suit"/>
    <x v="7"/>
    <s v="Female"/>
    <n v="82"/>
    <n v="641"/>
    <n v="809"/>
    <n v="52562"/>
    <n v="66338"/>
    <n v="13776"/>
    <s v="profit"/>
  </r>
  <r>
    <x v="220"/>
    <s v="june"/>
    <s v="Supreme Travel Agency"/>
    <s v="Fashion "/>
    <s v="Suit"/>
    <x v="13"/>
    <s v="Male"/>
    <n v="80"/>
    <n v="678"/>
    <n v="1016"/>
    <n v="54240"/>
    <n v="81280"/>
    <n v="27040"/>
    <s v="profit"/>
  </r>
  <r>
    <x v="221"/>
    <s v="june"/>
    <s v="Future Vision Tech"/>
    <s v="Fashion "/>
    <s v="Suit"/>
    <x v="13"/>
    <s v="Male"/>
    <n v="76"/>
    <n v="585"/>
    <n v="1366"/>
    <n v="44460"/>
    <n v="103816"/>
    <n v="59356"/>
    <s v="profit"/>
  </r>
  <r>
    <x v="222"/>
    <s v="june"/>
    <s v="Urban Groove Apparel"/>
    <s v="Fashion "/>
    <s v="Suit"/>
    <x v="12"/>
    <s v="Male"/>
    <n v="93"/>
    <n v="662"/>
    <n v="1319"/>
    <n v="61566"/>
    <n v="122667"/>
    <n v="61101"/>
    <s v="profit"/>
  </r>
  <r>
    <x v="81"/>
    <s v="october"/>
    <s v="Apex Creative Solutions"/>
    <s v="Fashion "/>
    <s v="Suit"/>
    <x v="3"/>
    <s v="Male"/>
    <n v="67"/>
    <n v="711"/>
    <n v="1280"/>
    <n v="47637"/>
    <n v="85760"/>
    <n v="38123"/>
    <s v="profit"/>
  </r>
  <r>
    <x v="223"/>
    <s v="june"/>
    <s v="Echo Real Estate"/>
    <s v="Fashion "/>
    <s v="Suit"/>
    <x v="7"/>
    <s v="Male"/>
    <n v="51"/>
    <n v="744"/>
    <n v="782"/>
    <n v="37944"/>
    <n v="39882"/>
    <n v="1938"/>
    <s v="profit"/>
  </r>
  <r>
    <x v="224"/>
    <s v="june"/>
    <s v="Pinnacle Health Products"/>
    <s v="Fashion "/>
    <s v="Suit"/>
    <x v="5"/>
    <s v="Female"/>
    <n v="88"/>
    <n v="820"/>
    <n v="1241"/>
    <n v="72160"/>
    <n v="109208"/>
    <n v="37048"/>
    <s v="profit"/>
  </r>
  <r>
    <x v="225"/>
    <s v="june"/>
    <s v="Apex Auto Care"/>
    <s v="Fashion "/>
    <s v="Suit"/>
    <x v="17"/>
    <s v="Female"/>
    <n v="72"/>
    <n v="937"/>
    <n v="1154"/>
    <n v="67464"/>
    <n v="83088"/>
    <n v="15624"/>
    <s v="profit"/>
  </r>
  <r>
    <x v="226"/>
    <s v="june"/>
    <s v="Royal Glow Cosmetics"/>
    <s v="Fashion "/>
    <s v="Suit"/>
    <x v="8"/>
    <s v="Female"/>
    <n v="55"/>
    <n v="685"/>
    <n v="824"/>
    <n v="37675"/>
    <n v="45320"/>
    <n v="7645"/>
    <s v="profit"/>
  </r>
  <r>
    <x v="86"/>
    <s v="october"/>
    <s v="Radiance Solutions Group"/>
    <s v="Decor"/>
    <s v="Home décor"/>
    <x v="11"/>
    <s v="Female"/>
    <n v="20"/>
    <n v="963"/>
    <n v="865"/>
    <n v="19260"/>
    <n v="17300"/>
    <n v="-1960"/>
    <s v="loss"/>
  </r>
  <r>
    <x v="227"/>
    <s v="june"/>
    <s v="Zenith Culinary Arts"/>
    <s v="Fashion "/>
    <s v="Suit"/>
    <x v="18"/>
    <s v="Female"/>
    <n v="55"/>
    <n v="661"/>
    <n v="1133"/>
    <n v="36355"/>
    <n v="62315"/>
    <n v="25960"/>
    <s v="profit"/>
  </r>
  <r>
    <x v="228"/>
    <s v="june"/>
    <s v="Visionary Tours"/>
    <s v="Fashion "/>
    <s v="Suit"/>
    <x v="19"/>
    <s v="Female"/>
    <n v="72"/>
    <n v="804"/>
    <n v="833"/>
    <n v="57888"/>
    <n v="59976"/>
    <n v="2088"/>
    <s v="profit"/>
  </r>
  <r>
    <x v="89"/>
    <s v="october"/>
    <s v="Modern Edge Solutions"/>
    <s v="Decor"/>
    <s v="Home décor"/>
    <x v="7"/>
    <s v="Female"/>
    <n v="14"/>
    <n v="913"/>
    <n v="1155"/>
    <n v="12782"/>
    <n v="16170"/>
    <n v="3388"/>
    <s v="profit"/>
  </r>
  <r>
    <x v="229"/>
    <s v="june"/>
    <s v="Elite Essence Products"/>
    <s v="Fashion "/>
    <s v="Saree"/>
    <x v="3"/>
    <s v="Male"/>
    <n v="87"/>
    <n v="616"/>
    <n v="1447"/>
    <n v="53592"/>
    <n v="125889"/>
    <n v="72297"/>
    <s v="profit"/>
  </r>
  <r>
    <x v="91"/>
    <s v="october"/>
    <s v="Horizon Health Solutions"/>
    <s v="Electronic"/>
    <s v="Speaker"/>
    <x v="13"/>
    <s v="Female"/>
    <n v="23"/>
    <n v="616"/>
    <n v="919"/>
    <n v="14168"/>
    <n v="21137"/>
    <n v="6969"/>
    <s v="profit"/>
  </r>
  <r>
    <x v="230"/>
    <s v="june"/>
    <s v="Dynamic Creations"/>
    <s v="Fashion "/>
    <s v="Saree"/>
    <x v="15"/>
    <s v="Male"/>
    <n v="57"/>
    <n v="724"/>
    <n v="1432"/>
    <n v="41268"/>
    <n v="81624"/>
    <n v="40356"/>
    <s v="profit"/>
  </r>
  <r>
    <x v="93"/>
    <s v="october"/>
    <s v="Apex Marketing Solutions"/>
    <s v="Electronic"/>
    <s v="Earbuds"/>
    <x v="7"/>
    <s v="Male"/>
    <n v="28"/>
    <n v="539"/>
    <n v="1106"/>
    <n v="15092"/>
    <n v="30968"/>
    <n v="15876"/>
    <s v="profit"/>
  </r>
  <r>
    <x v="231"/>
    <s v="june"/>
    <s v="Quantum Design Studio"/>
    <s v="Fashion "/>
    <s v="Saree"/>
    <x v="14"/>
    <s v="Male"/>
    <n v="85"/>
    <n v="639"/>
    <n v="1447"/>
    <n v="54315"/>
    <n v="122995"/>
    <n v="68680"/>
    <s v="profit"/>
  </r>
  <r>
    <x v="232"/>
    <s v="june"/>
    <s v="Apex Construction"/>
    <s v="Fashion "/>
    <s v="Saree"/>
    <x v="3"/>
    <s v="Female"/>
    <n v="81"/>
    <n v="776"/>
    <n v="895"/>
    <n v="62856"/>
    <n v="72495"/>
    <n v="9639"/>
    <s v="profit"/>
  </r>
  <r>
    <x v="233"/>
    <s v="june"/>
    <s v="Legacy Innovations"/>
    <s v="Fashion "/>
    <s v="Suit"/>
    <x v="13"/>
    <s v="Female"/>
    <n v="86"/>
    <n v="705"/>
    <n v="1483"/>
    <n v="60630"/>
    <n v="127538"/>
    <n v="66908"/>
    <s v="profit"/>
  </r>
  <r>
    <x v="234"/>
    <s v="june"/>
    <s v="Pure Harmony Foods"/>
    <s v="Fashion "/>
    <s v="Suit"/>
    <x v="15"/>
    <s v="Male"/>
    <n v="80"/>
    <n v="901"/>
    <n v="1109"/>
    <n v="72080"/>
    <n v="88720"/>
    <n v="16640"/>
    <s v="profit"/>
  </r>
  <r>
    <x v="235"/>
    <s v="june"/>
    <s v="Zenith Security Systems"/>
    <s v="Fashion "/>
    <s v="Suit"/>
    <x v="16"/>
    <s v="Male"/>
    <n v="59"/>
    <n v="502"/>
    <n v="1212"/>
    <n v="29618"/>
    <n v="71508"/>
    <n v="41890"/>
    <s v="profit"/>
  </r>
  <r>
    <x v="236"/>
    <s v="june"/>
    <s v="Crystal Clear Beverages"/>
    <s v="Fashion "/>
    <s v="Suit"/>
    <x v="6"/>
    <s v="Male"/>
    <n v="52"/>
    <n v="556"/>
    <n v="1402"/>
    <n v="28912"/>
    <n v="72904"/>
    <n v="43992"/>
    <s v="profit"/>
  </r>
  <r>
    <x v="237"/>
    <s v="june"/>
    <s v="Metro Line Tech"/>
    <s v="Fashion "/>
    <s v="Suit"/>
    <x v="8"/>
    <s v="Male"/>
    <n v="92"/>
    <n v="953"/>
    <n v="790"/>
    <n v="87676"/>
    <n v="72680"/>
    <n v="-14996"/>
    <s v="loss"/>
  </r>
  <r>
    <x v="238"/>
    <s v="june"/>
    <s v="Urban Pulse Consulting"/>
    <s v="Fashion "/>
    <s v="Suit"/>
    <x v="12"/>
    <s v="Male"/>
    <n v="96"/>
    <n v="961"/>
    <n v="1174"/>
    <n v="92256"/>
    <n v="112704"/>
    <n v="20448"/>
    <s v="profit"/>
  </r>
  <r>
    <x v="239"/>
    <s v="july"/>
    <s v="Legacy Design Group"/>
    <s v="Fashion "/>
    <s v="Saree"/>
    <x v="1"/>
    <s v="Female"/>
    <n v="79"/>
    <n v="880"/>
    <n v="1403"/>
    <n v="69520"/>
    <n v="110837"/>
    <n v="41317"/>
    <s v="profit"/>
  </r>
  <r>
    <x v="240"/>
    <s v="july"/>
    <s v="Supreme Wellness"/>
    <s v="Fashion "/>
    <s v="Saree"/>
    <x v="2"/>
    <s v="Female"/>
    <n v="62"/>
    <n v="936"/>
    <n v="1364"/>
    <n v="58032"/>
    <n v="84568"/>
    <n v="26536"/>
    <s v="profit"/>
  </r>
  <r>
    <x v="241"/>
    <s v="july"/>
    <s v="Harmony Tech Innovations"/>
    <s v="Fashion "/>
    <s v="Saree"/>
    <x v="3"/>
    <s v="Female"/>
    <n v="53"/>
    <n v="791"/>
    <n v="1253"/>
    <n v="41923"/>
    <n v="66409"/>
    <n v="24486"/>
    <s v="profit"/>
  </r>
  <r>
    <x v="105"/>
    <s v="november"/>
    <s v="Radiance Solutions Co."/>
    <s v="Fashion "/>
    <s v="Male dress"/>
    <x v="5"/>
    <s v="Female"/>
    <n v="74"/>
    <n v="636"/>
    <n v="955"/>
    <n v="47064"/>
    <n v="70670"/>
    <n v="23606"/>
    <s v="profit"/>
  </r>
  <r>
    <x v="242"/>
    <s v="july"/>
    <s v="Stellar Education Services"/>
    <s v="Fashion "/>
    <s v="Saree"/>
    <x v="3"/>
    <s v="Female"/>
    <n v="56"/>
    <n v="740"/>
    <n v="1464"/>
    <n v="41440"/>
    <n v="81984"/>
    <n v="40544"/>
    <s v="profit"/>
  </r>
  <r>
    <x v="243"/>
    <s v="july"/>
    <s v="Visionary Health Products"/>
    <s v="Fashion "/>
    <s v="Saree"/>
    <x v="4"/>
    <s v="Female"/>
    <n v="63"/>
    <n v="519"/>
    <n v="826"/>
    <n v="32697"/>
    <n v="52038"/>
    <n v="19341"/>
    <s v="profit"/>
  </r>
  <r>
    <x v="108"/>
    <s v="november"/>
    <s v="Horizon Creative Solutions"/>
    <s v="Fashion "/>
    <s v="Male dress"/>
    <x v="14"/>
    <s v="Female"/>
    <n v="83"/>
    <n v="569"/>
    <n v="1232"/>
    <n v="47227"/>
    <n v="102256"/>
    <n v="55029"/>
    <s v="profit"/>
  </r>
  <r>
    <x v="244"/>
    <s v="july"/>
    <s v="Crystal Innovations"/>
    <s v="Fashion "/>
    <s v="Saree"/>
    <x v="5"/>
    <s v="Female"/>
    <n v="73"/>
    <n v="857"/>
    <n v="1024"/>
    <n v="62561"/>
    <n v="74752"/>
    <n v="12191"/>
    <s v="profit"/>
  </r>
  <r>
    <x v="245"/>
    <s v="july"/>
    <s v="Future Trends Retail"/>
    <s v="Fashion "/>
    <s v="Saree"/>
    <x v="3"/>
    <s v="Female"/>
    <n v="67"/>
    <n v="725"/>
    <n v="884"/>
    <n v="48575"/>
    <n v="59228"/>
    <n v="10653"/>
    <s v="profit"/>
  </r>
  <r>
    <x v="246"/>
    <s v="july"/>
    <s v="Radiant Horizon Ventures"/>
    <s v="Fashion "/>
    <s v="Saree"/>
    <x v="15"/>
    <s v="Female"/>
    <n v="74"/>
    <n v="691"/>
    <n v="871"/>
    <n v="51134"/>
    <n v="64454"/>
    <n v="13320"/>
    <s v="profit"/>
  </r>
  <r>
    <x v="247"/>
    <s v="july"/>
    <s v="Urban Edge Realty"/>
    <s v="Fashion "/>
    <s v="Saree"/>
    <x v="14"/>
    <s v="Male"/>
    <n v="92"/>
    <n v="981"/>
    <n v="1157"/>
    <n v="90252"/>
    <n v="106444"/>
    <n v="16192"/>
    <s v="profit"/>
  </r>
  <r>
    <x v="113"/>
    <s v="november"/>
    <s v="Urban Spectrum Solutions"/>
    <s v="Electronic"/>
    <s v="TV"/>
    <x v="16"/>
    <s v="Male"/>
    <n v="23"/>
    <n v="663"/>
    <n v="1215"/>
    <n v="15249"/>
    <n v="27945"/>
    <n v="12696"/>
    <s v="profit"/>
  </r>
  <r>
    <x v="248"/>
    <s v="july"/>
    <s v="Prime Focus Innovations"/>
    <s v="Fashion "/>
    <s v="Saree"/>
    <x v="8"/>
    <s v="Male"/>
    <n v="63"/>
    <n v="547"/>
    <n v="1150"/>
    <n v="34461"/>
    <n v="72450"/>
    <n v="37989"/>
    <s v="profit"/>
  </r>
  <r>
    <x v="249"/>
    <s v="august"/>
    <s v="Elite Spectrum Consulting"/>
    <s v="Fashion "/>
    <s v="Saree"/>
    <x v="3"/>
    <s v="Male"/>
    <n v="69"/>
    <n v="531"/>
    <n v="1210"/>
    <n v="36639"/>
    <n v="83490"/>
    <n v="46851"/>
    <s v="profit"/>
  </r>
  <r>
    <x v="250"/>
    <s v="august"/>
    <s v="Dynamic Design Studio"/>
    <s v="Fashion "/>
    <s v="Saree"/>
    <x v="13"/>
    <s v="Male"/>
    <n v="84"/>
    <n v="806"/>
    <n v="1242"/>
    <n v="67704"/>
    <n v="104328"/>
    <n v="36624"/>
    <s v="profit"/>
  </r>
  <r>
    <x v="117"/>
    <s v="november"/>
    <s v="Legacy Wellness Solutions"/>
    <s v="Electronic"/>
    <s v="TV"/>
    <x v="6"/>
    <s v="Female"/>
    <n v="26"/>
    <n v="878"/>
    <n v="1492"/>
    <n v="22828"/>
    <n v="38792"/>
    <n v="15964"/>
    <s v="profit"/>
  </r>
  <r>
    <x v="251"/>
    <s v="august"/>
    <s v="Royal Crest Foods"/>
    <s v="Fashion "/>
    <s v="Suit"/>
    <x v="16"/>
    <s v="Female"/>
    <n v="71"/>
    <n v="565"/>
    <n v="807"/>
    <n v="40115"/>
    <n v="57297"/>
    <n v="17182"/>
    <s v="profit"/>
  </r>
  <r>
    <x v="119"/>
    <s v="november"/>
    <s v="Horizon Media Solutions"/>
    <s v="Electronic"/>
    <s v="TV"/>
    <x v="7"/>
    <s v="Female"/>
    <n v="25"/>
    <n v="547"/>
    <n v="1342"/>
    <n v="13675"/>
    <n v="33550"/>
    <n v="19875"/>
    <s v="profit"/>
  </r>
  <r>
    <x v="252"/>
    <s v="august"/>
    <s v="Zenith Travels"/>
    <s v="Fashion "/>
    <s v="Suit"/>
    <x v="6"/>
    <s v="Female"/>
    <n v="90"/>
    <n v="634"/>
    <n v="1465"/>
    <n v="57060"/>
    <n v="131850"/>
    <n v="74790"/>
    <s v="profit"/>
  </r>
  <r>
    <x v="253"/>
    <s v="august"/>
    <s v="Quantum Media Group"/>
    <s v="Fashion "/>
    <s v="Saree"/>
    <x v="7"/>
    <s v="Female"/>
    <n v="61"/>
    <n v="675"/>
    <n v="770"/>
    <n v="41175"/>
    <n v="46970"/>
    <n v="5795"/>
    <s v="profit"/>
  </r>
  <r>
    <x v="254"/>
    <s v="august"/>
    <s v="Legacy Builders"/>
    <s v="Fashion "/>
    <s v="Saree"/>
    <x v="5"/>
    <s v="Female"/>
    <n v="58"/>
    <n v="720"/>
    <n v="1356"/>
    <n v="41760"/>
    <n v="78648"/>
    <n v="36888"/>
    <s v="profit"/>
  </r>
  <r>
    <x v="255"/>
    <s v="august"/>
    <s v="Apex Spa &amp; Wellness"/>
    <s v="Fashion "/>
    <s v="Saree"/>
    <x v="17"/>
    <s v="Female"/>
    <n v="60"/>
    <n v="676"/>
    <n v="768"/>
    <n v="40560"/>
    <n v="46080"/>
    <n v="5520"/>
    <s v="profit"/>
  </r>
  <r>
    <x v="256"/>
    <s v="august"/>
    <s v="Radiant Travel Services"/>
    <s v="Fashion "/>
    <s v="Saree"/>
    <x v="8"/>
    <s v="Female"/>
    <n v="91"/>
    <n v="808"/>
    <n v="928"/>
    <n v="73528"/>
    <n v="84448"/>
    <n v="10920"/>
    <s v="profit"/>
  </r>
  <r>
    <x v="257"/>
    <s v="august"/>
    <s v="Modern Trends Consulting"/>
    <s v="Fashion "/>
    <s v="Saree"/>
    <x v="18"/>
    <s v="Female"/>
    <n v="99"/>
    <n v="528"/>
    <n v="985"/>
    <n v="52272"/>
    <n v="97515"/>
    <n v="45243"/>
    <s v="profit"/>
  </r>
  <r>
    <x v="258"/>
    <s v="august"/>
    <s v="Global Horizon Ventures"/>
    <s v="Fashion "/>
    <s v="Saree"/>
    <x v="19"/>
    <s v="Female"/>
    <n v="73"/>
    <n v="783"/>
    <n v="903"/>
    <n v="57159"/>
    <n v="65919"/>
    <n v="8760"/>
    <s v="profit"/>
  </r>
  <r>
    <x v="259"/>
    <s v="august"/>
    <s v="Elite Enterprises"/>
    <s v="Fashion "/>
    <s v="Saree"/>
    <x v="0"/>
    <s v="Male"/>
    <n v="59"/>
    <n v="638"/>
    <n v="1080"/>
    <n v="37642"/>
    <n v="63720"/>
    <n v="26078"/>
    <s v="profit"/>
  </r>
  <r>
    <x v="260"/>
    <s v="september"/>
    <s v="Pinnacle Health Innovations"/>
    <s v="Fashion "/>
    <s v="Saree"/>
    <x v="2"/>
    <s v="Male"/>
    <n v="68"/>
    <n v="881"/>
    <n v="1266"/>
    <n v="59908"/>
    <n v="86088"/>
    <n v="26180"/>
    <s v="profit"/>
  </r>
  <r>
    <x v="129"/>
    <s v="november"/>
    <s v="Urban Vision Solutions"/>
    <s v="Electronic"/>
    <s v="Laptop"/>
    <x v="7"/>
    <s v="Female"/>
    <n v="22"/>
    <n v="606"/>
    <n v="1459"/>
    <n v="13332"/>
    <n v="32098"/>
    <n v="18766"/>
    <s v="profit"/>
  </r>
  <r>
    <x v="261"/>
    <s v="september"/>
    <s v="Horizon Fashion"/>
    <s v="Fashion "/>
    <s v="Suit"/>
    <x v="3"/>
    <s v="Male"/>
    <n v="55"/>
    <n v="639"/>
    <n v="1311"/>
    <n v="35145"/>
    <n v="72105"/>
    <n v="36960"/>
    <s v="profit"/>
  </r>
  <r>
    <x v="262"/>
    <s v="september"/>
    <s v="Crystal Essence Beverages"/>
    <s v="Fashion "/>
    <s v="Suit"/>
    <x v="3"/>
    <s v="Male"/>
    <n v="52"/>
    <n v="718"/>
    <n v="919"/>
    <n v="37336"/>
    <n v="47788"/>
    <n v="10452"/>
    <s v="profit"/>
  </r>
  <r>
    <x v="132"/>
    <s v="december"/>
    <s v="Pinnacle Travel Solutions"/>
    <s v="Electronic"/>
    <s v="Laptop"/>
    <x v="12"/>
    <s v="Male"/>
    <n v="28"/>
    <n v="507"/>
    <n v="1379"/>
    <n v="14196"/>
    <n v="38612"/>
    <n v="24416"/>
    <s v="profit"/>
  </r>
  <r>
    <x v="263"/>
    <s v="september"/>
    <s v="Dynamic Pathways"/>
    <s v="Fashion "/>
    <s v="Suit"/>
    <x v="4"/>
    <s v="Female"/>
    <n v="95"/>
    <n v="944"/>
    <n v="1263"/>
    <n v="89680"/>
    <n v="119985"/>
    <n v="30305"/>
    <s v="profit"/>
  </r>
  <r>
    <x v="264"/>
    <s v="september"/>
    <s v="Radiance Apparel"/>
    <s v="Fashion "/>
    <s v="Suit"/>
    <x v="3"/>
    <s v="Female"/>
    <n v="99"/>
    <n v="523"/>
    <n v="1350"/>
    <n v="51777"/>
    <n v="133650"/>
    <n v="81873"/>
    <s v="profit"/>
  </r>
  <r>
    <x v="265"/>
    <s v="september"/>
    <s v="Zenith Design Group"/>
    <s v="Fashion "/>
    <s v="Suit"/>
    <x v="15"/>
    <s v="Male"/>
    <n v="92"/>
    <n v="814"/>
    <n v="865"/>
    <n v="74888"/>
    <n v="79580"/>
    <n v="4692"/>
    <s v="profit"/>
  </r>
  <r>
    <x v="266"/>
    <s v="september"/>
    <s v="Modern Horizons Consulting"/>
    <s v="Fashion "/>
    <s v="Suit"/>
    <x v="8"/>
    <s v="Male"/>
    <n v="62"/>
    <n v="891"/>
    <n v="1170"/>
    <n v="55242"/>
    <n v="72540"/>
    <n v="17298"/>
    <s v="profit"/>
  </r>
  <r>
    <x v="137"/>
    <s v="december"/>
    <s v="Harmony Health Solutions"/>
    <s v="Electronic"/>
    <s v="Laptop"/>
    <x v="18"/>
    <s v="Male"/>
    <n v="29"/>
    <n v="989"/>
    <n v="836"/>
    <n v="28681"/>
    <n v="24244"/>
    <n v="-4437"/>
    <s v="loss"/>
  </r>
  <r>
    <x v="267"/>
    <s v="september"/>
    <s v="Apex Realty Services"/>
    <s v="Fashion "/>
    <s v="Suit"/>
    <x v="4"/>
    <s v="Male"/>
    <n v="89"/>
    <n v="990"/>
    <n v="1047"/>
    <n v="88110"/>
    <n v="93183"/>
    <n v="5073"/>
    <s v="profit"/>
  </r>
  <r>
    <x v="268"/>
    <s v="september"/>
    <s v="Zenith Educational Group"/>
    <s v="Fashion "/>
    <s v="Suit"/>
    <x v="8"/>
    <s v="Male"/>
    <n v="61"/>
    <n v="907"/>
    <n v="1327"/>
    <n v="55327"/>
    <n v="80947"/>
    <n v="25620"/>
    <s v="profit"/>
  </r>
  <r>
    <x v="140"/>
    <s v="december"/>
    <s v="Modern Vision Solutions"/>
    <s v="Fashion "/>
    <s v="Saree"/>
    <x v="1"/>
    <s v="Male"/>
    <n v="55"/>
    <n v="666"/>
    <n v="1358"/>
    <n v="36630"/>
    <n v="74690"/>
    <n v="38060"/>
    <s v="profit"/>
  </r>
  <r>
    <x v="269"/>
    <s v="september"/>
    <s v="True Path Ventures"/>
    <s v="Fashion "/>
    <s v="Suit"/>
    <x v="9"/>
    <s v="Female"/>
    <n v="52"/>
    <n v="766"/>
    <n v="1318"/>
    <n v="39832"/>
    <n v="68536"/>
    <n v="28704"/>
    <s v="profit"/>
  </r>
  <r>
    <x v="270"/>
    <s v="september"/>
    <s v="Radiance Media"/>
    <s v="Fashion "/>
    <s v="Suit"/>
    <x v="4"/>
    <s v="Male"/>
    <n v="96"/>
    <n v="520"/>
    <n v="1208"/>
    <n v="49920"/>
    <n v="115968"/>
    <n v="66048"/>
    <s v="profit"/>
  </r>
  <r>
    <x v="271"/>
    <s v="september"/>
    <s v="Legacy Health Systems"/>
    <s v="Fashion "/>
    <s v="Suit"/>
    <x v="10"/>
    <s v="Male"/>
    <n v="90"/>
    <n v="792"/>
    <n v="818"/>
    <n v="71280"/>
    <n v="73620"/>
    <n v="2340"/>
    <s v="profit"/>
  </r>
  <r>
    <x v="272"/>
    <s v="september"/>
    <s v="Urban Focus Products"/>
    <s v="Fashion "/>
    <s v="Suit"/>
    <x v="11"/>
    <s v="Male"/>
    <n v="98"/>
    <n v="711"/>
    <n v="1190"/>
    <n v="69678"/>
    <n v="116620"/>
    <n v="46942"/>
    <s v="profit"/>
  </r>
  <r>
    <x v="145"/>
    <s v="december"/>
    <s v="Radiant Educational Solutions"/>
    <s v="Fashion "/>
    <s v="Saree"/>
    <x v="7"/>
    <s v="Female"/>
    <n v="94"/>
    <n v="616"/>
    <n v="1200"/>
    <n v="57904"/>
    <n v="112800"/>
    <n v="54896"/>
    <s v="profit"/>
  </r>
  <r>
    <x v="273"/>
    <s v="october"/>
    <s v="Visionary Innovations"/>
    <s v="Fashion "/>
    <s v="Saree"/>
    <x v="5"/>
    <s v="Female"/>
    <n v="93"/>
    <n v="660"/>
    <n v="880"/>
    <n v="61380"/>
    <n v="81840"/>
    <n v="20460"/>
    <s v="profit"/>
  </r>
  <r>
    <x v="274"/>
    <s v="october"/>
    <s v="Horizon Design Studio"/>
    <s v="Fashion "/>
    <s v="Saree"/>
    <x v="17"/>
    <s v="Female"/>
    <n v="59"/>
    <n v="623"/>
    <n v="1386"/>
    <n v="36757"/>
    <n v="81774"/>
    <n v="45017"/>
    <s v="profit"/>
  </r>
  <r>
    <x v="275"/>
    <s v="october"/>
    <s v="Legacy Tech Products"/>
    <s v="Fashion "/>
    <s v="Saree"/>
    <x v="18"/>
    <s v="Female"/>
    <n v="98"/>
    <n v="865"/>
    <n v="1260"/>
    <n v="84770"/>
    <n v="123480"/>
    <n v="38710"/>
    <s v="profit"/>
  </r>
  <r>
    <x v="149"/>
    <s v="december"/>
    <s v="Zenith Creative Solutions"/>
    <s v="Fashion "/>
    <s v="Saree"/>
    <x v="7"/>
    <s v="Female"/>
    <n v="67"/>
    <n v="898"/>
    <n v="1133"/>
    <n v="60166"/>
    <n v="75911"/>
    <n v="15745"/>
    <s v="profit"/>
  </r>
  <r>
    <x v="276"/>
    <s v="october"/>
    <s v="Pinnacle Wellness Services"/>
    <s v="Fashion "/>
    <s v="Saree"/>
    <x v="19"/>
    <s v="Female"/>
    <n v="83"/>
    <n v="709"/>
    <n v="1206"/>
    <n v="58847"/>
    <n v="100098"/>
    <n v="41251"/>
    <s v="profit"/>
  </r>
  <r>
    <x v="151"/>
    <s v="december"/>
    <s v="Pure Vision Solutions"/>
    <s v="Fashion "/>
    <s v="Suit"/>
    <x v="17"/>
    <s v="Female"/>
    <n v="72"/>
    <n v="603"/>
    <n v="941"/>
    <n v="43416"/>
    <n v="67752"/>
    <n v="24336"/>
    <s v="profit"/>
  </r>
  <r>
    <x v="277"/>
    <s v="october"/>
    <s v="Urban Insight Consulting"/>
    <s v="Fashion "/>
    <s v="Suit"/>
    <x v="0"/>
    <s v="Female"/>
    <n v="69"/>
    <n v="657"/>
    <n v="1493"/>
    <n v="45333"/>
    <n v="103017"/>
    <n v="57684"/>
    <s v="profit"/>
  </r>
  <r>
    <x v="278"/>
    <s v="october"/>
    <s v="Crystal Horizons"/>
    <s v="Fashion "/>
    <s v="Suit"/>
    <x v="1"/>
    <s v="Female"/>
    <n v="81"/>
    <n v="709"/>
    <n v="1180"/>
    <n v="57429"/>
    <n v="95580"/>
    <n v="38151"/>
    <s v="profit"/>
  </r>
  <r>
    <x v="279"/>
    <s v="october"/>
    <s v="Radiant Apparel"/>
    <s v="Fashion "/>
    <s v="Suit"/>
    <x v="2"/>
    <s v="Female"/>
    <n v="61"/>
    <n v="547"/>
    <n v="1060"/>
    <n v="33367"/>
    <n v="64660"/>
    <n v="31293"/>
    <s v="profit"/>
  </r>
  <r>
    <x v="280"/>
    <s v="october"/>
    <s v="True Value Products"/>
    <s v="Fashion "/>
    <s v="Suit"/>
    <x v="3"/>
    <s v="Female"/>
    <n v="57"/>
    <n v="734"/>
    <n v="979"/>
    <n v="41838"/>
    <n v="55803"/>
    <n v="13965"/>
    <s v="profit"/>
  </r>
  <r>
    <x v="156"/>
    <s v="december"/>
    <s v="Harmony Edge Solutions"/>
    <s v="Fashion "/>
    <s v="Suit"/>
    <x v="1"/>
    <s v="Male"/>
    <n v="97"/>
    <n v="500"/>
    <n v="1417"/>
    <n v="48500"/>
    <n v="137449"/>
    <n v="88949"/>
    <s v="profit"/>
  </r>
  <r>
    <x v="281"/>
    <s v="october"/>
    <s v="Zenith Health Products"/>
    <s v="Fashion "/>
    <s v="Suit"/>
    <x v="4"/>
    <s v="Male"/>
    <n v="60"/>
    <n v="937"/>
    <n v="948"/>
    <n v="56220"/>
    <n v="56880"/>
    <n v="660"/>
    <s v="profit"/>
  </r>
  <r>
    <x v="282"/>
    <s v="october"/>
    <s v="Stellar Wellness Products"/>
    <s v="Fashion "/>
    <s v="Women dress"/>
    <x v="17"/>
    <s v="Male"/>
    <n v="71"/>
    <n v="777"/>
    <n v="1034"/>
    <n v="55167"/>
    <n v="73414"/>
    <n v="18247"/>
    <s v="profit"/>
  </r>
  <r>
    <x v="283"/>
    <s v="october"/>
    <s v="Radiant Consulting Group"/>
    <s v="Fashion "/>
    <s v="Women dress"/>
    <x v="8"/>
    <s v="Male"/>
    <n v="52"/>
    <n v="509"/>
    <n v="764"/>
    <n v="26468"/>
    <n v="39728"/>
    <n v="13260"/>
    <s v="profit"/>
  </r>
  <r>
    <x v="284"/>
    <s v="october"/>
    <s v="Harmony Ventures Co."/>
    <s v="Fashion "/>
    <s v="Women dress"/>
    <x v="18"/>
    <s v="Female"/>
    <n v="66"/>
    <n v="701"/>
    <n v="1204"/>
    <n v="46266"/>
    <n v="79464"/>
    <n v="33198"/>
    <s v="profit"/>
  </r>
  <r>
    <x v="285"/>
    <s v="october"/>
    <s v="Urban Path Technologies"/>
    <s v="Fashion "/>
    <s v="Women dress"/>
    <x v="19"/>
    <s v="Male"/>
    <n v="97"/>
    <n v="654"/>
    <n v="839"/>
    <n v="63438"/>
    <n v="81383"/>
    <n v="17945"/>
    <s v="profit"/>
  </r>
  <r>
    <x v="286"/>
    <s v="november"/>
    <s v="Modern Vision Ventures"/>
    <s v="Fashion "/>
    <s v="Male dress"/>
    <x v="3"/>
    <s v="Female"/>
    <n v="63"/>
    <n v="833"/>
    <n v="1040"/>
    <n v="52479"/>
    <n v="65520"/>
    <n v="13041"/>
    <s v="profit"/>
  </r>
  <r>
    <x v="163"/>
    <s v="january"/>
    <s v="Pinnacle Media Solutions"/>
    <s v="Decor"/>
    <s v="Car accessories"/>
    <x v="15"/>
    <s v="Female"/>
    <n v="12"/>
    <n v="864"/>
    <n v="953"/>
    <n v="10368"/>
    <n v="11436"/>
    <n v="1068"/>
    <s v="profit"/>
  </r>
  <r>
    <x v="287"/>
    <s v="november"/>
    <s v="Elite Travel Services"/>
    <s v="Fashion "/>
    <s v="Male dress"/>
    <x v="15"/>
    <s v="Female"/>
    <n v="74"/>
    <n v="743"/>
    <n v="974"/>
    <n v="54982"/>
    <n v="72076"/>
    <n v="17094"/>
    <s v="profit"/>
  </r>
  <r>
    <x v="165"/>
    <s v="january"/>
    <s v="Radiant Tech Solutions"/>
    <s v="Decor"/>
    <s v="Car accessories"/>
    <x v="8"/>
    <s v="Female"/>
    <n v="13"/>
    <n v="839"/>
    <n v="1025"/>
    <n v="10907"/>
    <n v="13325"/>
    <n v="2418"/>
    <s v="profit"/>
  </r>
  <r>
    <x v="288"/>
    <s v="november"/>
    <s v="Crystal Innovations Group"/>
    <s v="Fashion "/>
    <s v="Male dress"/>
    <x v="8"/>
    <s v="Female"/>
    <n v="86"/>
    <n v="593"/>
    <n v="1425"/>
    <n v="50998"/>
    <n v="122550"/>
    <n v="71552"/>
    <s v="profit"/>
  </r>
  <r>
    <x v="167"/>
    <s v="january"/>
    <s v="Elite Creative Solutions"/>
    <s v="Decor"/>
    <s v="Car accessories"/>
    <x v="2"/>
    <s v="Female"/>
    <n v="11"/>
    <n v="944"/>
    <n v="949"/>
    <n v="10384"/>
    <n v="10439"/>
    <n v="55"/>
    <s v="profit"/>
  </r>
  <r>
    <x v="289"/>
    <s v="november"/>
    <s v="Pinnacle Fitness Studio"/>
    <s v="Fashion "/>
    <s v="Male dress"/>
    <x v="3"/>
    <s v="Female"/>
    <n v="92"/>
    <n v="609"/>
    <n v="792"/>
    <n v="56028"/>
    <n v="72864"/>
    <n v="16836"/>
    <s v="profit"/>
  </r>
  <r>
    <x v="290"/>
    <s v="november"/>
    <s v="Stellar Travel Agency"/>
    <s v="Fashion "/>
    <s v="Male dress"/>
    <x v="13"/>
    <s v="Female"/>
    <n v="96"/>
    <n v="674"/>
    <n v="1178"/>
    <n v="64704"/>
    <n v="113088"/>
    <n v="48384"/>
    <s v="profit"/>
  </r>
  <r>
    <x v="291"/>
    <s v="december"/>
    <s v="Apex Travel Ventures"/>
    <s v="Fashion "/>
    <s v="Saree"/>
    <x v="0"/>
    <s v="Male"/>
    <n v="65"/>
    <n v="804"/>
    <n v="876"/>
    <n v="52260"/>
    <n v="56940"/>
    <n v="4680"/>
    <s v="profit"/>
  </r>
  <r>
    <x v="292"/>
    <s v="december"/>
    <s v="True Path Consulting"/>
    <s v="Fashion "/>
    <s v="Saree"/>
    <x v="2"/>
    <s v="Female"/>
    <n v="83"/>
    <n v="541"/>
    <n v="1072"/>
    <n v="44903"/>
    <n v="88976"/>
    <n v="44073"/>
    <s v="profit"/>
  </r>
  <r>
    <x v="293"/>
    <s v="december"/>
    <s v="Legacy Finance Group"/>
    <s v="Fashion "/>
    <s v="Saree"/>
    <x v="3"/>
    <s v="Female"/>
    <n v="89"/>
    <n v="545"/>
    <n v="978"/>
    <n v="48505"/>
    <n v="87042"/>
    <n v="38537"/>
    <s v="profit"/>
  </r>
  <r>
    <x v="294"/>
    <s v="december"/>
    <s v="Pinnacle Design Ventures"/>
    <s v="Fashion "/>
    <s v="Saree"/>
    <x v="6"/>
    <s v="Female"/>
    <n v="80"/>
    <n v="671"/>
    <n v="1251"/>
    <n v="53680"/>
    <n v="100080"/>
    <n v="46400"/>
    <s v="profit"/>
  </r>
  <r>
    <x v="174"/>
    <s v="january"/>
    <s v="Pinnacle Design Solutions"/>
    <s v="Fashion "/>
    <s v="Suit"/>
    <x v="12"/>
    <s v="Male"/>
    <n v="82"/>
    <n v="822"/>
    <n v="1445"/>
    <n v="67404"/>
    <n v="118490"/>
    <n v="51086"/>
    <s v="profit"/>
  </r>
  <r>
    <x v="295"/>
    <s v="december"/>
    <s v="Stellar Innovations Co."/>
    <s v="Fashion "/>
    <s v="Saree"/>
    <x v="7"/>
    <s v="Female"/>
    <n v="68"/>
    <n v="815"/>
    <n v="808"/>
    <n v="55420"/>
    <n v="54944"/>
    <n v="-476"/>
    <s v="loss"/>
  </r>
  <r>
    <x v="296"/>
    <s v="december"/>
    <s v="Harmony Marketing Co."/>
    <s v="Fashion "/>
    <s v="Saree"/>
    <x v="13"/>
    <s v="Female"/>
    <n v="88"/>
    <n v="674"/>
    <n v="891"/>
    <n v="59312"/>
    <n v="78408"/>
    <n v="19096"/>
    <s v="profit"/>
  </r>
  <r>
    <x v="297"/>
    <s v="december"/>
    <s v="Urban Tech Innovations"/>
    <s v="Fashion "/>
    <s v="Saree"/>
    <x v="13"/>
    <s v="Female"/>
    <n v="64"/>
    <n v="665"/>
    <n v="783"/>
    <n v="42560"/>
    <n v="50112"/>
    <n v="7552"/>
    <s v="profit"/>
  </r>
  <r>
    <x v="298"/>
    <s v="december"/>
    <s v="Crystal Wellness Group"/>
    <s v="Fashion "/>
    <s v="Saree"/>
    <x v="12"/>
    <s v="Female"/>
    <n v="81"/>
    <n v="801"/>
    <n v="846"/>
    <n v="64881"/>
    <n v="68526"/>
    <n v="3645"/>
    <s v="profit"/>
  </r>
  <r>
    <x v="299"/>
    <s v="december"/>
    <s v="Apex Media Co."/>
    <s v="Fashion "/>
    <s v="Saree"/>
    <x v="5"/>
    <s v="Female"/>
    <n v="74"/>
    <n v="734"/>
    <n v="886"/>
    <n v="54316"/>
    <n v="65564"/>
    <n v="11248"/>
    <s v="profit"/>
  </r>
  <r>
    <x v="180"/>
    <s v="january"/>
    <s v="Pure Harmony Solutions"/>
    <s v="Decor"/>
    <s v="Home décor"/>
    <x v="19"/>
    <s v="Female"/>
    <n v="10"/>
    <n v="519"/>
    <n v="1420"/>
    <n v="5190"/>
    <n v="14200"/>
    <n v="9010"/>
    <s v="profit"/>
  </r>
  <r>
    <x v="300"/>
    <s v="december"/>
    <s v="Legacy Health Ventures"/>
    <s v="Fashion "/>
    <s v="Suit"/>
    <x v="8"/>
    <s v="Female"/>
    <n v="94"/>
    <n v="564"/>
    <n v="941"/>
    <n v="53016"/>
    <n v="88454"/>
    <n v="35438"/>
    <s v="profit"/>
  </r>
  <r>
    <x v="301"/>
    <s v="december"/>
    <s v="Pinnacle Spectrum Co."/>
    <s v="Fashion "/>
    <s v="Suit"/>
    <x v="18"/>
    <s v="Female"/>
    <n v="50"/>
    <n v="545"/>
    <n v="1050"/>
    <n v="27250"/>
    <n v="52500"/>
    <n v="25250"/>
    <s v="profit"/>
  </r>
  <r>
    <x v="302"/>
    <s v="december"/>
    <s v="Stellar Travel Products"/>
    <s v="Fashion "/>
    <s v="Suit"/>
    <x v="19"/>
    <s v="Female"/>
    <n v="60"/>
    <n v="783"/>
    <n v="1422"/>
    <n v="46980"/>
    <n v="85320"/>
    <n v="38340"/>
    <s v="profit"/>
  </r>
  <r>
    <x v="303"/>
    <s v="december"/>
    <s v="Radiance Finance Services"/>
    <s v="Fashion "/>
    <s v="Suit"/>
    <x v="0"/>
    <s v="Female"/>
    <n v="63"/>
    <n v="746"/>
    <n v="1075"/>
    <n v="46998"/>
    <n v="67725"/>
    <n v="20727"/>
    <s v="profit"/>
  </r>
  <r>
    <x v="304"/>
    <s v="december"/>
    <s v="Modern Travel Agency"/>
    <s v="Fashion "/>
    <s v="Suit"/>
    <x v="2"/>
    <s v="Male"/>
    <n v="86"/>
    <n v="834"/>
    <n v="1372"/>
    <n v="71724"/>
    <n v="117992"/>
    <n v="46268"/>
    <s v="profit"/>
  </r>
  <r>
    <x v="186"/>
    <s v="january"/>
    <s v="Zenith Path Solutions"/>
    <s v="Decor"/>
    <s v="Home décor"/>
    <x v="4"/>
    <s v="Female"/>
    <n v="17"/>
    <n v="922"/>
    <n v="899"/>
    <n v="15674"/>
    <n v="15283"/>
    <n v="-391"/>
    <s v="loss"/>
  </r>
  <r>
    <x v="305"/>
    <s v="december"/>
    <s v="Crystal Path Consulting"/>
    <s v="Fashion "/>
    <s v="Suit"/>
    <x v="3"/>
    <s v="Male"/>
    <n v="51"/>
    <n v="944"/>
    <n v="1062"/>
    <n v="48144"/>
    <n v="54162"/>
    <n v="6018"/>
    <s v="profit"/>
  </r>
  <r>
    <x v="306"/>
    <s v="december"/>
    <s v="Zenith Educational Services"/>
    <s v="Fashion "/>
    <s v="Suit"/>
    <x v="3"/>
    <s v="Male"/>
    <n v="75"/>
    <n v="547"/>
    <n v="1203"/>
    <n v="41025"/>
    <n v="90225"/>
    <n v="49200"/>
    <s v="profit"/>
  </r>
  <r>
    <x v="307"/>
    <s v="december"/>
    <s v="Apex Innovations Co."/>
    <s v="Fashion "/>
    <s v="Suit"/>
    <x v="4"/>
    <s v="Male"/>
    <n v="64"/>
    <n v="918"/>
    <n v="907"/>
    <n v="58752"/>
    <n v="58048"/>
    <n v="-704"/>
    <s v="loss"/>
  </r>
  <r>
    <x v="190"/>
    <s v="january"/>
    <s v="Legacy Media Solutions"/>
    <s v="Decor"/>
    <s v="Home décor"/>
    <x v="5"/>
    <s v="Male"/>
    <n v="12"/>
    <n v="519"/>
    <n v="1212"/>
    <n v="6228"/>
    <n v="14544"/>
    <n v="8316"/>
    <s v="profit"/>
  </r>
  <r>
    <x v="308"/>
    <s v="january"/>
    <s v="Pure Harmony Health"/>
    <s v="Fashion "/>
    <s v="Suit"/>
    <x v="5"/>
    <s v="Female"/>
    <n v="74"/>
    <n v="965"/>
    <n v="906"/>
    <n v="71410"/>
    <n v="67044"/>
    <n v="-4366"/>
    <s v="loss"/>
  </r>
  <r>
    <x v="309"/>
    <s v="january"/>
    <s v="Apex Travel Innovations"/>
    <s v="Fashion "/>
    <s v="Saree"/>
    <x v="6"/>
    <s v="Male"/>
    <n v="100"/>
    <n v="667"/>
    <n v="1109"/>
    <n v="66700"/>
    <n v="110900"/>
    <n v="44200"/>
    <s v="profit"/>
  </r>
  <r>
    <x v="310"/>
    <s v="january"/>
    <s v="Modern Health Products"/>
    <s v="Fashion "/>
    <s v="Saree"/>
    <x v="7"/>
    <s v="Male"/>
    <n v="60"/>
    <n v="509"/>
    <n v="954"/>
    <n v="30540"/>
    <n v="57240"/>
    <n v="26700"/>
    <s v="profit"/>
  </r>
  <r>
    <x v="311"/>
    <s v="january"/>
    <s v="Harmony Finance Group"/>
    <s v="Fashion "/>
    <s v="Saree"/>
    <x v="7"/>
    <s v="Male"/>
    <n v="93"/>
    <n v="814"/>
    <n v="832"/>
    <n v="75702"/>
    <n v="77376"/>
    <n v="1674"/>
    <s v="profit"/>
  </r>
  <r>
    <x v="312"/>
    <s v="january"/>
    <s v="Pure Vision Consulting"/>
    <s v="Fashion "/>
    <s v="Saree"/>
    <x v="13"/>
    <s v="Female"/>
    <n v="86"/>
    <n v="567"/>
    <n v="1491"/>
    <n v="48762"/>
    <n v="128226"/>
    <n v="79464"/>
    <s v="profit"/>
  </r>
  <r>
    <x v="313"/>
    <s v="january"/>
    <s v="Legacy Spectrum Co."/>
    <s v="Fashion "/>
    <s v="Saree"/>
    <x v="13"/>
    <s v="Male"/>
    <n v="54"/>
    <n v="674"/>
    <n v="787"/>
    <n v="36396"/>
    <n v="42498"/>
    <n v="6102"/>
    <s v="profit"/>
  </r>
  <r>
    <x v="314"/>
    <s v="january"/>
    <s v="Stellar Media Services"/>
    <s v="Fashion "/>
    <s v="Suit"/>
    <x v="7"/>
    <s v="Male"/>
    <n v="98"/>
    <n v="950"/>
    <n v="1426"/>
    <n v="93100"/>
    <n v="139748"/>
    <n v="46648"/>
    <s v="profit"/>
  </r>
  <r>
    <x v="315"/>
    <s v="january"/>
    <s v="Radiant Innovations Group"/>
    <s v="Fashion "/>
    <s v="Suit"/>
    <x v="5"/>
    <s v="Male"/>
    <n v="82"/>
    <n v="916"/>
    <n v="1461"/>
    <n v="75112"/>
    <n v="119802"/>
    <n v="44690"/>
    <s v="profit"/>
  </r>
  <r>
    <x v="316"/>
    <s v="january"/>
    <s v="Horizon Path Ventures"/>
    <s v="Fashion "/>
    <s v="Suit"/>
    <x v="17"/>
    <s v="Female"/>
    <n v="66"/>
    <n v="710"/>
    <n v="1034"/>
    <n v="46860"/>
    <n v="68244"/>
    <n v="21384"/>
    <s v="profit"/>
  </r>
  <r>
    <x v="317"/>
    <s v="january"/>
    <s v="Zenith Tech Co."/>
    <s v="Fashion "/>
    <s v="Suit"/>
    <x v="8"/>
    <s v="Female"/>
    <n v="77"/>
    <n v="922"/>
    <n v="1400"/>
    <n v="70994"/>
    <n v="107800"/>
    <n v="36806"/>
    <s v="profit"/>
  </r>
  <r>
    <x v="195"/>
    <s v="february"/>
    <s v="Radiant Solutions Co."/>
    <s v="Electronic"/>
    <s v="Laptop"/>
    <x v="5"/>
    <s v="Female"/>
    <n v="22"/>
    <n v="745"/>
    <n v="1153"/>
    <n v="16390"/>
    <n v="25366"/>
    <n v="8976"/>
    <s v="profit"/>
  </r>
  <r>
    <x v="318"/>
    <s v="january"/>
    <s v="Apex Finance Ventures"/>
    <s v="Fashion "/>
    <s v="Suit"/>
    <x v="18"/>
    <s v="Female"/>
    <n v="93"/>
    <n v="887"/>
    <n v="993"/>
    <n v="82491"/>
    <n v="92349"/>
    <n v="9858"/>
    <s v="profit"/>
  </r>
  <r>
    <x v="319"/>
    <s v="february"/>
    <s v="Zenith Wellness Co."/>
    <s v="Fashion "/>
    <s v="Saree"/>
    <x v="7"/>
    <s v="Female"/>
    <n v="78"/>
    <n v="709"/>
    <n v="1494"/>
    <n v="55302"/>
    <n v="116532"/>
    <n v="61230"/>
    <s v="profit"/>
  </r>
  <r>
    <x v="320"/>
    <s v="february"/>
    <s v="Apex Design Services"/>
    <s v="Fashion "/>
    <s v="Saree"/>
    <x v="7"/>
    <s v="Female"/>
    <n v="87"/>
    <n v="714"/>
    <n v="926"/>
    <n v="62118"/>
    <n v="80562"/>
    <n v="18444"/>
    <s v="profit"/>
  </r>
  <r>
    <x v="196"/>
    <s v="february"/>
    <s v="Modern Travel Solutions"/>
    <s v="Fashion "/>
    <s v="Saree"/>
    <x v="13"/>
    <s v="Female"/>
    <n v="90"/>
    <n v="983"/>
    <n v="924"/>
    <n v="88470"/>
    <n v="83160"/>
    <n v="-5310"/>
    <s v="loss"/>
  </r>
  <r>
    <x v="321"/>
    <s v="february"/>
    <s v="Pure Health Ventures"/>
    <s v="Fashion "/>
    <s v="Saree"/>
    <x v="13"/>
    <s v="Female"/>
    <n v="78"/>
    <n v="789"/>
    <n v="1064"/>
    <n v="61542"/>
    <n v="82992"/>
    <n v="21450"/>
    <s v="profit"/>
  </r>
  <r>
    <x v="322"/>
    <s v="february"/>
    <s v="Legacy Spectrum Group"/>
    <s v="Fashion "/>
    <s v="Saree"/>
    <x v="12"/>
    <s v="Male"/>
    <n v="74"/>
    <n v="835"/>
    <n v="1096"/>
    <n v="61790"/>
    <n v="81104"/>
    <n v="19314"/>
    <s v="profit"/>
  </r>
  <r>
    <x v="323"/>
    <s v="february"/>
    <s v="Pinnacle Media Ventures"/>
    <s v="Fashion "/>
    <s v="Saree"/>
    <x v="7"/>
    <s v="Male"/>
    <n v="94"/>
    <n v="952"/>
    <n v="1425"/>
    <n v="89488"/>
    <n v="133950"/>
    <n v="44462"/>
    <s v="profit"/>
  </r>
  <r>
    <x v="324"/>
    <s v="february"/>
    <s v="Stellar Innovations Group"/>
    <s v="Fashion "/>
    <s v="Saree"/>
    <x v="5"/>
    <s v="Male"/>
    <n v="55"/>
    <n v="558"/>
    <n v="1203"/>
    <n v="30690"/>
    <n v="66165"/>
    <n v="35475"/>
    <s v="profit"/>
  </r>
  <r>
    <x v="325"/>
    <s v="february"/>
    <s v="Radiant Educational Co."/>
    <s v="Fashion "/>
    <s v="Saree"/>
    <x v="17"/>
    <s v="Male"/>
    <n v="56"/>
    <n v="562"/>
    <n v="1341"/>
    <n v="31472"/>
    <n v="75096"/>
    <n v="43624"/>
    <s v="profit"/>
  </r>
  <r>
    <x v="326"/>
    <s v="february"/>
    <s v="Harmony Edge Ventures"/>
    <s v="Fashion "/>
    <s v="Saree"/>
    <x v="8"/>
    <s v="Female"/>
    <n v="94"/>
    <n v="513"/>
    <n v="1318"/>
    <n v="48222"/>
    <n v="123892"/>
    <n v="75670"/>
    <s v="profit"/>
  </r>
  <r>
    <x v="197"/>
    <s v="february"/>
    <s v="Zenith Tech Solutions"/>
    <s v="Fashion "/>
    <s v="Saree"/>
    <x v="18"/>
    <s v="Male"/>
    <n v="76"/>
    <n v="526"/>
    <n v="1260"/>
    <n v="39976"/>
    <n v="95760"/>
    <n v="55784"/>
    <s v="profit"/>
  </r>
  <r>
    <x v="327"/>
    <s v="february"/>
    <s v="Apex Finance Group"/>
    <s v="Fashion "/>
    <s v="Saree"/>
    <x v="19"/>
    <s v="Male"/>
    <n v="61"/>
    <n v="545"/>
    <n v="915"/>
    <n v="33245"/>
    <n v="55815"/>
    <n v="22570"/>
    <s v="profit"/>
  </r>
  <r>
    <x v="328"/>
    <s v="february"/>
    <s v="Pure Harmony Media"/>
    <s v="Fashion "/>
    <s v="Saree"/>
    <x v="0"/>
    <s v="Male"/>
    <n v="99"/>
    <n v="943"/>
    <n v="823"/>
    <n v="93357"/>
    <n v="81477"/>
    <n v="-11880"/>
    <s v="loss"/>
  </r>
  <r>
    <x v="329"/>
    <s v="february"/>
    <s v="Legacy Health Co."/>
    <s v="Fashion "/>
    <s v="Suit"/>
    <x v="1"/>
    <s v="Male"/>
    <n v="84"/>
    <n v="738"/>
    <n v="1080"/>
    <n v="61992"/>
    <n v="90720"/>
    <n v="28728"/>
    <s v="profit"/>
  </r>
  <r>
    <x v="331"/>
    <m/>
    <m/>
    <m/>
    <m/>
    <x v="20"/>
    <m/>
    <m/>
    <m/>
    <m/>
    <m/>
    <m/>
    <m/>
    <m/>
  </r>
  <r>
    <x v="331"/>
    <m/>
    <m/>
    <m/>
    <m/>
    <x v="2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0F6081-FF3F-4023-811C-136C1565F7B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9:H13" firstHeaderRow="1" firstDataRow="1" firstDataCol="1"/>
  <pivotFields count="14">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Sale Pri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A3A15-46F2-4983-B27A-ECE790522D9B}"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B19" firstHeaderRow="1" firstDataRow="1" firstDataCol="1"/>
  <pivotFields count="19">
    <pivotField compact="0" outline="0" showAll="0">
      <items count="333">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x="331"/>
        <item t="default"/>
      </items>
    </pivotField>
    <pivotField compact="0" outline="0" showAll="0"/>
    <pivotField compact="0" outline="0" showAll="0"/>
    <pivotField compact="0" outline="0" showAll="0"/>
    <pivotField axis="axisRow" compact="0" outline="0" showAll="0">
      <items count="14">
        <item x="0"/>
        <item x="10"/>
        <item x="8"/>
        <item sd="0" x="2"/>
        <item x="6"/>
        <item sd="0" x="9"/>
        <item sd="0" x="5"/>
        <item sd="0" x="3"/>
        <item sd="0" x="7"/>
        <item sd="0" x="4"/>
        <item sd="0" x="1"/>
        <item sd="0" x="11"/>
        <item m="1" x="1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5">
        <item sd="0" x="1"/>
        <item sd="0" x="2"/>
        <item x="0"/>
        <item x="3"/>
        <item t="default"/>
      </items>
    </pivotField>
    <pivotField compact="0" outline="0" dragToRow="0" dragToCol="0" dragToPage="0" showAll="0" defaultSubtotal="0"/>
    <pivotField compact="0" outline="0"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Sale Price" fld="11"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A1477-789A-4691-9FED-5DD495738A63}" name="CityReport"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rowHeaderCaption="City">
  <location ref="A4:C14" firstHeaderRow="1" firstDataRow="1" firstDataCol="2" rowPageCount="1" colPageCount="1"/>
  <pivotFields count="5">
    <pivotField compact="0" outline="0" showAll="0" defaultSubtotal="0"/>
    <pivotField axis="axisRow" compact="0" outline="0" multipleItemSelectionAllowed="1" showAll="0" defaultSubtotal="0">
      <items count="3">
        <item x="0"/>
        <item x="1"/>
        <item h="1" x="2"/>
      </items>
    </pivotField>
    <pivotField axis="axisRow" compact="0" outline="0" showAll="0" defaultSubtotal="0">
      <items count="5">
        <item x="3"/>
        <item x="2"/>
        <item x="0"/>
        <item x="1"/>
        <item x="4"/>
      </items>
    </pivotField>
    <pivotField axis="axisPage" compact="0" outline="0" showAll="0" defaultSubtotal="0">
      <items count="2">
        <item x="0"/>
        <item x="1"/>
      </items>
    </pivotField>
    <pivotField dataField="1" compact="0" outline="0" showAll="0" defaultSubtotal="0"/>
  </pivotFields>
  <rowFields count="2">
    <field x="2"/>
    <field x="1"/>
  </rowFields>
  <rowItems count="10">
    <i>
      <x/>
      <x/>
    </i>
    <i r="1">
      <x v="1"/>
    </i>
    <i>
      <x v="1"/>
      <x/>
    </i>
    <i r="1">
      <x v="1"/>
    </i>
    <i>
      <x v="2"/>
      <x/>
    </i>
    <i r="1">
      <x v="1"/>
    </i>
    <i>
      <x v="3"/>
      <x/>
    </i>
    <i r="1">
      <x v="1"/>
    </i>
    <i>
      <x v="4"/>
      <x/>
    </i>
    <i t="grand">
      <x/>
    </i>
  </rowItems>
  <colItems count="1">
    <i/>
  </colItems>
  <pageFields count="1">
    <pageField fld="3" hier="-1"/>
  </pageField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829F7C-7C7C-43A6-8AF3-6C60C508E53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rowPageCount="1" colPageCount="1"/>
  <pivotFields count="5">
    <pivotField showAll="0"/>
    <pivotField axis="axisRow" showAll="0">
      <items count="4">
        <item x="0"/>
        <item x="1"/>
        <item x="2"/>
        <item t="default"/>
      </items>
    </pivotField>
    <pivotField axis="axisRow" showAll="0">
      <items count="6">
        <item x="3"/>
        <item x="2"/>
        <item x="0"/>
        <item x="4"/>
        <item x="1"/>
        <item t="default"/>
      </items>
    </pivotField>
    <pivotField axis="axisPage" showAll="0">
      <items count="3">
        <item h="1" x="0"/>
        <item x="1"/>
        <item t="default"/>
      </items>
    </pivotField>
    <pivotField dataField="1" showAll="0"/>
  </pivotFields>
  <rowFields count="2">
    <field x="2"/>
    <field x="1"/>
  </rowFields>
  <rowItems count="18">
    <i>
      <x/>
    </i>
    <i r="1">
      <x/>
    </i>
    <i r="1">
      <x v="1"/>
    </i>
    <i r="1">
      <x v="2"/>
    </i>
    <i>
      <x v="1"/>
    </i>
    <i r="1">
      <x/>
    </i>
    <i r="1">
      <x v="1"/>
    </i>
    <i r="1">
      <x v="2"/>
    </i>
    <i>
      <x v="2"/>
    </i>
    <i r="1">
      <x/>
    </i>
    <i r="1">
      <x v="1"/>
    </i>
    <i r="1">
      <x v="2"/>
    </i>
    <i>
      <x v="3"/>
    </i>
    <i r="1">
      <x v="1"/>
    </i>
    <i>
      <x v="4"/>
    </i>
    <i r="1">
      <x v="1"/>
    </i>
    <i r="1">
      <x v="2"/>
    </i>
    <i t="grand">
      <x/>
    </i>
  </rowItems>
  <colFields count="1">
    <field x="-2"/>
  </colFields>
  <colItems count="3">
    <i>
      <x/>
    </i>
    <i i="1">
      <x v="1"/>
    </i>
    <i i="2">
      <x v="2"/>
    </i>
  </colItems>
  <pageFields count="1">
    <pageField fld="3" item="1" hier="-1"/>
  </pageFields>
  <dataFields count="3">
    <dataField name="Average of Amount" fld="4" subtotal="average" baseField="1" baseItem="1"/>
    <dataField name="Sum of Amount" fld="4" baseField="1" baseItem="0"/>
    <dataField name="Sum of Amount2" fld="4" showDataAs="percentOfTotal" baseField="1" baseItem="1" numFmtId="1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69401-2CDB-418C-BAAC-8AFF8BC6F57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F6" firstHeaderRow="0" firstDataRow="1" firstDataCol="1"/>
  <pivotFields count="5">
    <pivotField showAll="0"/>
    <pivotField axis="axisRow" showAll="0">
      <items count="4">
        <item x="0"/>
        <item x="1"/>
        <item x="2"/>
        <item t="default"/>
      </items>
    </pivotField>
    <pivotField showAll="0">
      <items count="6">
        <item x="3"/>
        <item x="2"/>
        <item x="0"/>
        <item x="4"/>
        <item x="1"/>
        <item t="default"/>
      </items>
    </pivotField>
    <pivotField showAll="0">
      <items count="3">
        <item x="0"/>
        <item x="1"/>
        <item t="default"/>
      </items>
    </pivotField>
    <pivotField dataField="1" showAll="0"/>
  </pivotFields>
  <rowFields count="1">
    <field x="1"/>
  </rowFields>
  <rowItems count="4">
    <i>
      <x/>
    </i>
    <i>
      <x v="1"/>
    </i>
    <i>
      <x v="2"/>
    </i>
    <i t="grand">
      <x/>
    </i>
  </rowItems>
  <colFields count="1">
    <field x="-2"/>
  </colFields>
  <colItems count="2">
    <i>
      <x/>
    </i>
    <i i="1">
      <x v="1"/>
    </i>
  </colItems>
  <dataFields count="2">
    <dataField name="Sum of Amount" fld="4" baseField="0" baseItem="0"/>
    <dataField name="% of Grand Total" fld="4" showDataAs="percentOfTotal" baseField="1" baseItem="0"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56C263-3A2A-47E6-8D49-37987E3E5962}" name="PivotTable10" cacheId="9" applyNumberFormats="0" applyBorderFormats="0" applyFontFormats="0" applyPatternFormats="0" applyAlignmentFormats="0" applyWidthHeightFormats="1" dataCaption="Values" showError="1" updatedVersion="8" minRefreshableVersion="5" printDrill="1" useAutoFormatting="1" pageWrap="4" fieldPrintTitles="1" itemPrintTitles="1" createdVersion="8" indent="7" compact="0" compactData="0" multipleFieldFilters="0" chartFormat="8">
  <location ref="A6:B28" firstHeaderRow="1" firstDataRow="1" firstDataCol="1"/>
  <pivotFields count="17">
    <pivotField compact="0" numFmtId="164" outline="0" subtotalTop="0" showAll="0" defaultSubtota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x="33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1">
        <item x="10"/>
        <item x="0"/>
        <item x="11"/>
        <item x="9"/>
        <item x="2"/>
        <item x="14"/>
        <item x="6"/>
        <item x="18"/>
        <item x="5"/>
        <item x="15"/>
        <item x="17"/>
        <item x="4"/>
        <item x="8"/>
        <item x="1"/>
        <item x="12"/>
        <item x="13"/>
        <item x="16"/>
        <item x="7"/>
        <item x="19"/>
        <item x="3"/>
        <item x="2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defaultSubtotal="0">
      <items count="6">
        <item sd="0" x="1"/>
        <item sd="0" x="2"/>
        <item sd="0" x="3"/>
        <item x="4"/>
        <item x="0"/>
        <item x="5"/>
      </items>
      <extLst>
        <ext xmlns:x14="http://schemas.microsoft.com/office/spreadsheetml/2009/9/main" uri="{2946ED86-A175-432a-8AC1-64E0C546D7DE}">
          <x14:pivotField fillDownLabels="1"/>
        </ext>
      </extLst>
    </pivotField>
    <pivotField compact="0" outline="0" subtotalTop="0" showAll="0" defaultSubtotal="0">
      <items count="4">
        <item sd="0" x="1"/>
        <item sd="0" x="2"/>
        <item x="0"/>
        <item x="3"/>
      </items>
      <extLst>
        <ext xmlns:x14="http://schemas.microsoft.com/office/spreadsheetml/2009/9/main" uri="{2946ED86-A175-432a-8AC1-64E0C546D7DE}">
          <x14:pivotField fillDownLabels="1"/>
        </ext>
      </extLst>
    </pivotField>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Profit" fld="12" baseField="0" baseItem="0"/>
  </dataField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56C3EB-7A6D-4610-AA79-83FD689CFF49}" sourceName="Gender">
  <pivotTables>
    <pivotTable tabId="29" name="PivotTable9"/>
  </pivotTables>
  <data>
    <tabular pivotCacheId="10633111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127E5C-0C2F-4E45-B8B3-EE960BA4A5F8}" sourceName="City">
  <pivotTables>
    <pivotTable tabId="29" name="PivotTable9"/>
  </pivotTables>
  <data>
    <tabular pivotCacheId="1063311116">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5960AA0-8D39-455E-8009-15732F282F0E}" cache="Slicer_Gender" caption="Gender" style="SlicerStyleDark1" rowHeight="241300"/>
  <slicer name="City" xr10:uid="{C85FA539-A9B4-45E6-8E8E-FEF6284376D8}"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28EF3-E4F0-477F-8785-C3ABAE9FFFBD}" name="Table1" displayName="Table1" ref="A3:N27" totalsRowShown="0">
  <autoFilter ref="A3:N27" xr:uid="{1A928EF3-E4F0-477F-8785-C3ABAE9FFFBD}"/>
  <tableColumns count="14">
    <tableColumn id="1" xr3:uid="{BF621F6E-AA2F-4FF6-B770-65B99244E36B}" name="date" dataDxfId="0"/>
    <tableColumn id="2" xr3:uid="{9E42181E-D6FB-4969-884A-6CBE0AEBC19F}" name="Month"/>
    <tableColumn id="3" xr3:uid="{0913E2CF-3DD6-4407-9472-DE56F8D5EFE5}" name="Name"/>
    <tableColumn id="4" xr3:uid="{3A43C362-203E-4136-97C7-5876402E54F8}" name="Category"/>
    <tableColumn id="5" xr3:uid="{88AEEEA4-C2F1-4136-B89E-9703FDB878D4}" name="Product Name"/>
    <tableColumn id="6" xr3:uid="{5FC66D53-4938-4794-BFDA-2F23C772DDDA}" name="State"/>
    <tableColumn id="7" xr3:uid="{30D472B6-803D-48F3-9B12-BB65D4BF2B4D}" name="Gender"/>
    <tableColumn id="8" xr3:uid="{C46C76F3-E91B-4F45-A843-DC85CCD952BC}" name="Quantity"/>
    <tableColumn id="9" xr3:uid="{486C8865-FA2F-419F-9993-EBCAECF0FB21}" name="Cost"/>
    <tableColumn id="10" xr3:uid="{085B9BEA-53A5-4B86-911A-D83309E38FA7}" name="Price"/>
    <tableColumn id="11" xr3:uid="{BE55E61A-883F-403B-BC0F-9E3898D17953}" name="Purchase Cost"/>
    <tableColumn id="12" xr3:uid="{4211BA23-B84E-4F35-B833-1D6C365B7532}" name="Sale Price"/>
    <tableColumn id="13" xr3:uid="{BA76EA37-4E23-4CD5-87B8-1C0FFFCE52C6}" name="Profit"/>
    <tableColumn id="14" xr3:uid="{DCEDDA3F-AB29-43F4-8CAC-36B6F9CF8E53}"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634442-5C04-4248-8F23-970907CD3BE9}" name="Table2" displayName="Table2" ref="A3:E8" totalsRowShown="0">
  <autoFilter ref="A3:E8" xr:uid="{66634442-5C04-4248-8F23-970907CD3BE9}"/>
  <tableColumns count="5">
    <tableColumn id="1" xr3:uid="{C0C4B919-D2C2-477A-AD57-87BCCB4F00A0}" name="Party Name"/>
    <tableColumn id="2" xr3:uid="{BCE6848B-47BD-4F1F-AA80-5F92A2F5602D}" name="Product Name"/>
    <tableColumn id="3" xr3:uid="{EFCF12F4-BEB3-425D-B790-0CDD341F9485}" name="City"/>
    <tableColumn id="4" xr3:uid="{3AF36ED0-FB84-42DC-A785-93B5DE5023A3}" name="Gender"/>
    <tableColumn id="5" xr3:uid="{4FE79682-6953-474D-9999-DE0D9DC6F944}"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A401AA-A2D0-4F23-914D-70F0AE630AC4}" name="Table3" displayName="Table3" ref="A3:E16" totalsRowShown="0">
  <autoFilter ref="A3:E16" xr:uid="{C6A401AA-A2D0-4F23-914D-70F0AE630AC4}"/>
  <tableColumns count="5">
    <tableColumn id="1" xr3:uid="{0AFF777A-2C26-4C38-B9ED-BC0C081E7BAC}" name="Party Name"/>
    <tableColumn id="2" xr3:uid="{807EA4AB-4DF0-4007-9FFD-EE3E5698E7C5}" name="Product Name"/>
    <tableColumn id="3" xr3:uid="{67016482-D13E-4EC8-8A29-BD5DFC6429F3}" name="City"/>
    <tableColumn id="4" xr3:uid="{7D48EAC9-EF24-4ABE-A844-60742BF55AEE}" name="Gender"/>
    <tableColumn id="5" xr3:uid="{96FB8980-2487-4FB0-B37D-208EA566BB34}" name="Amou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CC0F189-1A5C-4F1E-94D3-482B27EB989D}" sourceName="date">
  <pivotTables>
    <pivotTable tabId="31" name="PivotTable10"/>
  </pivotTables>
  <state minimalRefreshVersion="6" lastRefreshVersion="6" pivotCacheId="180866062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A2A6369-1EC3-4A89-A9CA-D9ADB02806ED}" cache="NativeTimeline_date" caption="date" level="2" selectionLevel="2" scrollPosition="202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937EB-8764-41F4-95BF-832C9B0D4197}">
  <dimension ref="G9:H13"/>
  <sheetViews>
    <sheetView topLeftCell="E4" zoomScale="140" zoomScaleNormal="140" workbookViewId="0">
      <selection activeCell="H15" sqref="H15"/>
    </sheetView>
  </sheetViews>
  <sheetFormatPr defaultRowHeight="15" x14ac:dyDescent="0.25"/>
  <cols>
    <col min="1" max="1" width="13.140625" bestFit="1" customWidth="1"/>
    <col min="2" max="2" width="16.28515625" bestFit="1" customWidth="1"/>
    <col min="7" max="7" width="13.140625" bestFit="1" customWidth="1"/>
    <col min="8" max="8" width="16.42578125" bestFit="1" customWidth="1"/>
  </cols>
  <sheetData>
    <row r="9" spans="7:8" x14ac:dyDescent="0.25">
      <c r="G9" s="18" t="s">
        <v>419</v>
      </c>
      <c r="H9" t="s">
        <v>411</v>
      </c>
    </row>
    <row r="10" spans="7:8" x14ac:dyDescent="0.25">
      <c r="G10" s="28" t="s">
        <v>16</v>
      </c>
      <c r="H10" s="31">
        <v>3756891</v>
      </c>
    </row>
    <row r="11" spans="7:8" x14ac:dyDescent="0.25">
      <c r="G11" s="28" t="s">
        <v>46</v>
      </c>
      <c r="H11" s="31">
        <v>9022761</v>
      </c>
    </row>
    <row r="12" spans="7:8" x14ac:dyDescent="0.25">
      <c r="G12" s="28" t="s">
        <v>33</v>
      </c>
      <c r="H12" s="31">
        <v>38229559</v>
      </c>
    </row>
    <row r="13" spans="7:8" x14ac:dyDescent="0.25">
      <c r="G13" s="28" t="s">
        <v>406</v>
      </c>
      <c r="H13" s="31">
        <v>51009211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352B-1F67-4731-8085-DEBCFCE78200}">
  <sheetPr>
    <tabColor rgb="FFFF0000"/>
    <pageSetUpPr fitToPage="1"/>
  </sheetPr>
  <dimension ref="A1:Q994"/>
  <sheetViews>
    <sheetView zoomScale="80" zoomScaleNormal="80" workbookViewId="0">
      <selection activeCell="C7" sqref="C7"/>
    </sheetView>
  </sheetViews>
  <sheetFormatPr defaultRowHeight="15" x14ac:dyDescent="0.25"/>
  <cols>
    <col min="1" max="1" width="27.85546875" bestFit="1" customWidth="1"/>
    <col min="2" max="2" width="18" customWidth="1"/>
    <col min="3" max="3" width="26.7109375" bestFit="1" customWidth="1"/>
    <col min="4" max="4" width="12.42578125" bestFit="1" customWidth="1"/>
    <col min="5" max="5" width="19.140625" bestFit="1" customWidth="1"/>
    <col min="6" max="6" width="16" bestFit="1" customWidth="1"/>
    <col min="7" max="7" width="10.42578125" bestFit="1" customWidth="1"/>
    <col min="8" max="8" width="12" bestFit="1" customWidth="1"/>
    <col min="9" max="9" width="12" customWidth="1"/>
    <col min="10" max="10" width="9.5703125" customWidth="1"/>
    <col min="11" max="11" width="18.85546875" bestFit="1" customWidth="1"/>
    <col min="12" max="12" width="13.42578125" bestFit="1" customWidth="1"/>
    <col min="13" max="14" width="11" bestFit="1" customWidth="1"/>
  </cols>
  <sheetData>
    <row r="1" spans="1:14" ht="27.95" customHeight="1" thickBot="1" x14ac:dyDescent="0.3">
      <c r="A1" s="1" t="s">
        <v>0</v>
      </c>
      <c r="B1" s="1" t="s">
        <v>1</v>
      </c>
      <c r="C1" s="2" t="s">
        <v>2</v>
      </c>
      <c r="D1" s="2" t="s">
        <v>3</v>
      </c>
      <c r="E1" s="2" t="s">
        <v>4</v>
      </c>
      <c r="F1" s="2" t="s">
        <v>5</v>
      </c>
      <c r="G1" s="2" t="s">
        <v>6</v>
      </c>
      <c r="H1" s="2" t="s">
        <v>7</v>
      </c>
      <c r="I1" s="2" t="s">
        <v>8</v>
      </c>
      <c r="J1" s="2" t="s">
        <v>9</v>
      </c>
      <c r="K1" s="3" t="s">
        <v>10</v>
      </c>
      <c r="L1" s="3" t="s">
        <v>11</v>
      </c>
      <c r="M1" s="3" t="s">
        <v>12</v>
      </c>
      <c r="N1" s="3" t="s">
        <v>13</v>
      </c>
    </row>
    <row r="2" spans="1:14" ht="16.5" thickTop="1" thickBot="1" x14ac:dyDescent="0.3">
      <c r="A2" s="4">
        <v>45454</v>
      </c>
      <c r="B2" s="4" t="s">
        <v>14</v>
      </c>
      <c r="C2" s="5" t="s">
        <v>15</v>
      </c>
      <c r="D2" s="5" t="s">
        <v>16</v>
      </c>
      <c r="E2" s="5" t="s">
        <v>17</v>
      </c>
      <c r="F2" s="5" t="s">
        <v>18</v>
      </c>
      <c r="G2" s="5" t="s">
        <v>19</v>
      </c>
      <c r="H2" s="5">
        <v>17</v>
      </c>
      <c r="I2" s="5">
        <v>938</v>
      </c>
      <c r="J2" s="5">
        <v>938</v>
      </c>
      <c r="K2" s="6">
        <f t="shared" ref="K2:K65" si="0">H2*I2</f>
        <v>15946</v>
      </c>
      <c r="L2" s="6">
        <f t="shared" ref="L2:L65" si="1">H2*J2</f>
        <v>15946</v>
      </c>
      <c r="M2" s="6">
        <f t="shared" ref="M2:M65" si="2">L2-K2</f>
        <v>0</v>
      </c>
      <c r="N2" s="6" t="str">
        <f t="shared" ref="N2:N65" si="3">IF(M2&gt;0,"profit","loss")</f>
        <v>loss</v>
      </c>
    </row>
    <row r="3" spans="1:14" ht="16.5" thickTop="1" thickBot="1" x14ac:dyDescent="0.3">
      <c r="A3" s="4">
        <v>45455</v>
      </c>
      <c r="B3" s="4" t="s">
        <v>14</v>
      </c>
      <c r="C3" s="5" t="s">
        <v>20</v>
      </c>
      <c r="D3" s="5" t="s">
        <v>16</v>
      </c>
      <c r="E3" s="5" t="s">
        <v>17</v>
      </c>
      <c r="F3" s="5" t="s">
        <v>21</v>
      </c>
      <c r="G3" s="5" t="s">
        <v>19</v>
      </c>
      <c r="H3" s="5">
        <v>18</v>
      </c>
      <c r="I3" s="5">
        <v>920</v>
      </c>
      <c r="J3" s="5">
        <v>1360</v>
      </c>
      <c r="K3" s="6">
        <f t="shared" si="0"/>
        <v>16560</v>
      </c>
      <c r="L3" s="6">
        <f t="shared" si="1"/>
        <v>24480</v>
      </c>
      <c r="M3" s="6">
        <f t="shared" si="2"/>
        <v>7920</v>
      </c>
      <c r="N3" s="6" t="str">
        <f t="shared" si="3"/>
        <v>profit</v>
      </c>
    </row>
    <row r="4" spans="1:14" ht="16.5" thickTop="1" thickBot="1" x14ac:dyDescent="0.3">
      <c r="A4" s="4">
        <v>45456</v>
      </c>
      <c r="B4" s="4" t="s">
        <v>14</v>
      </c>
      <c r="C4" s="5" t="s">
        <v>22</v>
      </c>
      <c r="D4" s="5" t="s">
        <v>16</v>
      </c>
      <c r="E4" s="5" t="s">
        <v>17</v>
      </c>
      <c r="F4" s="5" t="s">
        <v>23</v>
      </c>
      <c r="G4" s="5" t="s">
        <v>19</v>
      </c>
      <c r="H4" s="5">
        <v>20</v>
      </c>
      <c r="I4" s="5">
        <v>731</v>
      </c>
      <c r="J4" s="5">
        <v>1186</v>
      </c>
      <c r="K4" s="6">
        <f t="shared" si="0"/>
        <v>14620</v>
      </c>
      <c r="L4" s="6">
        <f t="shared" si="1"/>
        <v>23720</v>
      </c>
      <c r="M4" s="6">
        <f t="shared" si="2"/>
        <v>9100</v>
      </c>
      <c r="N4" s="6" t="str">
        <f t="shared" si="3"/>
        <v>profit</v>
      </c>
    </row>
    <row r="5" spans="1:14" ht="16.5" thickTop="1" thickBot="1" x14ac:dyDescent="0.3">
      <c r="A5" s="4">
        <v>45457</v>
      </c>
      <c r="B5" s="4" t="s">
        <v>14</v>
      </c>
      <c r="C5" s="5" t="s">
        <v>24</v>
      </c>
      <c r="D5" s="5" t="s">
        <v>16</v>
      </c>
      <c r="E5" s="5" t="s">
        <v>17</v>
      </c>
      <c r="F5" s="5" t="s">
        <v>25</v>
      </c>
      <c r="G5" s="5" t="s">
        <v>19</v>
      </c>
      <c r="H5" s="5">
        <v>17</v>
      </c>
      <c r="I5" s="5">
        <v>750</v>
      </c>
      <c r="J5" s="5">
        <v>793</v>
      </c>
      <c r="K5" s="6">
        <f t="shared" si="0"/>
        <v>12750</v>
      </c>
      <c r="L5" s="6">
        <f t="shared" si="1"/>
        <v>13481</v>
      </c>
      <c r="M5" s="6">
        <f t="shared" si="2"/>
        <v>731</v>
      </c>
      <c r="N5" s="6" t="str">
        <f t="shared" si="3"/>
        <v>profit</v>
      </c>
    </row>
    <row r="6" spans="1:14" ht="16.5" thickTop="1" thickBot="1" x14ac:dyDescent="0.3">
      <c r="A6" s="4">
        <v>45459</v>
      </c>
      <c r="B6" s="4" t="s">
        <v>14</v>
      </c>
      <c r="C6" s="5" t="s">
        <v>26</v>
      </c>
      <c r="D6" s="5" t="s">
        <v>16</v>
      </c>
      <c r="E6" s="5" t="s">
        <v>17</v>
      </c>
      <c r="F6" s="5" t="s">
        <v>27</v>
      </c>
      <c r="G6" s="5" t="s">
        <v>28</v>
      </c>
      <c r="H6" s="5">
        <v>14</v>
      </c>
      <c r="I6" s="5">
        <v>906</v>
      </c>
      <c r="J6" s="5">
        <v>1327</v>
      </c>
      <c r="K6" s="6">
        <f t="shared" si="0"/>
        <v>12684</v>
      </c>
      <c r="L6" s="6">
        <f t="shared" si="1"/>
        <v>18578</v>
      </c>
      <c r="M6" s="6">
        <f t="shared" si="2"/>
        <v>5894</v>
      </c>
      <c r="N6" s="6" t="str">
        <f t="shared" si="3"/>
        <v>profit</v>
      </c>
    </row>
    <row r="7" spans="1:14" ht="16.5" thickTop="1" thickBot="1" x14ac:dyDescent="0.3">
      <c r="A7" s="4">
        <v>45460</v>
      </c>
      <c r="B7" s="4" t="s">
        <v>14</v>
      </c>
      <c r="C7" s="5" t="s">
        <v>29</v>
      </c>
      <c r="D7" s="5" t="s">
        <v>16</v>
      </c>
      <c r="E7" s="5" t="s">
        <v>17</v>
      </c>
      <c r="F7" s="5" t="s">
        <v>30</v>
      </c>
      <c r="G7" s="5" t="s">
        <v>28</v>
      </c>
      <c r="H7" s="5">
        <v>20</v>
      </c>
      <c r="I7" s="5">
        <v>699</v>
      </c>
      <c r="J7" s="5">
        <v>1400</v>
      </c>
      <c r="K7" s="6">
        <f t="shared" si="0"/>
        <v>13980</v>
      </c>
      <c r="L7" s="6">
        <f t="shared" si="1"/>
        <v>28000</v>
      </c>
      <c r="M7" s="6">
        <f t="shared" si="2"/>
        <v>14020</v>
      </c>
      <c r="N7" s="6" t="str">
        <f t="shared" si="3"/>
        <v>profit</v>
      </c>
    </row>
    <row r="8" spans="1:14" ht="16.5" thickTop="1" thickBot="1" x14ac:dyDescent="0.3">
      <c r="A8" s="4">
        <v>45389</v>
      </c>
      <c r="B8" s="4" t="s">
        <v>31</v>
      </c>
      <c r="C8" s="5" t="s">
        <v>32</v>
      </c>
      <c r="D8" s="5" t="s">
        <v>33</v>
      </c>
      <c r="E8" s="5" t="s">
        <v>34</v>
      </c>
      <c r="F8" s="5" t="s">
        <v>35</v>
      </c>
      <c r="G8" s="5" t="s">
        <v>28</v>
      </c>
      <c r="H8" s="5">
        <v>55</v>
      </c>
      <c r="I8" s="5">
        <v>637</v>
      </c>
      <c r="J8" s="5">
        <v>1143</v>
      </c>
      <c r="K8" s="6">
        <f t="shared" si="0"/>
        <v>35035</v>
      </c>
      <c r="L8" s="6">
        <f t="shared" si="1"/>
        <v>62865</v>
      </c>
      <c r="M8" s="6">
        <f t="shared" si="2"/>
        <v>27830</v>
      </c>
      <c r="N8" s="6" t="str">
        <f t="shared" si="3"/>
        <v>profit</v>
      </c>
    </row>
    <row r="9" spans="1:14" ht="16.5" thickTop="1" thickBot="1" x14ac:dyDescent="0.3">
      <c r="A9" s="4">
        <v>45472</v>
      </c>
      <c r="B9" s="4" t="s">
        <v>14</v>
      </c>
      <c r="C9" s="5" t="s">
        <v>36</v>
      </c>
      <c r="D9" s="5" t="s">
        <v>16</v>
      </c>
      <c r="E9" s="5" t="s">
        <v>37</v>
      </c>
      <c r="F9" s="5" t="s">
        <v>35</v>
      </c>
      <c r="G9" s="5" t="s">
        <v>19</v>
      </c>
      <c r="H9" s="5">
        <v>17</v>
      </c>
      <c r="I9" s="5">
        <v>537</v>
      </c>
      <c r="J9" s="5">
        <v>1350</v>
      </c>
      <c r="K9" s="6">
        <f t="shared" si="0"/>
        <v>9129</v>
      </c>
      <c r="L9" s="6">
        <f t="shared" si="1"/>
        <v>22950</v>
      </c>
      <c r="M9" s="6">
        <f t="shared" si="2"/>
        <v>13821</v>
      </c>
      <c r="N9" s="6" t="str">
        <f t="shared" si="3"/>
        <v>profit</v>
      </c>
    </row>
    <row r="10" spans="1:14" ht="16.5" thickTop="1" thickBot="1" x14ac:dyDescent="0.3">
      <c r="A10" s="4">
        <v>45473</v>
      </c>
      <c r="B10" s="4" t="s">
        <v>14</v>
      </c>
      <c r="C10" s="5" t="s">
        <v>38</v>
      </c>
      <c r="D10" s="5" t="s">
        <v>16</v>
      </c>
      <c r="E10" s="5" t="s">
        <v>37</v>
      </c>
      <c r="F10" s="5" t="s">
        <v>39</v>
      </c>
      <c r="G10" s="5" t="s">
        <v>19</v>
      </c>
      <c r="H10" s="5">
        <v>20</v>
      </c>
      <c r="I10" s="5">
        <v>875</v>
      </c>
      <c r="J10" s="5">
        <v>911</v>
      </c>
      <c r="K10" s="6">
        <f t="shared" si="0"/>
        <v>17500</v>
      </c>
      <c r="L10" s="6">
        <f t="shared" si="1"/>
        <v>18220</v>
      </c>
      <c r="M10" s="6">
        <f t="shared" si="2"/>
        <v>720</v>
      </c>
      <c r="N10" s="6" t="str">
        <f t="shared" si="3"/>
        <v>profit</v>
      </c>
    </row>
    <row r="11" spans="1:14" ht="16.5" thickTop="1" thickBot="1" x14ac:dyDescent="0.3">
      <c r="A11" s="4">
        <v>45474</v>
      </c>
      <c r="B11" s="4" t="s">
        <v>40</v>
      </c>
      <c r="C11" s="5" t="s">
        <v>41</v>
      </c>
      <c r="D11" s="5" t="s">
        <v>16</v>
      </c>
      <c r="E11" s="5" t="s">
        <v>37</v>
      </c>
      <c r="F11" s="5" t="s">
        <v>39</v>
      </c>
      <c r="G11" s="5" t="s">
        <v>19</v>
      </c>
      <c r="H11" s="5">
        <v>13</v>
      </c>
      <c r="I11" s="5">
        <v>917</v>
      </c>
      <c r="J11" s="5">
        <v>1315</v>
      </c>
      <c r="K11" s="6">
        <f t="shared" si="0"/>
        <v>11921</v>
      </c>
      <c r="L11" s="6">
        <f t="shared" si="1"/>
        <v>17095</v>
      </c>
      <c r="M11" s="6">
        <f t="shared" si="2"/>
        <v>5174</v>
      </c>
      <c r="N11" s="6" t="str">
        <f t="shared" si="3"/>
        <v>profit</v>
      </c>
    </row>
    <row r="12" spans="1:14" ht="16.5" thickTop="1" thickBot="1" x14ac:dyDescent="0.3">
      <c r="A12" s="4">
        <v>45476</v>
      </c>
      <c r="B12" s="4" t="s">
        <v>40</v>
      </c>
      <c r="C12" s="5" t="s">
        <v>42</v>
      </c>
      <c r="D12" s="5" t="s">
        <v>16</v>
      </c>
      <c r="E12" s="5" t="s">
        <v>37</v>
      </c>
      <c r="F12" s="5" t="s">
        <v>27</v>
      </c>
      <c r="G12" s="5" t="s">
        <v>19</v>
      </c>
      <c r="H12" s="5">
        <v>12</v>
      </c>
      <c r="I12" s="5">
        <v>980</v>
      </c>
      <c r="J12" s="5">
        <v>1462</v>
      </c>
      <c r="K12" s="6">
        <f t="shared" si="0"/>
        <v>11760</v>
      </c>
      <c r="L12" s="6">
        <f t="shared" si="1"/>
        <v>17544</v>
      </c>
      <c r="M12" s="6">
        <f t="shared" si="2"/>
        <v>5784</v>
      </c>
      <c r="N12" s="6" t="str">
        <f t="shared" si="3"/>
        <v>profit</v>
      </c>
    </row>
    <row r="13" spans="1:14" ht="16.5" thickTop="1" thickBot="1" x14ac:dyDescent="0.3">
      <c r="A13" s="4">
        <v>45477</v>
      </c>
      <c r="B13" s="4" t="s">
        <v>40</v>
      </c>
      <c r="C13" s="5" t="s">
        <v>43</v>
      </c>
      <c r="D13" s="5" t="s">
        <v>16</v>
      </c>
      <c r="E13" s="5" t="s">
        <v>37</v>
      </c>
      <c r="F13" s="5" t="s">
        <v>44</v>
      </c>
      <c r="G13" s="5" t="s">
        <v>19</v>
      </c>
      <c r="H13" s="5">
        <v>12</v>
      </c>
      <c r="I13" s="5">
        <v>734</v>
      </c>
      <c r="J13" s="5">
        <v>1181</v>
      </c>
      <c r="K13" s="6">
        <f t="shared" si="0"/>
        <v>8808</v>
      </c>
      <c r="L13" s="6">
        <f t="shared" si="1"/>
        <v>14172</v>
      </c>
      <c r="M13" s="6">
        <f t="shared" si="2"/>
        <v>5364</v>
      </c>
      <c r="N13" s="6" t="str">
        <f t="shared" si="3"/>
        <v>profit</v>
      </c>
    </row>
    <row r="14" spans="1:14" ht="16.5" thickTop="1" thickBot="1" x14ac:dyDescent="0.3">
      <c r="A14" s="4">
        <v>45395</v>
      </c>
      <c r="B14" s="4" t="s">
        <v>31</v>
      </c>
      <c r="C14" s="5" t="s">
        <v>45</v>
      </c>
      <c r="D14" s="5" t="s">
        <v>46</v>
      </c>
      <c r="E14" s="5" t="s">
        <v>47</v>
      </c>
      <c r="F14" s="5" t="s">
        <v>44</v>
      </c>
      <c r="G14" s="5" t="s">
        <v>19</v>
      </c>
      <c r="H14" s="5">
        <v>29</v>
      </c>
      <c r="I14" s="5">
        <v>951</v>
      </c>
      <c r="J14" s="5">
        <v>1268</v>
      </c>
      <c r="K14" s="6">
        <f t="shared" si="0"/>
        <v>27579</v>
      </c>
      <c r="L14" s="6">
        <f t="shared" si="1"/>
        <v>36772</v>
      </c>
      <c r="M14" s="6">
        <f t="shared" si="2"/>
        <v>9193</v>
      </c>
      <c r="N14" s="6" t="str">
        <f t="shared" si="3"/>
        <v>profit</v>
      </c>
    </row>
    <row r="15" spans="1:14" ht="16.5" thickTop="1" thickBot="1" x14ac:dyDescent="0.3">
      <c r="A15" s="4">
        <v>45478</v>
      </c>
      <c r="B15" s="4" t="s">
        <v>40</v>
      </c>
      <c r="C15" s="5" t="s">
        <v>48</v>
      </c>
      <c r="D15" s="5" t="s">
        <v>16</v>
      </c>
      <c r="E15" s="5" t="s">
        <v>37</v>
      </c>
      <c r="F15" s="5" t="s">
        <v>49</v>
      </c>
      <c r="G15" s="5" t="s">
        <v>19</v>
      </c>
      <c r="H15" s="5">
        <v>12</v>
      </c>
      <c r="I15" s="5">
        <v>913</v>
      </c>
      <c r="J15" s="5">
        <v>1170</v>
      </c>
      <c r="K15" s="6">
        <f t="shared" si="0"/>
        <v>10956</v>
      </c>
      <c r="L15" s="6">
        <f t="shared" si="1"/>
        <v>14040</v>
      </c>
      <c r="M15" s="6">
        <f t="shared" si="2"/>
        <v>3084</v>
      </c>
      <c r="N15" s="6" t="str">
        <f t="shared" si="3"/>
        <v>profit</v>
      </c>
    </row>
    <row r="16" spans="1:14" ht="16.5" thickTop="1" thickBot="1" x14ac:dyDescent="0.3">
      <c r="A16" s="4">
        <v>45479</v>
      </c>
      <c r="B16" s="4" t="s">
        <v>40</v>
      </c>
      <c r="C16" s="5" t="s">
        <v>50</v>
      </c>
      <c r="D16" s="5" t="s">
        <v>16</v>
      </c>
      <c r="E16" s="5" t="s">
        <v>37</v>
      </c>
      <c r="F16" s="5" t="s">
        <v>27</v>
      </c>
      <c r="G16" s="5" t="s">
        <v>28</v>
      </c>
      <c r="H16" s="5">
        <v>20</v>
      </c>
      <c r="I16" s="5">
        <v>833</v>
      </c>
      <c r="J16" s="5">
        <v>877</v>
      </c>
      <c r="K16" s="6">
        <f t="shared" si="0"/>
        <v>16660</v>
      </c>
      <c r="L16" s="6">
        <f t="shared" si="1"/>
        <v>17540</v>
      </c>
      <c r="M16" s="6">
        <f t="shared" si="2"/>
        <v>880</v>
      </c>
      <c r="N16" s="6" t="str">
        <f t="shared" si="3"/>
        <v>profit</v>
      </c>
    </row>
    <row r="17" spans="1:14" ht="16.5" thickTop="1" thickBot="1" x14ac:dyDescent="0.3">
      <c r="A17" s="4">
        <v>45480</v>
      </c>
      <c r="B17" s="4" t="s">
        <v>40</v>
      </c>
      <c r="C17" s="5" t="s">
        <v>51</v>
      </c>
      <c r="D17" s="5" t="s">
        <v>16</v>
      </c>
      <c r="E17" s="5" t="s">
        <v>37</v>
      </c>
      <c r="F17" s="5" t="s">
        <v>52</v>
      </c>
      <c r="G17" s="5" t="s">
        <v>28</v>
      </c>
      <c r="H17" s="5">
        <v>17</v>
      </c>
      <c r="I17" s="5">
        <v>748</v>
      </c>
      <c r="J17" s="5">
        <v>1138</v>
      </c>
      <c r="K17" s="6">
        <f t="shared" si="0"/>
        <v>12716</v>
      </c>
      <c r="L17" s="6">
        <f t="shared" si="1"/>
        <v>19346</v>
      </c>
      <c r="M17" s="6">
        <f t="shared" si="2"/>
        <v>6630</v>
      </c>
      <c r="N17" s="6" t="str">
        <f t="shared" si="3"/>
        <v>profit</v>
      </c>
    </row>
    <row r="18" spans="1:14" ht="16.5" thickTop="1" thickBot="1" x14ac:dyDescent="0.3">
      <c r="A18" s="4">
        <v>45481</v>
      </c>
      <c r="B18" s="4" t="s">
        <v>40</v>
      </c>
      <c r="C18" s="5" t="s">
        <v>53</v>
      </c>
      <c r="D18" s="5" t="s">
        <v>16</v>
      </c>
      <c r="E18" s="5" t="s">
        <v>37</v>
      </c>
      <c r="F18" s="5" t="s">
        <v>54</v>
      </c>
      <c r="G18" s="5" t="s">
        <v>28</v>
      </c>
      <c r="H18" s="5">
        <v>20</v>
      </c>
      <c r="I18" s="5">
        <v>517</v>
      </c>
      <c r="J18" s="5">
        <v>1405</v>
      </c>
      <c r="K18" s="6">
        <f t="shared" si="0"/>
        <v>10340</v>
      </c>
      <c r="L18" s="6">
        <f t="shared" si="1"/>
        <v>28100</v>
      </c>
      <c r="M18" s="6">
        <f t="shared" si="2"/>
        <v>17760</v>
      </c>
      <c r="N18" s="6" t="str">
        <f t="shared" si="3"/>
        <v>profit</v>
      </c>
    </row>
    <row r="19" spans="1:14" ht="16.5" thickTop="1" thickBot="1" x14ac:dyDescent="0.3">
      <c r="A19" s="4">
        <v>45482</v>
      </c>
      <c r="B19" s="4" t="s">
        <v>40</v>
      </c>
      <c r="C19" s="5" t="s">
        <v>55</v>
      </c>
      <c r="D19" s="5" t="s">
        <v>16</v>
      </c>
      <c r="E19" s="5" t="s">
        <v>37</v>
      </c>
      <c r="F19" s="5" t="s">
        <v>35</v>
      </c>
      <c r="G19" s="5" t="s">
        <v>28</v>
      </c>
      <c r="H19" s="5">
        <v>18</v>
      </c>
      <c r="I19" s="5">
        <v>674</v>
      </c>
      <c r="J19" s="5">
        <v>775</v>
      </c>
      <c r="K19" s="6">
        <f t="shared" si="0"/>
        <v>12132</v>
      </c>
      <c r="L19" s="6">
        <f t="shared" si="1"/>
        <v>13950</v>
      </c>
      <c r="M19" s="6">
        <f t="shared" si="2"/>
        <v>1818</v>
      </c>
      <c r="N19" s="6" t="str">
        <f t="shared" si="3"/>
        <v>profit</v>
      </c>
    </row>
    <row r="20" spans="1:14" ht="16.5" thickTop="1" thickBot="1" x14ac:dyDescent="0.3">
      <c r="A20" s="4">
        <v>45483</v>
      </c>
      <c r="B20" s="4" t="s">
        <v>40</v>
      </c>
      <c r="C20" s="5" t="s">
        <v>56</v>
      </c>
      <c r="D20" s="5" t="s">
        <v>16</v>
      </c>
      <c r="E20" s="5" t="s">
        <v>37</v>
      </c>
      <c r="F20" s="5" t="s">
        <v>39</v>
      </c>
      <c r="G20" s="5" t="s">
        <v>19</v>
      </c>
      <c r="H20" s="5">
        <v>17</v>
      </c>
      <c r="I20" s="5">
        <v>641</v>
      </c>
      <c r="J20" s="5">
        <v>765</v>
      </c>
      <c r="K20" s="6">
        <f t="shared" si="0"/>
        <v>10897</v>
      </c>
      <c r="L20" s="6">
        <f t="shared" si="1"/>
        <v>13005</v>
      </c>
      <c r="M20" s="6">
        <f t="shared" si="2"/>
        <v>2108</v>
      </c>
      <c r="N20" s="6" t="str">
        <f t="shared" si="3"/>
        <v>profit</v>
      </c>
    </row>
    <row r="21" spans="1:14" ht="16.5" thickTop="1" thickBot="1" x14ac:dyDescent="0.3">
      <c r="A21" s="4">
        <v>45510</v>
      </c>
      <c r="B21" s="4" t="s">
        <v>57</v>
      </c>
      <c r="C21" s="5" t="s">
        <v>58</v>
      </c>
      <c r="D21" s="5" t="s">
        <v>16</v>
      </c>
      <c r="E21" s="5" t="s">
        <v>37</v>
      </c>
      <c r="F21" s="5" t="s">
        <v>44</v>
      </c>
      <c r="G21" s="5" t="s">
        <v>19</v>
      </c>
      <c r="H21" s="5">
        <v>10</v>
      </c>
      <c r="I21" s="5">
        <v>754</v>
      </c>
      <c r="J21" s="5">
        <v>982</v>
      </c>
      <c r="K21" s="6">
        <f t="shared" si="0"/>
        <v>7540</v>
      </c>
      <c r="L21" s="6">
        <f t="shared" si="1"/>
        <v>9820</v>
      </c>
      <c r="M21" s="6">
        <f t="shared" si="2"/>
        <v>2280</v>
      </c>
      <c r="N21" s="6" t="str">
        <f t="shared" si="3"/>
        <v>profit</v>
      </c>
    </row>
    <row r="22" spans="1:14" ht="16.5" thickTop="1" thickBot="1" x14ac:dyDescent="0.3">
      <c r="A22" s="4">
        <v>45511</v>
      </c>
      <c r="B22" s="4" t="s">
        <v>57</v>
      </c>
      <c r="C22" s="5" t="s">
        <v>59</v>
      </c>
      <c r="D22" s="5" t="s">
        <v>16</v>
      </c>
      <c r="E22" s="5" t="s">
        <v>37</v>
      </c>
      <c r="F22" s="5" t="s">
        <v>60</v>
      </c>
      <c r="G22" s="5" t="s">
        <v>19</v>
      </c>
      <c r="H22" s="5">
        <v>14</v>
      </c>
      <c r="I22" s="5">
        <v>815</v>
      </c>
      <c r="J22" s="5">
        <v>1341</v>
      </c>
      <c r="K22" s="6">
        <f t="shared" si="0"/>
        <v>11410</v>
      </c>
      <c r="L22" s="6">
        <f t="shared" si="1"/>
        <v>18774</v>
      </c>
      <c r="M22" s="6">
        <f t="shared" si="2"/>
        <v>7364</v>
      </c>
      <c r="N22" s="6" t="str">
        <f t="shared" si="3"/>
        <v>profit</v>
      </c>
    </row>
    <row r="23" spans="1:14" ht="16.5" thickTop="1" thickBot="1" x14ac:dyDescent="0.3">
      <c r="A23" s="4">
        <v>45513</v>
      </c>
      <c r="B23" s="4" t="s">
        <v>57</v>
      </c>
      <c r="C23" s="5" t="s">
        <v>61</v>
      </c>
      <c r="D23" s="5" t="s">
        <v>16</v>
      </c>
      <c r="E23" s="5" t="s">
        <v>37</v>
      </c>
      <c r="F23" s="5" t="s">
        <v>39</v>
      </c>
      <c r="G23" s="5" t="s">
        <v>19</v>
      </c>
      <c r="H23" s="5">
        <v>18</v>
      </c>
      <c r="I23" s="5">
        <v>704</v>
      </c>
      <c r="J23" s="5">
        <v>930</v>
      </c>
      <c r="K23" s="6">
        <f t="shared" si="0"/>
        <v>12672</v>
      </c>
      <c r="L23" s="6">
        <f t="shared" si="1"/>
        <v>16740</v>
      </c>
      <c r="M23" s="6">
        <f t="shared" si="2"/>
        <v>4068</v>
      </c>
      <c r="N23" s="6" t="str">
        <f t="shared" si="3"/>
        <v>profit</v>
      </c>
    </row>
    <row r="24" spans="1:14" ht="16.5" thickTop="1" thickBot="1" x14ac:dyDescent="0.3">
      <c r="A24" s="4">
        <v>45405</v>
      </c>
      <c r="B24" s="4" t="s">
        <v>31</v>
      </c>
      <c r="C24" s="5" t="s">
        <v>62</v>
      </c>
      <c r="D24" s="5" t="s">
        <v>46</v>
      </c>
      <c r="E24" s="5" t="s">
        <v>63</v>
      </c>
      <c r="F24" s="5" t="s">
        <v>64</v>
      </c>
      <c r="G24" s="5" t="s">
        <v>28</v>
      </c>
      <c r="H24" s="5">
        <v>25</v>
      </c>
      <c r="I24" s="5">
        <v>958</v>
      </c>
      <c r="J24" s="5">
        <v>942</v>
      </c>
      <c r="K24" s="6">
        <f t="shared" si="0"/>
        <v>23950</v>
      </c>
      <c r="L24" s="6">
        <f t="shared" si="1"/>
        <v>23550</v>
      </c>
      <c r="M24" s="6">
        <f t="shared" si="2"/>
        <v>-400</v>
      </c>
      <c r="N24" s="6" t="str">
        <f t="shared" si="3"/>
        <v>loss</v>
      </c>
    </row>
    <row r="25" spans="1:14" ht="16.5" thickTop="1" thickBot="1" x14ac:dyDescent="0.3">
      <c r="A25" s="4">
        <v>45514</v>
      </c>
      <c r="B25" s="4" t="s">
        <v>57</v>
      </c>
      <c r="C25" s="5" t="s">
        <v>65</v>
      </c>
      <c r="D25" s="5" t="s">
        <v>16</v>
      </c>
      <c r="E25" s="5" t="s">
        <v>37</v>
      </c>
      <c r="F25" s="5" t="s">
        <v>39</v>
      </c>
      <c r="G25" s="5" t="s">
        <v>19</v>
      </c>
      <c r="H25" s="5">
        <v>19</v>
      </c>
      <c r="I25" s="5">
        <v>744</v>
      </c>
      <c r="J25" s="5">
        <v>1433</v>
      </c>
      <c r="K25" s="6">
        <f t="shared" si="0"/>
        <v>14136</v>
      </c>
      <c r="L25" s="6">
        <f t="shared" si="1"/>
        <v>27227</v>
      </c>
      <c r="M25" s="6">
        <f t="shared" si="2"/>
        <v>13091</v>
      </c>
      <c r="N25" s="6" t="str">
        <f t="shared" si="3"/>
        <v>profit</v>
      </c>
    </row>
    <row r="26" spans="1:14" ht="16.5" thickTop="1" thickBot="1" x14ac:dyDescent="0.3">
      <c r="A26" s="4">
        <v>45407</v>
      </c>
      <c r="B26" s="4" t="s">
        <v>31</v>
      </c>
      <c r="C26" s="5" t="s">
        <v>66</v>
      </c>
      <c r="D26" s="5" t="s">
        <v>46</v>
      </c>
      <c r="E26" s="5" t="s">
        <v>63</v>
      </c>
      <c r="F26" s="5" t="s">
        <v>60</v>
      </c>
      <c r="G26" s="5" t="s">
        <v>19</v>
      </c>
      <c r="H26" s="5">
        <v>26</v>
      </c>
      <c r="I26" s="5">
        <v>520</v>
      </c>
      <c r="J26" s="5">
        <v>1486</v>
      </c>
      <c r="K26" s="6">
        <f t="shared" si="0"/>
        <v>13520</v>
      </c>
      <c r="L26" s="6">
        <f t="shared" si="1"/>
        <v>38636</v>
      </c>
      <c r="M26" s="6">
        <f t="shared" si="2"/>
        <v>25116</v>
      </c>
      <c r="N26" s="6" t="str">
        <f t="shared" si="3"/>
        <v>profit</v>
      </c>
    </row>
    <row r="27" spans="1:14" ht="16.5" thickTop="1" thickBot="1" x14ac:dyDescent="0.3">
      <c r="A27" s="4">
        <v>45515</v>
      </c>
      <c r="B27" s="4" t="s">
        <v>57</v>
      </c>
      <c r="C27" s="5" t="s">
        <v>67</v>
      </c>
      <c r="D27" s="5" t="s">
        <v>16</v>
      </c>
      <c r="E27" s="5" t="s">
        <v>37</v>
      </c>
      <c r="F27" s="5" t="s">
        <v>44</v>
      </c>
      <c r="G27" s="5" t="s">
        <v>28</v>
      </c>
      <c r="H27" s="5">
        <v>10</v>
      </c>
      <c r="I27" s="5">
        <v>669</v>
      </c>
      <c r="J27" s="5">
        <v>1344</v>
      </c>
      <c r="K27" s="6">
        <f t="shared" si="0"/>
        <v>6690</v>
      </c>
      <c r="L27" s="6">
        <f t="shared" si="1"/>
        <v>13440</v>
      </c>
      <c r="M27" s="6">
        <f t="shared" si="2"/>
        <v>6750</v>
      </c>
      <c r="N27" s="6" t="str">
        <f t="shared" si="3"/>
        <v>profit</v>
      </c>
    </row>
    <row r="28" spans="1:14" ht="16.5" thickTop="1" thickBot="1" x14ac:dyDescent="0.3">
      <c r="A28" s="4">
        <v>45516</v>
      </c>
      <c r="B28" s="4" t="s">
        <v>57</v>
      </c>
      <c r="C28" s="5" t="s">
        <v>68</v>
      </c>
      <c r="D28" s="5" t="s">
        <v>16</v>
      </c>
      <c r="E28" s="5" t="s">
        <v>37</v>
      </c>
      <c r="F28" s="5" t="s">
        <v>27</v>
      </c>
      <c r="G28" s="5" t="s">
        <v>28</v>
      </c>
      <c r="H28" s="5">
        <v>20</v>
      </c>
      <c r="I28" s="5">
        <v>966</v>
      </c>
      <c r="J28" s="5">
        <v>924</v>
      </c>
      <c r="K28" s="6">
        <f t="shared" si="0"/>
        <v>19320</v>
      </c>
      <c r="L28" s="6">
        <f t="shared" si="1"/>
        <v>18480</v>
      </c>
      <c r="M28" s="6">
        <f t="shared" si="2"/>
        <v>-840</v>
      </c>
      <c r="N28" s="6" t="str">
        <f t="shared" si="3"/>
        <v>loss</v>
      </c>
    </row>
    <row r="29" spans="1:14" ht="16.5" thickTop="1" thickBot="1" x14ac:dyDescent="0.3">
      <c r="A29" s="4">
        <v>45543</v>
      </c>
      <c r="B29" s="4" t="s">
        <v>69</v>
      </c>
      <c r="C29" s="5" t="s">
        <v>70</v>
      </c>
      <c r="D29" s="5" t="s">
        <v>16</v>
      </c>
      <c r="E29" s="5" t="s">
        <v>37</v>
      </c>
      <c r="F29" s="5" t="s">
        <v>71</v>
      </c>
      <c r="G29" s="5" t="s">
        <v>28</v>
      </c>
      <c r="H29" s="5">
        <v>18</v>
      </c>
      <c r="I29" s="5">
        <v>859</v>
      </c>
      <c r="J29" s="5">
        <v>1044</v>
      </c>
      <c r="K29" s="6">
        <f t="shared" si="0"/>
        <v>15462</v>
      </c>
      <c r="L29" s="6">
        <f t="shared" si="1"/>
        <v>18792</v>
      </c>
      <c r="M29" s="6">
        <f t="shared" si="2"/>
        <v>3330</v>
      </c>
      <c r="N29" s="6" t="str">
        <f t="shared" si="3"/>
        <v>profit</v>
      </c>
    </row>
    <row r="30" spans="1:14" ht="16.5" thickTop="1" thickBot="1" x14ac:dyDescent="0.3">
      <c r="A30" s="4">
        <v>45544</v>
      </c>
      <c r="B30" s="4" t="s">
        <v>69</v>
      </c>
      <c r="C30" s="5" t="s">
        <v>72</v>
      </c>
      <c r="D30" s="5" t="s">
        <v>16</v>
      </c>
      <c r="E30" s="5" t="s">
        <v>37</v>
      </c>
      <c r="F30" s="5" t="s">
        <v>44</v>
      </c>
      <c r="G30" s="5" t="s">
        <v>28</v>
      </c>
      <c r="H30" s="5">
        <v>15</v>
      </c>
      <c r="I30" s="5">
        <v>890</v>
      </c>
      <c r="J30" s="5">
        <v>1362</v>
      </c>
      <c r="K30" s="6">
        <f t="shared" si="0"/>
        <v>13350</v>
      </c>
      <c r="L30" s="6">
        <f t="shared" si="1"/>
        <v>20430</v>
      </c>
      <c r="M30" s="6">
        <f t="shared" si="2"/>
        <v>7080</v>
      </c>
      <c r="N30" s="6" t="str">
        <f t="shared" si="3"/>
        <v>profit</v>
      </c>
    </row>
    <row r="31" spans="1:14" ht="16.5" thickTop="1" thickBot="1" x14ac:dyDescent="0.3">
      <c r="A31" s="4">
        <v>45545</v>
      </c>
      <c r="B31" s="4" t="s">
        <v>69</v>
      </c>
      <c r="C31" s="5" t="s">
        <v>73</v>
      </c>
      <c r="D31" s="5" t="s">
        <v>16</v>
      </c>
      <c r="E31" s="5" t="s">
        <v>37</v>
      </c>
      <c r="F31" s="5" t="s">
        <v>25</v>
      </c>
      <c r="G31" s="5" t="s">
        <v>28</v>
      </c>
      <c r="H31" s="5">
        <v>19</v>
      </c>
      <c r="I31" s="5">
        <v>630</v>
      </c>
      <c r="J31" s="5">
        <v>882</v>
      </c>
      <c r="K31" s="6">
        <f t="shared" si="0"/>
        <v>11970</v>
      </c>
      <c r="L31" s="6">
        <f t="shared" si="1"/>
        <v>16758</v>
      </c>
      <c r="M31" s="6">
        <f t="shared" si="2"/>
        <v>4788</v>
      </c>
      <c r="N31" s="6" t="str">
        <f t="shared" si="3"/>
        <v>profit</v>
      </c>
    </row>
    <row r="32" spans="1:14" ht="16.5" thickTop="1" thickBot="1" x14ac:dyDescent="0.3">
      <c r="A32" s="4">
        <v>45546</v>
      </c>
      <c r="B32" s="4" t="s">
        <v>69</v>
      </c>
      <c r="C32" s="5" t="s">
        <v>74</v>
      </c>
      <c r="D32" s="5" t="s">
        <v>16</v>
      </c>
      <c r="E32" s="5" t="s">
        <v>37</v>
      </c>
      <c r="F32" s="5" t="s">
        <v>64</v>
      </c>
      <c r="G32" s="5" t="s">
        <v>28</v>
      </c>
      <c r="H32" s="5">
        <v>10</v>
      </c>
      <c r="I32" s="5">
        <v>701</v>
      </c>
      <c r="J32" s="5">
        <v>1384</v>
      </c>
      <c r="K32" s="6">
        <f t="shared" si="0"/>
        <v>7010</v>
      </c>
      <c r="L32" s="6">
        <f t="shared" si="1"/>
        <v>13840</v>
      </c>
      <c r="M32" s="6">
        <f t="shared" si="2"/>
        <v>6830</v>
      </c>
      <c r="N32" s="6" t="str">
        <f t="shared" si="3"/>
        <v>profit</v>
      </c>
    </row>
    <row r="33" spans="1:14" ht="16.5" thickTop="1" thickBot="1" x14ac:dyDescent="0.3">
      <c r="A33" s="4">
        <v>45547</v>
      </c>
      <c r="B33" s="4" t="s">
        <v>69</v>
      </c>
      <c r="C33" s="5" t="s">
        <v>75</v>
      </c>
      <c r="D33" s="5" t="s">
        <v>16</v>
      </c>
      <c r="E33" s="5" t="s">
        <v>37</v>
      </c>
      <c r="F33" s="5" t="s">
        <v>76</v>
      </c>
      <c r="G33" s="5" t="s">
        <v>19</v>
      </c>
      <c r="H33" s="5">
        <v>19</v>
      </c>
      <c r="I33" s="5">
        <v>653</v>
      </c>
      <c r="J33" s="5">
        <v>1402</v>
      </c>
      <c r="K33" s="6">
        <f t="shared" si="0"/>
        <v>12407</v>
      </c>
      <c r="L33" s="6">
        <f t="shared" si="1"/>
        <v>26638</v>
      </c>
      <c r="M33" s="6">
        <f t="shared" si="2"/>
        <v>14231</v>
      </c>
      <c r="N33" s="6" t="str">
        <f t="shared" si="3"/>
        <v>profit</v>
      </c>
    </row>
    <row r="34" spans="1:14" ht="16.5" thickTop="1" thickBot="1" x14ac:dyDescent="0.3">
      <c r="A34" s="4">
        <v>45548</v>
      </c>
      <c r="B34" s="4" t="s">
        <v>69</v>
      </c>
      <c r="C34" s="5" t="s">
        <v>77</v>
      </c>
      <c r="D34" s="5" t="s">
        <v>16</v>
      </c>
      <c r="E34" s="5" t="s">
        <v>37</v>
      </c>
      <c r="F34" s="5" t="s">
        <v>78</v>
      </c>
      <c r="G34" s="5" t="s">
        <v>19</v>
      </c>
      <c r="H34" s="5">
        <v>14</v>
      </c>
      <c r="I34" s="5">
        <v>968</v>
      </c>
      <c r="J34" s="5">
        <v>1419</v>
      </c>
      <c r="K34" s="6">
        <f t="shared" si="0"/>
        <v>13552</v>
      </c>
      <c r="L34" s="6">
        <f t="shared" si="1"/>
        <v>19866</v>
      </c>
      <c r="M34" s="6">
        <f t="shared" si="2"/>
        <v>6314</v>
      </c>
      <c r="N34" s="6" t="str">
        <f t="shared" si="3"/>
        <v>profit</v>
      </c>
    </row>
    <row r="35" spans="1:14" ht="16.5" thickTop="1" thickBot="1" x14ac:dyDescent="0.3">
      <c r="A35" s="4">
        <v>45550</v>
      </c>
      <c r="B35" s="4" t="s">
        <v>69</v>
      </c>
      <c r="C35" s="5" t="s">
        <v>79</v>
      </c>
      <c r="D35" s="5" t="s">
        <v>16</v>
      </c>
      <c r="E35" s="5" t="s">
        <v>37</v>
      </c>
      <c r="F35" s="5" t="s">
        <v>44</v>
      </c>
      <c r="G35" s="5" t="s">
        <v>19</v>
      </c>
      <c r="H35" s="5">
        <v>20</v>
      </c>
      <c r="I35" s="5">
        <v>508</v>
      </c>
      <c r="J35" s="5">
        <v>1433</v>
      </c>
      <c r="K35" s="6">
        <f t="shared" si="0"/>
        <v>10160</v>
      </c>
      <c r="L35" s="6">
        <f t="shared" si="1"/>
        <v>28660</v>
      </c>
      <c r="M35" s="6">
        <f t="shared" si="2"/>
        <v>18500</v>
      </c>
      <c r="N35" s="6" t="str">
        <f t="shared" si="3"/>
        <v>profit</v>
      </c>
    </row>
    <row r="36" spans="1:14" ht="16.5" thickTop="1" thickBot="1" x14ac:dyDescent="0.3">
      <c r="A36" s="4">
        <v>45551</v>
      </c>
      <c r="B36" s="4" t="s">
        <v>69</v>
      </c>
      <c r="C36" s="5" t="s">
        <v>80</v>
      </c>
      <c r="D36" s="5" t="s">
        <v>16</v>
      </c>
      <c r="E36" s="5" t="s">
        <v>37</v>
      </c>
      <c r="F36" s="5" t="s">
        <v>60</v>
      </c>
      <c r="G36" s="5" t="s">
        <v>19</v>
      </c>
      <c r="H36" s="5">
        <v>12</v>
      </c>
      <c r="I36" s="5">
        <v>539</v>
      </c>
      <c r="J36" s="5">
        <v>1136</v>
      </c>
      <c r="K36" s="6">
        <f t="shared" si="0"/>
        <v>6468</v>
      </c>
      <c r="L36" s="6">
        <f t="shared" si="1"/>
        <v>13632</v>
      </c>
      <c r="M36" s="6">
        <f t="shared" si="2"/>
        <v>7164</v>
      </c>
      <c r="N36" s="6" t="str">
        <f t="shared" si="3"/>
        <v>profit</v>
      </c>
    </row>
    <row r="37" spans="1:14" ht="16.5" thickTop="1" thickBot="1" x14ac:dyDescent="0.3">
      <c r="A37" s="4">
        <v>45552</v>
      </c>
      <c r="B37" s="4" t="s">
        <v>69</v>
      </c>
      <c r="C37" s="5" t="s">
        <v>81</v>
      </c>
      <c r="D37" s="5" t="s">
        <v>16</v>
      </c>
      <c r="E37" s="5" t="s">
        <v>37</v>
      </c>
      <c r="F37" s="5" t="s">
        <v>35</v>
      </c>
      <c r="G37" s="5" t="s">
        <v>19</v>
      </c>
      <c r="H37" s="5">
        <v>10</v>
      </c>
      <c r="I37" s="5">
        <v>731</v>
      </c>
      <c r="J37" s="5">
        <v>1226</v>
      </c>
      <c r="K37" s="6">
        <f t="shared" si="0"/>
        <v>7310</v>
      </c>
      <c r="L37" s="6">
        <f t="shared" si="1"/>
        <v>12260</v>
      </c>
      <c r="M37" s="6">
        <f t="shared" si="2"/>
        <v>4950</v>
      </c>
      <c r="N37" s="6" t="str">
        <f t="shared" si="3"/>
        <v>profit</v>
      </c>
    </row>
    <row r="38" spans="1:14" ht="16.5" thickTop="1" thickBot="1" x14ac:dyDescent="0.3">
      <c r="A38" s="4">
        <v>45553</v>
      </c>
      <c r="B38" s="4" t="s">
        <v>69</v>
      </c>
      <c r="C38" s="5" t="s">
        <v>82</v>
      </c>
      <c r="D38" s="5" t="s">
        <v>16</v>
      </c>
      <c r="E38" s="5" t="s">
        <v>37</v>
      </c>
      <c r="F38" s="5" t="s">
        <v>39</v>
      </c>
      <c r="G38" s="5" t="s">
        <v>19</v>
      </c>
      <c r="H38" s="5">
        <v>15</v>
      </c>
      <c r="I38" s="5">
        <v>621</v>
      </c>
      <c r="J38" s="5">
        <v>1488</v>
      </c>
      <c r="K38" s="6">
        <f t="shared" si="0"/>
        <v>9315</v>
      </c>
      <c r="L38" s="6">
        <f t="shared" si="1"/>
        <v>22320</v>
      </c>
      <c r="M38" s="6">
        <f t="shared" si="2"/>
        <v>13005</v>
      </c>
      <c r="N38" s="6" t="str">
        <f t="shared" si="3"/>
        <v>profit</v>
      </c>
    </row>
    <row r="39" spans="1:14" ht="16.5" thickTop="1" thickBot="1" x14ac:dyDescent="0.3">
      <c r="A39" s="4">
        <v>45562</v>
      </c>
      <c r="B39" s="4" t="s">
        <v>69</v>
      </c>
      <c r="C39" s="5" t="s">
        <v>83</v>
      </c>
      <c r="D39" s="5" t="s">
        <v>16</v>
      </c>
      <c r="E39" s="5" t="s">
        <v>17</v>
      </c>
      <c r="F39" s="5" t="s">
        <v>35</v>
      </c>
      <c r="G39" s="5" t="s">
        <v>28</v>
      </c>
      <c r="H39" s="5">
        <v>16</v>
      </c>
      <c r="I39" s="5">
        <v>963</v>
      </c>
      <c r="J39" s="5">
        <v>1186</v>
      </c>
      <c r="K39" s="6">
        <f t="shared" si="0"/>
        <v>15408</v>
      </c>
      <c r="L39" s="6">
        <f t="shared" si="1"/>
        <v>18976</v>
      </c>
      <c r="M39" s="6">
        <f t="shared" si="2"/>
        <v>3568</v>
      </c>
      <c r="N39" s="6" t="str">
        <f t="shared" si="3"/>
        <v>profit</v>
      </c>
    </row>
    <row r="40" spans="1:14" ht="16.5" thickTop="1" thickBot="1" x14ac:dyDescent="0.3">
      <c r="A40" s="4">
        <v>45564</v>
      </c>
      <c r="B40" s="4" t="s">
        <v>69</v>
      </c>
      <c r="C40" s="5" t="s">
        <v>84</v>
      </c>
      <c r="D40" s="5" t="s">
        <v>16</v>
      </c>
      <c r="E40" s="5" t="s">
        <v>17</v>
      </c>
      <c r="F40" s="5" t="s">
        <v>39</v>
      </c>
      <c r="G40" s="5" t="s">
        <v>19</v>
      </c>
      <c r="H40" s="5">
        <v>13</v>
      </c>
      <c r="I40" s="5">
        <v>762</v>
      </c>
      <c r="J40" s="5">
        <v>1311</v>
      </c>
      <c r="K40" s="6">
        <f t="shared" si="0"/>
        <v>9906</v>
      </c>
      <c r="L40" s="6">
        <f t="shared" si="1"/>
        <v>17043</v>
      </c>
      <c r="M40" s="6">
        <f t="shared" si="2"/>
        <v>7137</v>
      </c>
      <c r="N40" s="6" t="str">
        <f t="shared" si="3"/>
        <v>profit</v>
      </c>
    </row>
    <row r="41" spans="1:14" ht="16.5" thickTop="1" thickBot="1" x14ac:dyDescent="0.3">
      <c r="A41" s="4">
        <v>45566</v>
      </c>
      <c r="B41" s="4" t="s">
        <v>85</v>
      </c>
      <c r="C41" s="5" t="s">
        <v>86</v>
      </c>
      <c r="D41" s="5" t="s">
        <v>16</v>
      </c>
      <c r="E41" s="5" t="s">
        <v>17</v>
      </c>
      <c r="F41" s="5" t="s">
        <v>64</v>
      </c>
      <c r="G41" s="5" t="s">
        <v>19</v>
      </c>
      <c r="H41" s="5">
        <v>14</v>
      </c>
      <c r="I41" s="5">
        <v>909</v>
      </c>
      <c r="J41" s="5">
        <v>780</v>
      </c>
      <c r="K41" s="6">
        <f t="shared" si="0"/>
        <v>12726</v>
      </c>
      <c r="L41" s="6">
        <f t="shared" si="1"/>
        <v>10920</v>
      </c>
      <c r="M41" s="6">
        <f t="shared" si="2"/>
        <v>-1806</v>
      </c>
      <c r="N41" s="6" t="str">
        <f t="shared" si="3"/>
        <v>loss</v>
      </c>
    </row>
    <row r="42" spans="1:14" ht="16.5" thickTop="1" thickBot="1" x14ac:dyDescent="0.3">
      <c r="A42" s="4">
        <v>45567</v>
      </c>
      <c r="B42" s="4" t="s">
        <v>85</v>
      </c>
      <c r="C42" s="5" t="s">
        <v>87</v>
      </c>
      <c r="D42" s="5" t="s">
        <v>16</v>
      </c>
      <c r="E42" s="5" t="s">
        <v>17</v>
      </c>
      <c r="F42" s="5" t="s">
        <v>60</v>
      </c>
      <c r="G42" s="5" t="s">
        <v>19</v>
      </c>
      <c r="H42" s="5">
        <v>11</v>
      </c>
      <c r="I42" s="5">
        <v>858</v>
      </c>
      <c r="J42" s="5">
        <v>1080</v>
      </c>
      <c r="K42" s="6">
        <f t="shared" si="0"/>
        <v>9438</v>
      </c>
      <c r="L42" s="6">
        <f t="shared" si="1"/>
        <v>11880</v>
      </c>
      <c r="M42" s="6">
        <f t="shared" si="2"/>
        <v>2442</v>
      </c>
      <c r="N42" s="6" t="str">
        <f t="shared" si="3"/>
        <v>profit</v>
      </c>
    </row>
    <row r="43" spans="1:14" ht="16.5" thickTop="1" thickBot="1" x14ac:dyDescent="0.3">
      <c r="A43" s="4">
        <v>45568</v>
      </c>
      <c r="B43" s="4" t="s">
        <v>85</v>
      </c>
      <c r="C43" s="5" t="s">
        <v>88</v>
      </c>
      <c r="D43" s="5" t="s">
        <v>16</v>
      </c>
      <c r="E43" s="5" t="s">
        <v>17</v>
      </c>
      <c r="F43" s="5" t="s">
        <v>39</v>
      </c>
      <c r="G43" s="5" t="s">
        <v>19</v>
      </c>
      <c r="H43" s="5">
        <v>12</v>
      </c>
      <c r="I43" s="5">
        <v>516</v>
      </c>
      <c r="J43" s="5">
        <v>857</v>
      </c>
      <c r="K43" s="6">
        <f t="shared" si="0"/>
        <v>6192</v>
      </c>
      <c r="L43" s="6">
        <f t="shared" si="1"/>
        <v>10284</v>
      </c>
      <c r="M43" s="6">
        <f t="shared" si="2"/>
        <v>4092</v>
      </c>
      <c r="N43" s="6" t="str">
        <f t="shared" si="3"/>
        <v>profit</v>
      </c>
    </row>
    <row r="44" spans="1:14" ht="16.5" thickTop="1" thickBot="1" x14ac:dyDescent="0.3">
      <c r="A44" s="4">
        <v>45580</v>
      </c>
      <c r="B44" s="4" t="s">
        <v>85</v>
      </c>
      <c r="C44" s="5" t="s">
        <v>89</v>
      </c>
      <c r="D44" s="5" t="s">
        <v>16</v>
      </c>
      <c r="E44" s="5" t="s">
        <v>37</v>
      </c>
      <c r="F44" s="5" t="s">
        <v>30</v>
      </c>
      <c r="G44" s="5" t="s">
        <v>28</v>
      </c>
      <c r="H44" s="5">
        <v>20</v>
      </c>
      <c r="I44" s="5">
        <v>817</v>
      </c>
      <c r="J44" s="5">
        <v>1324</v>
      </c>
      <c r="K44" s="6">
        <f t="shared" si="0"/>
        <v>16340</v>
      </c>
      <c r="L44" s="6">
        <f t="shared" si="1"/>
        <v>26480</v>
      </c>
      <c r="M44" s="6">
        <f t="shared" si="2"/>
        <v>10140</v>
      </c>
      <c r="N44" s="6" t="str">
        <f t="shared" si="3"/>
        <v>profit</v>
      </c>
    </row>
    <row r="45" spans="1:14" ht="16.5" thickTop="1" thickBot="1" x14ac:dyDescent="0.3">
      <c r="A45" s="4">
        <v>45581</v>
      </c>
      <c r="B45" s="4" t="s">
        <v>85</v>
      </c>
      <c r="C45" s="5" t="s">
        <v>90</v>
      </c>
      <c r="D45" s="5" t="s">
        <v>16</v>
      </c>
      <c r="E45" s="5" t="s">
        <v>37</v>
      </c>
      <c r="F45" s="5" t="s">
        <v>25</v>
      </c>
      <c r="G45" s="5" t="s">
        <v>28</v>
      </c>
      <c r="H45" s="5">
        <v>16</v>
      </c>
      <c r="I45" s="5">
        <v>935</v>
      </c>
      <c r="J45" s="5">
        <v>980</v>
      </c>
      <c r="K45" s="6">
        <f t="shared" si="0"/>
        <v>14960</v>
      </c>
      <c r="L45" s="6">
        <f t="shared" si="1"/>
        <v>15680</v>
      </c>
      <c r="M45" s="6">
        <f t="shared" si="2"/>
        <v>720</v>
      </c>
      <c r="N45" s="6" t="str">
        <f t="shared" si="3"/>
        <v>profit</v>
      </c>
    </row>
    <row r="46" spans="1:14" ht="16.5" thickTop="1" thickBot="1" x14ac:dyDescent="0.3">
      <c r="A46" s="4">
        <v>45582</v>
      </c>
      <c r="B46" s="4" t="s">
        <v>85</v>
      </c>
      <c r="C46" s="5" t="s">
        <v>91</v>
      </c>
      <c r="D46" s="5" t="s">
        <v>16</v>
      </c>
      <c r="E46" s="5" t="s">
        <v>37</v>
      </c>
      <c r="F46" s="5" t="s">
        <v>76</v>
      </c>
      <c r="G46" s="5" t="s">
        <v>28</v>
      </c>
      <c r="H46" s="5">
        <v>17</v>
      </c>
      <c r="I46" s="5">
        <v>642</v>
      </c>
      <c r="J46" s="5">
        <v>1095</v>
      </c>
      <c r="K46" s="6">
        <f t="shared" si="0"/>
        <v>10914</v>
      </c>
      <c r="L46" s="6">
        <f t="shared" si="1"/>
        <v>18615</v>
      </c>
      <c r="M46" s="6">
        <f t="shared" si="2"/>
        <v>7701</v>
      </c>
      <c r="N46" s="6" t="str">
        <f t="shared" si="3"/>
        <v>profit</v>
      </c>
    </row>
    <row r="47" spans="1:14" ht="16.5" thickTop="1" thickBot="1" x14ac:dyDescent="0.3">
      <c r="A47" s="4">
        <v>45584</v>
      </c>
      <c r="B47" s="4" t="s">
        <v>85</v>
      </c>
      <c r="C47" s="5" t="s">
        <v>92</v>
      </c>
      <c r="D47" s="5" t="s">
        <v>16</v>
      </c>
      <c r="E47" s="5" t="s">
        <v>37</v>
      </c>
      <c r="F47" s="5" t="s">
        <v>35</v>
      </c>
      <c r="G47" s="5" t="s">
        <v>19</v>
      </c>
      <c r="H47" s="5">
        <v>18</v>
      </c>
      <c r="I47" s="5">
        <v>596</v>
      </c>
      <c r="J47" s="5">
        <v>817</v>
      </c>
      <c r="K47" s="6">
        <f t="shared" si="0"/>
        <v>10728</v>
      </c>
      <c r="L47" s="6">
        <f t="shared" si="1"/>
        <v>14706</v>
      </c>
      <c r="M47" s="6">
        <f t="shared" si="2"/>
        <v>3978</v>
      </c>
      <c r="N47" s="6" t="str">
        <f t="shared" si="3"/>
        <v>profit</v>
      </c>
    </row>
    <row r="48" spans="1:14" ht="16.5" thickTop="1" thickBot="1" x14ac:dyDescent="0.3">
      <c r="A48" s="4">
        <v>45585</v>
      </c>
      <c r="B48" s="4" t="s">
        <v>85</v>
      </c>
      <c r="C48" s="5" t="s">
        <v>93</v>
      </c>
      <c r="D48" s="5" t="s">
        <v>16</v>
      </c>
      <c r="E48" s="5" t="s">
        <v>37</v>
      </c>
      <c r="F48" s="5" t="s">
        <v>39</v>
      </c>
      <c r="G48" s="5" t="s">
        <v>19</v>
      </c>
      <c r="H48" s="5">
        <v>14</v>
      </c>
      <c r="I48" s="5">
        <v>533</v>
      </c>
      <c r="J48" s="5">
        <v>922</v>
      </c>
      <c r="K48" s="6">
        <f t="shared" si="0"/>
        <v>7462</v>
      </c>
      <c r="L48" s="6">
        <f t="shared" si="1"/>
        <v>12908</v>
      </c>
      <c r="M48" s="6">
        <f t="shared" si="2"/>
        <v>5446</v>
      </c>
      <c r="N48" s="6" t="str">
        <f t="shared" si="3"/>
        <v>profit</v>
      </c>
    </row>
    <row r="49" spans="1:14" ht="16.5" thickTop="1" thickBot="1" x14ac:dyDescent="0.3">
      <c r="A49" s="4">
        <v>45587</v>
      </c>
      <c r="B49" s="4" t="s">
        <v>85</v>
      </c>
      <c r="C49" s="5" t="s">
        <v>94</v>
      </c>
      <c r="D49" s="5" t="s">
        <v>16</v>
      </c>
      <c r="E49" s="5" t="s">
        <v>37</v>
      </c>
      <c r="F49" s="5" t="s">
        <v>64</v>
      </c>
      <c r="G49" s="5" t="s">
        <v>19</v>
      </c>
      <c r="H49" s="5">
        <v>19</v>
      </c>
      <c r="I49" s="5">
        <v>578</v>
      </c>
      <c r="J49" s="5">
        <v>1434</v>
      </c>
      <c r="K49" s="6">
        <f t="shared" si="0"/>
        <v>10982</v>
      </c>
      <c r="L49" s="6">
        <f t="shared" si="1"/>
        <v>27246</v>
      </c>
      <c r="M49" s="6">
        <f t="shared" si="2"/>
        <v>16264</v>
      </c>
      <c r="N49" s="6" t="str">
        <f t="shared" si="3"/>
        <v>profit</v>
      </c>
    </row>
    <row r="50" spans="1:14" ht="16.5" thickTop="1" thickBot="1" x14ac:dyDescent="0.3">
      <c r="A50" s="4">
        <v>45659</v>
      </c>
      <c r="B50" s="4" t="s">
        <v>95</v>
      </c>
      <c r="C50" s="5" t="s">
        <v>96</v>
      </c>
      <c r="D50" s="5" t="s">
        <v>16</v>
      </c>
      <c r="E50" s="5" t="s">
        <v>17</v>
      </c>
      <c r="F50" s="5" t="s">
        <v>25</v>
      </c>
      <c r="G50" s="5" t="s">
        <v>19</v>
      </c>
      <c r="H50" s="5">
        <v>14</v>
      </c>
      <c r="I50" s="5">
        <v>521</v>
      </c>
      <c r="J50" s="5">
        <v>974</v>
      </c>
      <c r="K50" s="6">
        <f t="shared" si="0"/>
        <v>7294</v>
      </c>
      <c r="L50" s="6">
        <f t="shared" si="1"/>
        <v>13636</v>
      </c>
      <c r="M50" s="6">
        <f t="shared" si="2"/>
        <v>6342</v>
      </c>
      <c r="N50" s="6" t="str">
        <f t="shared" si="3"/>
        <v>profit</v>
      </c>
    </row>
    <row r="51" spans="1:14" ht="16.5" thickTop="1" thickBot="1" x14ac:dyDescent="0.3">
      <c r="A51" s="4">
        <v>45432</v>
      </c>
      <c r="B51" s="4" t="s">
        <v>97</v>
      </c>
      <c r="C51" s="5" t="s">
        <v>98</v>
      </c>
      <c r="D51" s="5" t="s">
        <v>33</v>
      </c>
      <c r="E51" s="5" t="s">
        <v>99</v>
      </c>
      <c r="F51" s="5" t="s">
        <v>35</v>
      </c>
      <c r="G51" s="5" t="s">
        <v>28</v>
      </c>
      <c r="H51" s="5">
        <v>79</v>
      </c>
      <c r="I51" s="5">
        <v>616</v>
      </c>
      <c r="J51" s="5">
        <v>944</v>
      </c>
      <c r="K51" s="6">
        <f t="shared" si="0"/>
        <v>48664</v>
      </c>
      <c r="L51" s="6">
        <f t="shared" si="1"/>
        <v>74576</v>
      </c>
      <c r="M51" s="6">
        <f t="shared" si="2"/>
        <v>25912</v>
      </c>
      <c r="N51" s="6" t="str">
        <f t="shared" si="3"/>
        <v>profit</v>
      </c>
    </row>
    <row r="52" spans="1:14" ht="16.5" thickTop="1" thickBot="1" x14ac:dyDescent="0.3">
      <c r="A52" s="4">
        <v>45661</v>
      </c>
      <c r="B52" s="4" t="s">
        <v>95</v>
      </c>
      <c r="C52" s="5" t="s">
        <v>100</v>
      </c>
      <c r="D52" s="5" t="s">
        <v>16</v>
      </c>
      <c r="E52" s="5" t="s">
        <v>17</v>
      </c>
      <c r="F52" s="5" t="s">
        <v>71</v>
      </c>
      <c r="G52" s="5" t="s">
        <v>19</v>
      </c>
      <c r="H52" s="5">
        <v>14</v>
      </c>
      <c r="I52" s="5">
        <v>734</v>
      </c>
      <c r="J52" s="5">
        <v>1058</v>
      </c>
      <c r="K52" s="6">
        <f t="shared" si="0"/>
        <v>10276</v>
      </c>
      <c r="L52" s="6">
        <f t="shared" si="1"/>
        <v>14812</v>
      </c>
      <c r="M52" s="6">
        <f t="shared" si="2"/>
        <v>4536</v>
      </c>
      <c r="N52" s="6" t="str">
        <f t="shared" si="3"/>
        <v>profit</v>
      </c>
    </row>
    <row r="53" spans="1:14" ht="16.5" thickTop="1" thickBot="1" x14ac:dyDescent="0.3">
      <c r="A53" s="4">
        <v>45663</v>
      </c>
      <c r="B53" s="4" t="s">
        <v>95</v>
      </c>
      <c r="C53" s="5" t="s">
        <v>101</v>
      </c>
      <c r="D53" s="5" t="s">
        <v>16</v>
      </c>
      <c r="E53" s="5" t="s">
        <v>17</v>
      </c>
      <c r="F53" s="5" t="s">
        <v>21</v>
      </c>
      <c r="G53" s="5" t="s">
        <v>19</v>
      </c>
      <c r="H53" s="5">
        <v>20</v>
      </c>
      <c r="I53" s="5">
        <v>837</v>
      </c>
      <c r="J53" s="5">
        <v>1014</v>
      </c>
      <c r="K53" s="6">
        <f t="shared" si="0"/>
        <v>16740</v>
      </c>
      <c r="L53" s="6">
        <f t="shared" si="1"/>
        <v>20280</v>
      </c>
      <c r="M53" s="6">
        <f t="shared" si="2"/>
        <v>3540</v>
      </c>
      <c r="N53" s="6" t="str">
        <f t="shared" si="3"/>
        <v>profit</v>
      </c>
    </row>
    <row r="54" spans="1:14" ht="16.5" thickTop="1" thickBot="1" x14ac:dyDescent="0.3">
      <c r="A54" s="4">
        <v>45665</v>
      </c>
      <c r="B54" s="4" t="s">
        <v>95</v>
      </c>
      <c r="C54" s="5" t="s">
        <v>102</v>
      </c>
      <c r="D54" s="5" t="s">
        <v>16</v>
      </c>
      <c r="E54" s="5" t="s">
        <v>17</v>
      </c>
      <c r="F54" s="5" t="s">
        <v>25</v>
      </c>
      <c r="G54" s="5" t="s">
        <v>28</v>
      </c>
      <c r="H54" s="5">
        <v>11</v>
      </c>
      <c r="I54" s="5">
        <v>617</v>
      </c>
      <c r="J54" s="5">
        <v>1025</v>
      </c>
      <c r="K54" s="6">
        <f t="shared" si="0"/>
        <v>6787</v>
      </c>
      <c r="L54" s="6">
        <f t="shared" si="1"/>
        <v>11275</v>
      </c>
      <c r="M54" s="6">
        <f t="shared" si="2"/>
        <v>4488</v>
      </c>
      <c r="N54" s="6" t="str">
        <f t="shared" si="3"/>
        <v>profit</v>
      </c>
    </row>
    <row r="55" spans="1:14" ht="16.5" thickTop="1" thickBot="1" x14ac:dyDescent="0.3">
      <c r="A55" s="4">
        <v>45678</v>
      </c>
      <c r="B55" s="4" t="s">
        <v>95</v>
      </c>
      <c r="C55" s="5" t="s">
        <v>103</v>
      </c>
      <c r="D55" s="5" t="s">
        <v>16</v>
      </c>
      <c r="E55" s="5" t="s">
        <v>37</v>
      </c>
      <c r="F55" s="5" t="s">
        <v>18</v>
      </c>
      <c r="G55" s="5" t="s">
        <v>19</v>
      </c>
      <c r="H55" s="5">
        <v>20</v>
      </c>
      <c r="I55" s="5">
        <v>749</v>
      </c>
      <c r="J55" s="5">
        <v>753</v>
      </c>
      <c r="K55" s="6">
        <f t="shared" si="0"/>
        <v>14980</v>
      </c>
      <c r="L55" s="6">
        <f t="shared" si="1"/>
        <v>15060</v>
      </c>
      <c r="M55" s="6">
        <f t="shared" si="2"/>
        <v>80</v>
      </c>
      <c r="N55" s="6" t="str">
        <f t="shared" si="3"/>
        <v>profit</v>
      </c>
    </row>
    <row r="56" spans="1:14" ht="16.5" thickTop="1" thickBot="1" x14ac:dyDescent="0.3">
      <c r="A56" s="4">
        <v>45679</v>
      </c>
      <c r="B56" s="4" t="s">
        <v>95</v>
      </c>
      <c r="C56" s="5" t="s">
        <v>104</v>
      </c>
      <c r="D56" s="5" t="s">
        <v>16</v>
      </c>
      <c r="E56" s="5" t="s">
        <v>37</v>
      </c>
      <c r="F56" s="5" t="s">
        <v>21</v>
      </c>
      <c r="G56" s="5" t="s">
        <v>19</v>
      </c>
      <c r="H56" s="5">
        <v>15</v>
      </c>
      <c r="I56" s="5">
        <v>924</v>
      </c>
      <c r="J56" s="5">
        <v>1024</v>
      </c>
      <c r="K56" s="6">
        <f t="shared" si="0"/>
        <v>13860</v>
      </c>
      <c r="L56" s="6">
        <f t="shared" si="1"/>
        <v>15360</v>
      </c>
      <c r="M56" s="6">
        <f t="shared" si="2"/>
        <v>1500</v>
      </c>
      <c r="N56" s="6" t="str">
        <f t="shared" si="3"/>
        <v>profit</v>
      </c>
    </row>
    <row r="57" spans="1:14" ht="16.5" thickTop="1" thickBot="1" x14ac:dyDescent="0.3">
      <c r="A57" s="4">
        <v>45680</v>
      </c>
      <c r="B57" s="4" t="s">
        <v>95</v>
      </c>
      <c r="C57" s="5" t="s">
        <v>105</v>
      </c>
      <c r="D57" s="5" t="s">
        <v>16</v>
      </c>
      <c r="E57" s="5" t="s">
        <v>37</v>
      </c>
      <c r="F57" s="5" t="s">
        <v>23</v>
      </c>
      <c r="G57" s="5" t="s">
        <v>19</v>
      </c>
      <c r="H57" s="5">
        <v>18</v>
      </c>
      <c r="I57" s="5">
        <v>601</v>
      </c>
      <c r="J57" s="5">
        <v>1246</v>
      </c>
      <c r="K57" s="6">
        <f t="shared" si="0"/>
        <v>10818</v>
      </c>
      <c r="L57" s="6">
        <f t="shared" si="1"/>
        <v>22428</v>
      </c>
      <c r="M57" s="6">
        <f t="shared" si="2"/>
        <v>11610</v>
      </c>
      <c r="N57" s="6" t="str">
        <f t="shared" si="3"/>
        <v>profit</v>
      </c>
    </row>
    <row r="58" spans="1:14" ht="16.5" thickTop="1" thickBot="1" x14ac:dyDescent="0.3">
      <c r="A58" s="4">
        <v>45681</v>
      </c>
      <c r="B58" s="4" t="s">
        <v>95</v>
      </c>
      <c r="C58" s="5" t="s">
        <v>106</v>
      </c>
      <c r="D58" s="5" t="s">
        <v>16</v>
      </c>
      <c r="E58" s="5" t="s">
        <v>37</v>
      </c>
      <c r="F58" s="5" t="s">
        <v>25</v>
      </c>
      <c r="G58" s="5" t="s">
        <v>19</v>
      </c>
      <c r="H58" s="5">
        <v>17</v>
      </c>
      <c r="I58" s="5">
        <v>626</v>
      </c>
      <c r="J58" s="5">
        <v>1462</v>
      </c>
      <c r="K58" s="6">
        <f t="shared" si="0"/>
        <v>10642</v>
      </c>
      <c r="L58" s="6">
        <f t="shared" si="1"/>
        <v>24854</v>
      </c>
      <c r="M58" s="6">
        <f t="shared" si="2"/>
        <v>14212</v>
      </c>
      <c r="N58" s="6" t="str">
        <f t="shared" si="3"/>
        <v>profit</v>
      </c>
    </row>
    <row r="59" spans="1:14" ht="16.5" thickTop="1" thickBot="1" x14ac:dyDescent="0.3">
      <c r="A59" s="4">
        <v>45682</v>
      </c>
      <c r="B59" s="4" t="s">
        <v>95</v>
      </c>
      <c r="C59" s="5" t="s">
        <v>107</v>
      </c>
      <c r="D59" s="5" t="s">
        <v>16</v>
      </c>
      <c r="E59" s="5" t="s">
        <v>37</v>
      </c>
      <c r="F59" s="5" t="s">
        <v>25</v>
      </c>
      <c r="G59" s="5" t="s">
        <v>19</v>
      </c>
      <c r="H59" s="5">
        <v>13</v>
      </c>
      <c r="I59" s="5">
        <v>542</v>
      </c>
      <c r="J59" s="5">
        <v>853</v>
      </c>
      <c r="K59" s="6">
        <f t="shared" si="0"/>
        <v>7046</v>
      </c>
      <c r="L59" s="6">
        <f t="shared" si="1"/>
        <v>11089</v>
      </c>
      <c r="M59" s="6">
        <f t="shared" si="2"/>
        <v>4043</v>
      </c>
      <c r="N59" s="6" t="str">
        <f t="shared" si="3"/>
        <v>profit</v>
      </c>
    </row>
    <row r="60" spans="1:14" ht="16.5" thickTop="1" thickBot="1" x14ac:dyDescent="0.3">
      <c r="A60" s="4">
        <v>45441</v>
      </c>
      <c r="B60" s="4" t="s">
        <v>97</v>
      </c>
      <c r="C60" s="5" t="s">
        <v>108</v>
      </c>
      <c r="D60" s="5" t="s">
        <v>33</v>
      </c>
      <c r="E60" s="5" t="s">
        <v>99</v>
      </c>
      <c r="F60" s="5" t="s">
        <v>54</v>
      </c>
      <c r="G60" s="5" t="s">
        <v>28</v>
      </c>
      <c r="H60" s="5">
        <v>50</v>
      </c>
      <c r="I60" s="5">
        <v>639</v>
      </c>
      <c r="J60" s="5">
        <v>789</v>
      </c>
      <c r="K60" s="6">
        <f t="shared" si="0"/>
        <v>31950</v>
      </c>
      <c r="L60" s="6">
        <f t="shared" si="1"/>
        <v>39450</v>
      </c>
      <c r="M60" s="6">
        <f t="shared" si="2"/>
        <v>7500</v>
      </c>
      <c r="N60" s="6" t="str">
        <f t="shared" si="3"/>
        <v>profit</v>
      </c>
    </row>
    <row r="61" spans="1:14" ht="16.5" thickTop="1" thickBot="1" x14ac:dyDescent="0.3">
      <c r="A61" s="4">
        <v>45684</v>
      </c>
      <c r="B61" s="4" t="s">
        <v>95</v>
      </c>
      <c r="C61" s="5" t="s">
        <v>109</v>
      </c>
      <c r="D61" s="5" t="s">
        <v>16</v>
      </c>
      <c r="E61" s="5" t="s">
        <v>37</v>
      </c>
      <c r="F61" s="5" t="s">
        <v>30</v>
      </c>
      <c r="G61" s="5" t="s">
        <v>28</v>
      </c>
      <c r="H61" s="5">
        <v>19</v>
      </c>
      <c r="I61" s="5">
        <v>595</v>
      </c>
      <c r="J61" s="5">
        <v>1424</v>
      </c>
      <c r="K61" s="6">
        <f t="shared" si="0"/>
        <v>11305</v>
      </c>
      <c r="L61" s="6">
        <f t="shared" si="1"/>
        <v>27056</v>
      </c>
      <c r="M61" s="6">
        <f t="shared" si="2"/>
        <v>15751</v>
      </c>
      <c r="N61" s="6" t="str">
        <f t="shared" si="3"/>
        <v>profit</v>
      </c>
    </row>
    <row r="62" spans="1:14" ht="16.5" thickTop="1" thickBot="1" x14ac:dyDescent="0.3">
      <c r="A62" s="4">
        <v>45685</v>
      </c>
      <c r="B62" s="4" t="s">
        <v>95</v>
      </c>
      <c r="C62" s="5" t="s">
        <v>110</v>
      </c>
      <c r="D62" s="5" t="s">
        <v>16</v>
      </c>
      <c r="E62" s="5" t="s">
        <v>37</v>
      </c>
      <c r="F62" s="5" t="s">
        <v>25</v>
      </c>
      <c r="G62" s="5" t="s">
        <v>28</v>
      </c>
      <c r="H62" s="5">
        <v>17</v>
      </c>
      <c r="I62" s="5">
        <v>593</v>
      </c>
      <c r="J62" s="5">
        <v>895</v>
      </c>
      <c r="K62" s="6">
        <f t="shared" si="0"/>
        <v>10081</v>
      </c>
      <c r="L62" s="6">
        <f t="shared" si="1"/>
        <v>15215</v>
      </c>
      <c r="M62" s="6">
        <f t="shared" si="2"/>
        <v>5134</v>
      </c>
      <c r="N62" s="6" t="str">
        <f t="shared" si="3"/>
        <v>profit</v>
      </c>
    </row>
    <row r="63" spans="1:14" ht="16.5" thickTop="1" thickBot="1" x14ac:dyDescent="0.3">
      <c r="A63" s="4">
        <v>45686</v>
      </c>
      <c r="B63" s="4" t="s">
        <v>95</v>
      </c>
      <c r="C63" s="5" t="s">
        <v>111</v>
      </c>
      <c r="D63" s="5" t="s">
        <v>16</v>
      </c>
      <c r="E63" s="5" t="s">
        <v>37</v>
      </c>
      <c r="F63" s="5" t="s">
        <v>39</v>
      </c>
      <c r="G63" s="5" t="s">
        <v>28</v>
      </c>
      <c r="H63" s="5">
        <v>20</v>
      </c>
      <c r="I63" s="5">
        <v>735</v>
      </c>
      <c r="J63" s="5">
        <v>1277</v>
      </c>
      <c r="K63" s="6">
        <f t="shared" si="0"/>
        <v>14700</v>
      </c>
      <c r="L63" s="6">
        <f t="shared" si="1"/>
        <v>25540</v>
      </c>
      <c r="M63" s="6">
        <f t="shared" si="2"/>
        <v>10840</v>
      </c>
      <c r="N63" s="6" t="str">
        <f t="shared" si="3"/>
        <v>profit</v>
      </c>
    </row>
    <row r="64" spans="1:14" ht="16.5" thickTop="1" thickBot="1" x14ac:dyDescent="0.3">
      <c r="A64" s="4">
        <v>45688</v>
      </c>
      <c r="B64" s="4" t="s">
        <v>95</v>
      </c>
      <c r="C64" s="5" t="s">
        <v>112</v>
      </c>
      <c r="D64" s="5" t="s">
        <v>16</v>
      </c>
      <c r="E64" s="5" t="s">
        <v>37</v>
      </c>
      <c r="F64" s="5" t="s">
        <v>113</v>
      </c>
      <c r="G64" s="5" t="s">
        <v>28</v>
      </c>
      <c r="H64" s="5">
        <v>17</v>
      </c>
      <c r="I64" s="5">
        <v>750</v>
      </c>
      <c r="J64" s="5">
        <v>1253</v>
      </c>
      <c r="K64" s="6">
        <f t="shared" si="0"/>
        <v>12750</v>
      </c>
      <c r="L64" s="6">
        <f t="shared" si="1"/>
        <v>21301</v>
      </c>
      <c r="M64" s="6">
        <f t="shared" si="2"/>
        <v>8551</v>
      </c>
      <c r="N64" s="6" t="str">
        <f t="shared" si="3"/>
        <v>profit</v>
      </c>
    </row>
    <row r="65" spans="1:14" ht="16.5" thickTop="1" thickBot="1" x14ac:dyDescent="0.3">
      <c r="A65" s="4">
        <v>45454</v>
      </c>
      <c r="B65" s="4" t="s">
        <v>14</v>
      </c>
      <c r="C65" s="5" t="s">
        <v>15</v>
      </c>
      <c r="D65" s="5" t="s">
        <v>16</v>
      </c>
      <c r="E65" s="5" t="s">
        <v>17</v>
      </c>
      <c r="F65" s="5" t="s">
        <v>18</v>
      </c>
      <c r="G65" s="5" t="s">
        <v>19</v>
      </c>
      <c r="H65" s="5">
        <v>11</v>
      </c>
      <c r="I65" s="5">
        <v>601</v>
      </c>
      <c r="J65" s="5">
        <v>1323</v>
      </c>
      <c r="K65" s="6">
        <f t="shared" si="0"/>
        <v>6611</v>
      </c>
      <c r="L65" s="6">
        <f t="shared" si="1"/>
        <v>14553</v>
      </c>
      <c r="M65" s="6">
        <f t="shared" si="2"/>
        <v>7942</v>
      </c>
      <c r="N65" s="6" t="str">
        <f t="shared" si="3"/>
        <v>profit</v>
      </c>
    </row>
    <row r="66" spans="1:14" ht="16.5" thickTop="1" thickBot="1" x14ac:dyDescent="0.3">
      <c r="A66" s="4">
        <v>45455</v>
      </c>
      <c r="B66" s="4" t="s">
        <v>14</v>
      </c>
      <c r="C66" s="5" t="s">
        <v>20</v>
      </c>
      <c r="D66" s="5" t="s">
        <v>16</v>
      </c>
      <c r="E66" s="5" t="s">
        <v>17</v>
      </c>
      <c r="F66" s="5" t="s">
        <v>21</v>
      </c>
      <c r="G66" s="5" t="s">
        <v>19</v>
      </c>
      <c r="H66" s="5">
        <v>20</v>
      </c>
      <c r="I66" s="5">
        <v>857</v>
      </c>
      <c r="J66" s="5">
        <v>983</v>
      </c>
      <c r="K66" s="6">
        <f t="shared" ref="K66:K129" si="4">H66*I66</f>
        <v>17140</v>
      </c>
      <c r="L66" s="6">
        <f t="shared" ref="L66:L129" si="5">H66*J66</f>
        <v>19660</v>
      </c>
      <c r="M66" s="6">
        <f t="shared" ref="M66:M129" si="6">L66-K66</f>
        <v>2520</v>
      </c>
      <c r="N66" s="6" t="str">
        <f t="shared" ref="N66:N129" si="7">IF(M66&gt;0,"profit","loss")</f>
        <v>profit</v>
      </c>
    </row>
    <row r="67" spans="1:14" ht="16.5" thickTop="1" thickBot="1" x14ac:dyDescent="0.3">
      <c r="A67" s="4">
        <v>45456</v>
      </c>
      <c r="B67" s="4" t="s">
        <v>14</v>
      </c>
      <c r="C67" s="5" t="s">
        <v>22</v>
      </c>
      <c r="D67" s="5" t="s">
        <v>16</v>
      </c>
      <c r="E67" s="5" t="s">
        <v>17</v>
      </c>
      <c r="F67" s="5" t="s">
        <v>23</v>
      </c>
      <c r="G67" s="5" t="s">
        <v>19</v>
      </c>
      <c r="H67" s="5">
        <v>11</v>
      </c>
      <c r="I67" s="5">
        <v>774</v>
      </c>
      <c r="J67" s="5">
        <v>1363</v>
      </c>
      <c r="K67" s="6">
        <f t="shared" si="4"/>
        <v>8514</v>
      </c>
      <c r="L67" s="6">
        <f t="shared" si="5"/>
        <v>14993</v>
      </c>
      <c r="M67" s="6">
        <f t="shared" si="6"/>
        <v>6479</v>
      </c>
      <c r="N67" s="6" t="str">
        <f t="shared" si="7"/>
        <v>profit</v>
      </c>
    </row>
    <row r="68" spans="1:14" ht="16.5" thickTop="1" thickBot="1" x14ac:dyDescent="0.3">
      <c r="A68" s="4">
        <v>45457</v>
      </c>
      <c r="B68" s="4" t="s">
        <v>14</v>
      </c>
      <c r="C68" s="5" t="s">
        <v>24</v>
      </c>
      <c r="D68" s="5" t="s">
        <v>16</v>
      </c>
      <c r="E68" s="5" t="s">
        <v>17</v>
      </c>
      <c r="F68" s="5" t="s">
        <v>25</v>
      </c>
      <c r="G68" s="5" t="s">
        <v>19</v>
      </c>
      <c r="H68" s="5">
        <v>13</v>
      </c>
      <c r="I68" s="5">
        <v>986</v>
      </c>
      <c r="J68" s="5">
        <v>1073</v>
      </c>
      <c r="K68" s="6">
        <f t="shared" si="4"/>
        <v>12818</v>
      </c>
      <c r="L68" s="6">
        <f t="shared" si="5"/>
        <v>13949</v>
      </c>
      <c r="M68" s="6">
        <f t="shared" si="6"/>
        <v>1131</v>
      </c>
      <c r="N68" s="6" t="str">
        <f t="shared" si="7"/>
        <v>profit</v>
      </c>
    </row>
    <row r="69" spans="1:14" ht="16.5" thickTop="1" thickBot="1" x14ac:dyDescent="0.3">
      <c r="A69" s="4">
        <v>45459</v>
      </c>
      <c r="B69" s="4" t="s">
        <v>14</v>
      </c>
      <c r="C69" s="5" t="s">
        <v>26</v>
      </c>
      <c r="D69" s="5" t="s">
        <v>16</v>
      </c>
      <c r="E69" s="5" t="s">
        <v>17</v>
      </c>
      <c r="F69" s="5" t="s">
        <v>27</v>
      </c>
      <c r="G69" s="5" t="s">
        <v>28</v>
      </c>
      <c r="H69" s="5">
        <v>12</v>
      </c>
      <c r="I69" s="5">
        <v>997</v>
      </c>
      <c r="J69" s="5">
        <v>1445</v>
      </c>
      <c r="K69" s="6">
        <f t="shared" si="4"/>
        <v>11964</v>
      </c>
      <c r="L69" s="6">
        <f t="shared" si="5"/>
        <v>17340</v>
      </c>
      <c r="M69" s="6">
        <f t="shared" si="6"/>
        <v>5376</v>
      </c>
      <c r="N69" s="6" t="str">
        <f t="shared" si="7"/>
        <v>profit</v>
      </c>
    </row>
    <row r="70" spans="1:14" ht="16.5" thickTop="1" thickBot="1" x14ac:dyDescent="0.3">
      <c r="A70" s="4">
        <v>45460</v>
      </c>
      <c r="B70" s="4" t="s">
        <v>14</v>
      </c>
      <c r="C70" s="5" t="s">
        <v>29</v>
      </c>
      <c r="D70" s="5" t="s">
        <v>16</v>
      </c>
      <c r="E70" s="5" t="s">
        <v>17</v>
      </c>
      <c r="F70" s="5" t="s">
        <v>30</v>
      </c>
      <c r="G70" s="5" t="s">
        <v>28</v>
      </c>
      <c r="H70" s="5">
        <v>20</v>
      </c>
      <c r="I70" s="5">
        <v>941</v>
      </c>
      <c r="J70" s="5">
        <v>1053</v>
      </c>
      <c r="K70" s="6">
        <f t="shared" si="4"/>
        <v>18820</v>
      </c>
      <c r="L70" s="6">
        <f t="shared" si="5"/>
        <v>21060</v>
      </c>
      <c r="M70" s="6">
        <f t="shared" si="6"/>
        <v>2240</v>
      </c>
      <c r="N70" s="6" t="str">
        <f t="shared" si="7"/>
        <v>profit</v>
      </c>
    </row>
    <row r="71" spans="1:14" ht="16.5" thickTop="1" thickBot="1" x14ac:dyDescent="0.3">
      <c r="A71" s="4">
        <v>45472</v>
      </c>
      <c r="B71" s="4" t="s">
        <v>14</v>
      </c>
      <c r="C71" s="5" t="s">
        <v>36</v>
      </c>
      <c r="D71" s="5" t="s">
        <v>16</v>
      </c>
      <c r="E71" s="5" t="s">
        <v>37</v>
      </c>
      <c r="F71" s="5" t="s">
        <v>35</v>
      </c>
      <c r="G71" s="5" t="s">
        <v>19</v>
      </c>
      <c r="H71" s="5">
        <v>19</v>
      </c>
      <c r="I71" s="5">
        <v>952</v>
      </c>
      <c r="J71" s="5">
        <v>1486</v>
      </c>
      <c r="K71" s="6">
        <f t="shared" si="4"/>
        <v>18088</v>
      </c>
      <c r="L71" s="6">
        <f t="shared" si="5"/>
        <v>28234</v>
      </c>
      <c r="M71" s="6">
        <f t="shared" si="6"/>
        <v>10146</v>
      </c>
      <c r="N71" s="6" t="str">
        <f t="shared" si="7"/>
        <v>profit</v>
      </c>
    </row>
    <row r="72" spans="1:14" ht="16.5" thickTop="1" thickBot="1" x14ac:dyDescent="0.3">
      <c r="A72" s="4">
        <v>45473</v>
      </c>
      <c r="B72" s="4" t="s">
        <v>14</v>
      </c>
      <c r="C72" s="5" t="s">
        <v>38</v>
      </c>
      <c r="D72" s="5" t="s">
        <v>16</v>
      </c>
      <c r="E72" s="5" t="s">
        <v>37</v>
      </c>
      <c r="F72" s="5" t="s">
        <v>39</v>
      </c>
      <c r="G72" s="5" t="s">
        <v>19</v>
      </c>
      <c r="H72" s="5">
        <v>11</v>
      </c>
      <c r="I72" s="5">
        <v>503</v>
      </c>
      <c r="J72" s="5">
        <v>762</v>
      </c>
      <c r="K72" s="6">
        <f t="shared" si="4"/>
        <v>5533</v>
      </c>
      <c r="L72" s="6">
        <f t="shared" si="5"/>
        <v>8382</v>
      </c>
      <c r="M72" s="6">
        <f t="shared" si="6"/>
        <v>2849</v>
      </c>
      <c r="N72" s="6" t="str">
        <f t="shared" si="7"/>
        <v>profit</v>
      </c>
    </row>
    <row r="73" spans="1:14" ht="16.5" thickTop="1" thickBot="1" x14ac:dyDescent="0.3">
      <c r="A73" s="4">
        <v>45474</v>
      </c>
      <c r="B73" s="4" t="s">
        <v>40</v>
      </c>
      <c r="C73" s="5" t="s">
        <v>41</v>
      </c>
      <c r="D73" s="5" t="s">
        <v>16</v>
      </c>
      <c r="E73" s="5" t="s">
        <v>37</v>
      </c>
      <c r="F73" s="5" t="s">
        <v>39</v>
      </c>
      <c r="G73" s="5" t="s">
        <v>19</v>
      </c>
      <c r="H73" s="5">
        <v>10</v>
      </c>
      <c r="I73" s="5">
        <v>719</v>
      </c>
      <c r="J73" s="5">
        <v>862</v>
      </c>
      <c r="K73" s="6">
        <f t="shared" si="4"/>
        <v>7190</v>
      </c>
      <c r="L73" s="6">
        <f t="shared" si="5"/>
        <v>8620</v>
      </c>
      <c r="M73" s="6">
        <f t="shared" si="6"/>
        <v>1430</v>
      </c>
      <c r="N73" s="6" t="str">
        <f t="shared" si="7"/>
        <v>profit</v>
      </c>
    </row>
    <row r="74" spans="1:14" ht="16.5" thickTop="1" thickBot="1" x14ac:dyDescent="0.3">
      <c r="A74" s="4">
        <v>45476</v>
      </c>
      <c r="B74" s="4" t="s">
        <v>40</v>
      </c>
      <c r="C74" s="5" t="s">
        <v>42</v>
      </c>
      <c r="D74" s="5" t="s">
        <v>16</v>
      </c>
      <c r="E74" s="5" t="s">
        <v>37</v>
      </c>
      <c r="F74" s="5" t="s">
        <v>27</v>
      </c>
      <c r="G74" s="5" t="s">
        <v>19</v>
      </c>
      <c r="H74" s="5">
        <v>15</v>
      </c>
      <c r="I74" s="5">
        <v>941</v>
      </c>
      <c r="J74" s="5">
        <v>913</v>
      </c>
      <c r="K74" s="6">
        <f t="shared" si="4"/>
        <v>14115</v>
      </c>
      <c r="L74" s="6">
        <f t="shared" si="5"/>
        <v>13695</v>
      </c>
      <c r="M74" s="6">
        <f t="shared" si="6"/>
        <v>-420</v>
      </c>
      <c r="N74" s="6" t="str">
        <f t="shared" si="7"/>
        <v>loss</v>
      </c>
    </row>
    <row r="75" spans="1:14" ht="16.5" thickTop="1" thickBot="1" x14ac:dyDescent="0.3">
      <c r="A75" s="4">
        <v>45477</v>
      </c>
      <c r="B75" s="4" t="s">
        <v>40</v>
      </c>
      <c r="C75" s="5" t="s">
        <v>43</v>
      </c>
      <c r="D75" s="5" t="s">
        <v>16</v>
      </c>
      <c r="E75" s="5" t="s">
        <v>37</v>
      </c>
      <c r="F75" s="5" t="s">
        <v>44</v>
      </c>
      <c r="G75" s="5" t="s">
        <v>19</v>
      </c>
      <c r="H75" s="5">
        <v>15</v>
      </c>
      <c r="I75" s="5">
        <v>937</v>
      </c>
      <c r="J75" s="5">
        <v>1427</v>
      </c>
      <c r="K75" s="6">
        <f t="shared" si="4"/>
        <v>14055</v>
      </c>
      <c r="L75" s="6">
        <f t="shared" si="5"/>
        <v>21405</v>
      </c>
      <c r="M75" s="6">
        <f t="shared" si="6"/>
        <v>7350</v>
      </c>
      <c r="N75" s="6" t="str">
        <f t="shared" si="7"/>
        <v>profit</v>
      </c>
    </row>
    <row r="76" spans="1:14" ht="16.5" thickTop="1" thickBot="1" x14ac:dyDescent="0.3">
      <c r="A76" s="4">
        <v>45478</v>
      </c>
      <c r="B76" s="4" t="s">
        <v>40</v>
      </c>
      <c r="C76" s="5" t="s">
        <v>48</v>
      </c>
      <c r="D76" s="5" t="s">
        <v>16</v>
      </c>
      <c r="E76" s="5" t="s">
        <v>37</v>
      </c>
      <c r="F76" s="5" t="s">
        <v>49</v>
      </c>
      <c r="G76" s="5" t="s">
        <v>19</v>
      </c>
      <c r="H76" s="5">
        <v>11</v>
      </c>
      <c r="I76" s="5">
        <v>674</v>
      </c>
      <c r="J76" s="5">
        <v>1415</v>
      </c>
      <c r="K76" s="6">
        <f t="shared" si="4"/>
        <v>7414</v>
      </c>
      <c r="L76" s="6">
        <f t="shared" si="5"/>
        <v>15565</v>
      </c>
      <c r="M76" s="6">
        <f t="shared" si="6"/>
        <v>8151</v>
      </c>
      <c r="N76" s="6" t="str">
        <f t="shared" si="7"/>
        <v>profit</v>
      </c>
    </row>
    <row r="77" spans="1:14" ht="16.5" thickTop="1" thickBot="1" x14ac:dyDescent="0.3">
      <c r="A77" s="4">
        <v>45458</v>
      </c>
      <c r="B77" s="4" t="s">
        <v>14</v>
      </c>
      <c r="C77" s="5" t="s">
        <v>114</v>
      </c>
      <c r="D77" s="5" t="s">
        <v>16</v>
      </c>
      <c r="E77" s="5" t="s">
        <v>17</v>
      </c>
      <c r="F77" s="5" t="s">
        <v>25</v>
      </c>
      <c r="G77" s="5" t="s">
        <v>19</v>
      </c>
      <c r="H77" s="5">
        <v>20</v>
      </c>
      <c r="I77" s="5">
        <v>827</v>
      </c>
      <c r="J77" s="5">
        <v>816</v>
      </c>
      <c r="K77" s="6">
        <f t="shared" si="4"/>
        <v>16540</v>
      </c>
      <c r="L77" s="6">
        <f t="shared" si="5"/>
        <v>16320</v>
      </c>
      <c r="M77" s="6">
        <f t="shared" si="6"/>
        <v>-220</v>
      </c>
      <c r="N77" s="6" t="str">
        <f t="shared" si="7"/>
        <v>loss</v>
      </c>
    </row>
    <row r="78" spans="1:14" ht="16.5" thickTop="1" thickBot="1" x14ac:dyDescent="0.3">
      <c r="A78" s="4">
        <v>45479</v>
      </c>
      <c r="B78" s="4" t="s">
        <v>40</v>
      </c>
      <c r="C78" s="5" t="s">
        <v>50</v>
      </c>
      <c r="D78" s="5" t="s">
        <v>16</v>
      </c>
      <c r="E78" s="5" t="s">
        <v>37</v>
      </c>
      <c r="F78" s="5" t="s">
        <v>27</v>
      </c>
      <c r="G78" s="5" t="s">
        <v>28</v>
      </c>
      <c r="H78" s="5">
        <v>20</v>
      </c>
      <c r="I78" s="5">
        <v>596</v>
      </c>
      <c r="J78" s="5">
        <v>1255</v>
      </c>
      <c r="K78" s="6">
        <f t="shared" si="4"/>
        <v>11920</v>
      </c>
      <c r="L78" s="6">
        <f t="shared" si="5"/>
        <v>25100</v>
      </c>
      <c r="M78" s="6">
        <f t="shared" si="6"/>
        <v>13180</v>
      </c>
      <c r="N78" s="6" t="str">
        <f t="shared" si="7"/>
        <v>profit</v>
      </c>
    </row>
    <row r="79" spans="1:14" ht="16.5" thickTop="1" thickBot="1" x14ac:dyDescent="0.3">
      <c r="A79" s="4">
        <v>45480</v>
      </c>
      <c r="B79" s="4" t="s">
        <v>40</v>
      </c>
      <c r="C79" s="5" t="s">
        <v>51</v>
      </c>
      <c r="D79" s="5" t="s">
        <v>16</v>
      </c>
      <c r="E79" s="5" t="s">
        <v>37</v>
      </c>
      <c r="F79" s="5" t="s">
        <v>52</v>
      </c>
      <c r="G79" s="5" t="s">
        <v>28</v>
      </c>
      <c r="H79" s="5">
        <v>20</v>
      </c>
      <c r="I79" s="5">
        <v>689</v>
      </c>
      <c r="J79" s="5">
        <v>939</v>
      </c>
      <c r="K79" s="6">
        <f t="shared" si="4"/>
        <v>13780</v>
      </c>
      <c r="L79" s="6">
        <f t="shared" si="5"/>
        <v>18780</v>
      </c>
      <c r="M79" s="6">
        <f t="shared" si="6"/>
        <v>5000</v>
      </c>
      <c r="N79" s="6" t="str">
        <f t="shared" si="7"/>
        <v>profit</v>
      </c>
    </row>
    <row r="80" spans="1:14" ht="16.5" thickTop="1" thickBot="1" x14ac:dyDescent="0.3">
      <c r="A80" s="4">
        <v>45481</v>
      </c>
      <c r="B80" s="4" t="s">
        <v>40</v>
      </c>
      <c r="C80" s="5" t="s">
        <v>53</v>
      </c>
      <c r="D80" s="5" t="s">
        <v>16</v>
      </c>
      <c r="E80" s="5" t="s">
        <v>37</v>
      </c>
      <c r="F80" s="5" t="s">
        <v>54</v>
      </c>
      <c r="G80" s="5" t="s">
        <v>28</v>
      </c>
      <c r="H80" s="5">
        <v>17</v>
      </c>
      <c r="I80" s="5">
        <v>990</v>
      </c>
      <c r="J80" s="5">
        <v>1391</v>
      </c>
      <c r="K80" s="6">
        <f t="shared" si="4"/>
        <v>16830</v>
      </c>
      <c r="L80" s="6">
        <f t="shared" si="5"/>
        <v>23647</v>
      </c>
      <c r="M80" s="6">
        <f t="shared" si="6"/>
        <v>6817</v>
      </c>
      <c r="N80" s="6" t="str">
        <f t="shared" si="7"/>
        <v>profit</v>
      </c>
    </row>
    <row r="81" spans="1:14" ht="16.5" thickTop="1" thickBot="1" x14ac:dyDescent="0.3">
      <c r="A81" s="4">
        <v>45482</v>
      </c>
      <c r="B81" s="4" t="s">
        <v>40</v>
      </c>
      <c r="C81" s="5" t="s">
        <v>55</v>
      </c>
      <c r="D81" s="5" t="s">
        <v>16</v>
      </c>
      <c r="E81" s="5" t="s">
        <v>37</v>
      </c>
      <c r="F81" s="5" t="s">
        <v>35</v>
      </c>
      <c r="G81" s="5" t="s">
        <v>28</v>
      </c>
      <c r="H81" s="5">
        <v>20</v>
      </c>
      <c r="I81" s="5">
        <v>589</v>
      </c>
      <c r="J81" s="5">
        <v>773</v>
      </c>
      <c r="K81" s="6">
        <f t="shared" si="4"/>
        <v>11780</v>
      </c>
      <c r="L81" s="6">
        <f t="shared" si="5"/>
        <v>15460</v>
      </c>
      <c r="M81" s="6">
        <f t="shared" si="6"/>
        <v>3680</v>
      </c>
      <c r="N81" s="6" t="str">
        <f t="shared" si="7"/>
        <v>profit</v>
      </c>
    </row>
    <row r="82" spans="1:14" ht="16.5" thickTop="1" thickBot="1" x14ac:dyDescent="0.3">
      <c r="A82" s="4">
        <v>45483</v>
      </c>
      <c r="B82" s="4" t="s">
        <v>40</v>
      </c>
      <c r="C82" s="5" t="s">
        <v>56</v>
      </c>
      <c r="D82" s="5" t="s">
        <v>16</v>
      </c>
      <c r="E82" s="5" t="s">
        <v>37</v>
      </c>
      <c r="F82" s="5" t="s">
        <v>39</v>
      </c>
      <c r="G82" s="5" t="s">
        <v>19</v>
      </c>
      <c r="H82" s="5">
        <v>17</v>
      </c>
      <c r="I82" s="5">
        <v>773</v>
      </c>
      <c r="J82" s="5">
        <v>1266</v>
      </c>
      <c r="K82" s="6">
        <f t="shared" si="4"/>
        <v>13141</v>
      </c>
      <c r="L82" s="6">
        <f t="shared" si="5"/>
        <v>21522</v>
      </c>
      <c r="M82" s="6">
        <f t="shared" si="6"/>
        <v>8381</v>
      </c>
      <c r="N82" s="6" t="str">
        <f t="shared" si="7"/>
        <v>profit</v>
      </c>
    </row>
    <row r="83" spans="1:14" ht="16.5" thickTop="1" thickBot="1" x14ac:dyDescent="0.3">
      <c r="A83" s="4">
        <v>45464</v>
      </c>
      <c r="B83" s="4" t="s">
        <v>14</v>
      </c>
      <c r="C83" s="5" t="s">
        <v>115</v>
      </c>
      <c r="D83" s="5" t="s">
        <v>33</v>
      </c>
      <c r="E83" s="5" t="s">
        <v>99</v>
      </c>
      <c r="F83" s="5" t="s">
        <v>44</v>
      </c>
      <c r="G83" s="5" t="s">
        <v>19</v>
      </c>
      <c r="H83" s="5">
        <v>75</v>
      </c>
      <c r="I83" s="5">
        <v>859</v>
      </c>
      <c r="J83" s="5">
        <v>1486</v>
      </c>
      <c r="K83" s="6">
        <f t="shared" si="4"/>
        <v>64425</v>
      </c>
      <c r="L83" s="6">
        <f t="shared" si="5"/>
        <v>111450</v>
      </c>
      <c r="M83" s="6">
        <f t="shared" si="6"/>
        <v>47025</v>
      </c>
      <c r="N83" s="6" t="str">
        <f t="shared" si="7"/>
        <v>profit</v>
      </c>
    </row>
    <row r="84" spans="1:14" ht="16.5" thickTop="1" thickBot="1" x14ac:dyDescent="0.3">
      <c r="A84" s="4">
        <v>45510</v>
      </c>
      <c r="B84" s="4" t="s">
        <v>57</v>
      </c>
      <c r="C84" s="5" t="s">
        <v>58</v>
      </c>
      <c r="D84" s="5" t="s">
        <v>16</v>
      </c>
      <c r="E84" s="5" t="s">
        <v>37</v>
      </c>
      <c r="F84" s="5" t="s">
        <v>44</v>
      </c>
      <c r="G84" s="5" t="s">
        <v>19</v>
      </c>
      <c r="H84" s="5">
        <v>11</v>
      </c>
      <c r="I84" s="5">
        <v>830</v>
      </c>
      <c r="J84" s="5">
        <v>1386</v>
      </c>
      <c r="K84" s="6">
        <f t="shared" si="4"/>
        <v>9130</v>
      </c>
      <c r="L84" s="6">
        <f t="shared" si="5"/>
        <v>15246</v>
      </c>
      <c r="M84" s="6">
        <f t="shared" si="6"/>
        <v>6116</v>
      </c>
      <c r="N84" s="6" t="str">
        <f t="shared" si="7"/>
        <v>profit</v>
      </c>
    </row>
    <row r="85" spans="1:14" ht="16.5" thickTop="1" thickBot="1" x14ac:dyDescent="0.3">
      <c r="A85" s="4">
        <v>45511</v>
      </c>
      <c r="B85" s="4" t="s">
        <v>57</v>
      </c>
      <c r="C85" s="5" t="s">
        <v>59</v>
      </c>
      <c r="D85" s="5" t="s">
        <v>16</v>
      </c>
      <c r="E85" s="5" t="s">
        <v>37</v>
      </c>
      <c r="F85" s="5" t="s">
        <v>60</v>
      </c>
      <c r="G85" s="5" t="s">
        <v>19</v>
      </c>
      <c r="H85" s="5">
        <v>11</v>
      </c>
      <c r="I85" s="5">
        <v>930</v>
      </c>
      <c r="J85" s="5">
        <v>876</v>
      </c>
      <c r="K85" s="6">
        <f t="shared" si="4"/>
        <v>10230</v>
      </c>
      <c r="L85" s="6">
        <f t="shared" si="5"/>
        <v>9636</v>
      </c>
      <c r="M85" s="6">
        <f t="shared" si="6"/>
        <v>-594</v>
      </c>
      <c r="N85" s="6" t="str">
        <f t="shared" si="7"/>
        <v>loss</v>
      </c>
    </row>
    <row r="86" spans="1:14" ht="16.5" thickTop="1" thickBot="1" x14ac:dyDescent="0.3">
      <c r="A86" s="4">
        <v>45513</v>
      </c>
      <c r="B86" s="4" t="s">
        <v>57</v>
      </c>
      <c r="C86" s="5" t="s">
        <v>61</v>
      </c>
      <c r="D86" s="5" t="s">
        <v>16</v>
      </c>
      <c r="E86" s="5" t="s">
        <v>37</v>
      </c>
      <c r="F86" s="5" t="s">
        <v>39</v>
      </c>
      <c r="G86" s="5" t="s">
        <v>19</v>
      </c>
      <c r="H86" s="5">
        <v>19</v>
      </c>
      <c r="I86" s="5">
        <v>654</v>
      </c>
      <c r="J86" s="5">
        <v>1295</v>
      </c>
      <c r="K86" s="6">
        <f t="shared" si="4"/>
        <v>12426</v>
      </c>
      <c r="L86" s="6">
        <f t="shared" si="5"/>
        <v>24605</v>
      </c>
      <c r="M86" s="6">
        <f t="shared" si="6"/>
        <v>12179</v>
      </c>
      <c r="N86" s="6" t="str">
        <f t="shared" si="7"/>
        <v>profit</v>
      </c>
    </row>
    <row r="87" spans="1:14" ht="16.5" thickTop="1" thickBot="1" x14ac:dyDescent="0.3">
      <c r="A87" s="4">
        <v>45514</v>
      </c>
      <c r="B87" s="4" t="s">
        <v>57</v>
      </c>
      <c r="C87" s="5" t="s">
        <v>65</v>
      </c>
      <c r="D87" s="5" t="s">
        <v>16</v>
      </c>
      <c r="E87" s="5" t="s">
        <v>37</v>
      </c>
      <c r="F87" s="5" t="s">
        <v>39</v>
      </c>
      <c r="G87" s="5" t="s">
        <v>19</v>
      </c>
      <c r="H87" s="5">
        <v>18</v>
      </c>
      <c r="I87" s="5">
        <v>767</v>
      </c>
      <c r="J87" s="5">
        <v>988</v>
      </c>
      <c r="K87" s="6">
        <f t="shared" si="4"/>
        <v>13806</v>
      </c>
      <c r="L87" s="6">
        <f t="shared" si="5"/>
        <v>17784</v>
      </c>
      <c r="M87" s="6">
        <f t="shared" si="6"/>
        <v>3978</v>
      </c>
      <c r="N87" s="6" t="str">
        <f t="shared" si="7"/>
        <v>profit</v>
      </c>
    </row>
    <row r="88" spans="1:14" ht="16.5" thickTop="1" thickBot="1" x14ac:dyDescent="0.3">
      <c r="A88" s="4">
        <v>45515</v>
      </c>
      <c r="B88" s="4" t="s">
        <v>57</v>
      </c>
      <c r="C88" s="5" t="s">
        <v>67</v>
      </c>
      <c r="D88" s="5" t="s">
        <v>16</v>
      </c>
      <c r="E88" s="5" t="s">
        <v>37</v>
      </c>
      <c r="F88" s="5" t="s">
        <v>44</v>
      </c>
      <c r="G88" s="5" t="s">
        <v>28</v>
      </c>
      <c r="H88" s="5">
        <v>12</v>
      </c>
      <c r="I88" s="5">
        <v>654</v>
      </c>
      <c r="J88" s="5">
        <v>788</v>
      </c>
      <c r="K88" s="6">
        <f t="shared" si="4"/>
        <v>7848</v>
      </c>
      <c r="L88" s="6">
        <f t="shared" si="5"/>
        <v>9456</v>
      </c>
      <c r="M88" s="6">
        <f t="shared" si="6"/>
        <v>1608</v>
      </c>
      <c r="N88" s="6" t="str">
        <f t="shared" si="7"/>
        <v>profit</v>
      </c>
    </row>
    <row r="89" spans="1:14" ht="16.5" thickTop="1" thickBot="1" x14ac:dyDescent="0.3">
      <c r="A89" s="4">
        <v>45516</v>
      </c>
      <c r="B89" s="4" t="s">
        <v>57</v>
      </c>
      <c r="C89" s="5" t="s">
        <v>68</v>
      </c>
      <c r="D89" s="5" t="s">
        <v>16</v>
      </c>
      <c r="E89" s="5" t="s">
        <v>37</v>
      </c>
      <c r="F89" s="5" t="s">
        <v>27</v>
      </c>
      <c r="G89" s="5" t="s">
        <v>28</v>
      </c>
      <c r="H89" s="5">
        <v>11</v>
      </c>
      <c r="I89" s="5">
        <v>827</v>
      </c>
      <c r="J89" s="5">
        <v>765</v>
      </c>
      <c r="K89" s="6">
        <f t="shared" si="4"/>
        <v>9097</v>
      </c>
      <c r="L89" s="6">
        <f t="shared" si="5"/>
        <v>8415</v>
      </c>
      <c r="M89" s="6">
        <f t="shared" si="6"/>
        <v>-682</v>
      </c>
      <c r="N89" s="6" t="str">
        <f t="shared" si="7"/>
        <v>loss</v>
      </c>
    </row>
    <row r="90" spans="1:14" ht="16.5" thickTop="1" thickBot="1" x14ac:dyDescent="0.3">
      <c r="A90" s="4">
        <v>45543</v>
      </c>
      <c r="B90" s="4" t="s">
        <v>69</v>
      </c>
      <c r="C90" s="5" t="s">
        <v>70</v>
      </c>
      <c r="D90" s="5" t="s">
        <v>16</v>
      </c>
      <c r="E90" s="5" t="s">
        <v>37</v>
      </c>
      <c r="F90" s="5" t="s">
        <v>71</v>
      </c>
      <c r="G90" s="5" t="s">
        <v>28</v>
      </c>
      <c r="H90" s="5">
        <v>12</v>
      </c>
      <c r="I90" s="5">
        <v>561</v>
      </c>
      <c r="J90" s="5">
        <v>1162</v>
      </c>
      <c r="K90" s="6">
        <f t="shared" si="4"/>
        <v>6732</v>
      </c>
      <c r="L90" s="6">
        <f t="shared" si="5"/>
        <v>13944</v>
      </c>
      <c r="M90" s="6">
        <f t="shared" si="6"/>
        <v>7212</v>
      </c>
      <c r="N90" s="6" t="str">
        <f t="shared" si="7"/>
        <v>profit</v>
      </c>
    </row>
    <row r="91" spans="1:14" ht="16.5" thickTop="1" thickBot="1" x14ac:dyDescent="0.3">
      <c r="A91" s="4">
        <v>45544</v>
      </c>
      <c r="B91" s="4" t="s">
        <v>69</v>
      </c>
      <c r="C91" s="5" t="s">
        <v>72</v>
      </c>
      <c r="D91" s="5" t="s">
        <v>16</v>
      </c>
      <c r="E91" s="5" t="s">
        <v>37</v>
      </c>
      <c r="F91" s="5" t="s">
        <v>44</v>
      </c>
      <c r="G91" s="5" t="s">
        <v>28</v>
      </c>
      <c r="H91" s="5">
        <v>12</v>
      </c>
      <c r="I91" s="5">
        <v>879</v>
      </c>
      <c r="J91" s="5">
        <v>1428</v>
      </c>
      <c r="K91" s="6">
        <f t="shared" si="4"/>
        <v>10548</v>
      </c>
      <c r="L91" s="6">
        <f t="shared" si="5"/>
        <v>17136</v>
      </c>
      <c r="M91" s="6">
        <f t="shared" si="6"/>
        <v>6588</v>
      </c>
      <c r="N91" s="6" t="str">
        <f t="shared" si="7"/>
        <v>profit</v>
      </c>
    </row>
    <row r="92" spans="1:14" ht="16.5" thickTop="1" thickBot="1" x14ac:dyDescent="0.3">
      <c r="A92" s="4">
        <v>45545</v>
      </c>
      <c r="B92" s="4" t="s">
        <v>69</v>
      </c>
      <c r="C92" s="5" t="s">
        <v>73</v>
      </c>
      <c r="D92" s="5" t="s">
        <v>16</v>
      </c>
      <c r="E92" s="5" t="s">
        <v>37</v>
      </c>
      <c r="F92" s="5" t="s">
        <v>25</v>
      </c>
      <c r="G92" s="5" t="s">
        <v>28</v>
      </c>
      <c r="H92" s="5">
        <v>13</v>
      </c>
      <c r="I92" s="5">
        <v>523</v>
      </c>
      <c r="J92" s="5">
        <v>1326</v>
      </c>
      <c r="K92" s="6">
        <f t="shared" si="4"/>
        <v>6799</v>
      </c>
      <c r="L92" s="6">
        <f t="shared" si="5"/>
        <v>17238</v>
      </c>
      <c r="M92" s="6">
        <f t="shared" si="6"/>
        <v>10439</v>
      </c>
      <c r="N92" s="6" t="str">
        <f t="shared" si="7"/>
        <v>profit</v>
      </c>
    </row>
    <row r="93" spans="1:14" ht="16.5" thickTop="1" thickBot="1" x14ac:dyDescent="0.3">
      <c r="A93" s="4">
        <v>45546</v>
      </c>
      <c r="B93" s="4" t="s">
        <v>69</v>
      </c>
      <c r="C93" s="5" t="s">
        <v>74</v>
      </c>
      <c r="D93" s="5" t="s">
        <v>16</v>
      </c>
      <c r="E93" s="5" t="s">
        <v>37</v>
      </c>
      <c r="F93" s="5" t="s">
        <v>64</v>
      </c>
      <c r="G93" s="5" t="s">
        <v>28</v>
      </c>
      <c r="H93" s="5">
        <v>10</v>
      </c>
      <c r="I93" s="5">
        <v>990</v>
      </c>
      <c r="J93" s="5">
        <v>1030</v>
      </c>
      <c r="K93" s="6">
        <f t="shared" si="4"/>
        <v>9900</v>
      </c>
      <c r="L93" s="6">
        <f t="shared" si="5"/>
        <v>10300</v>
      </c>
      <c r="M93" s="6">
        <f t="shared" si="6"/>
        <v>400</v>
      </c>
      <c r="N93" s="6" t="str">
        <f t="shared" si="7"/>
        <v>profit</v>
      </c>
    </row>
    <row r="94" spans="1:14" ht="16.5" thickTop="1" thickBot="1" x14ac:dyDescent="0.3">
      <c r="A94" s="4">
        <v>45475</v>
      </c>
      <c r="B94" s="4" t="s">
        <v>40</v>
      </c>
      <c r="C94" s="5" t="s">
        <v>116</v>
      </c>
      <c r="D94" s="5" t="s">
        <v>16</v>
      </c>
      <c r="E94" s="5" t="s">
        <v>37</v>
      </c>
      <c r="F94" s="5" t="s">
        <v>44</v>
      </c>
      <c r="G94" s="5" t="s">
        <v>19</v>
      </c>
      <c r="H94" s="5">
        <v>15</v>
      </c>
      <c r="I94" s="5">
        <v>910</v>
      </c>
      <c r="J94" s="5">
        <v>916</v>
      </c>
      <c r="K94" s="6">
        <f t="shared" si="4"/>
        <v>13650</v>
      </c>
      <c r="L94" s="6">
        <f t="shared" si="5"/>
        <v>13740</v>
      </c>
      <c r="M94" s="6">
        <f t="shared" si="6"/>
        <v>90</v>
      </c>
      <c r="N94" s="6" t="str">
        <f t="shared" si="7"/>
        <v>profit</v>
      </c>
    </row>
    <row r="95" spans="1:14" ht="16.5" thickTop="1" thickBot="1" x14ac:dyDescent="0.3">
      <c r="A95" s="4">
        <v>45547</v>
      </c>
      <c r="B95" s="4" t="s">
        <v>69</v>
      </c>
      <c r="C95" s="5" t="s">
        <v>75</v>
      </c>
      <c r="D95" s="5" t="s">
        <v>16</v>
      </c>
      <c r="E95" s="5" t="s">
        <v>37</v>
      </c>
      <c r="F95" s="5" t="s">
        <v>76</v>
      </c>
      <c r="G95" s="5" t="s">
        <v>19</v>
      </c>
      <c r="H95" s="5">
        <v>12</v>
      </c>
      <c r="I95" s="5">
        <v>707</v>
      </c>
      <c r="J95" s="5">
        <v>1203</v>
      </c>
      <c r="K95" s="6">
        <f t="shared" si="4"/>
        <v>8484</v>
      </c>
      <c r="L95" s="6">
        <f t="shared" si="5"/>
        <v>14436</v>
      </c>
      <c r="M95" s="6">
        <f t="shared" si="6"/>
        <v>5952</v>
      </c>
      <c r="N95" s="6" t="str">
        <f t="shared" si="7"/>
        <v>profit</v>
      </c>
    </row>
    <row r="96" spans="1:14" ht="16.5" thickTop="1" thickBot="1" x14ac:dyDescent="0.3">
      <c r="A96" s="4">
        <v>45548</v>
      </c>
      <c r="B96" s="4" t="s">
        <v>69</v>
      </c>
      <c r="C96" s="5" t="s">
        <v>77</v>
      </c>
      <c r="D96" s="5" t="s">
        <v>16</v>
      </c>
      <c r="E96" s="5" t="s">
        <v>37</v>
      </c>
      <c r="F96" s="5" t="s">
        <v>78</v>
      </c>
      <c r="G96" s="5" t="s">
        <v>19</v>
      </c>
      <c r="H96" s="5">
        <v>13</v>
      </c>
      <c r="I96" s="5">
        <v>515</v>
      </c>
      <c r="J96" s="5">
        <v>1095</v>
      </c>
      <c r="K96" s="6">
        <f t="shared" si="4"/>
        <v>6695</v>
      </c>
      <c r="L96" s="6">
        <f t="shared" si="5"/>
        <v>14235</v>
      </c>
      <c r="M96" s="6">
        <f t="shared" si="6"/>
        <v>7540</v>
      </c>
      <c r="N96" s="6" t="str">
        <f t="shared" si="7"/>
        <v>profit</v>
      </c>
    </row>
    <row r="97" spans="1:14" ht="16.5" thickTop="1" thickBot="1" x14ac:dyDescent="0.3">
      <c r="A97" s="4">
        <v>45550</v>
      </c>
      <c r="B97" s="4" t="s">
        <v>69</v>
      </c>
      <c r="C97" s="5" t="s">
        <v>79</v>
      </c>
      <c r="D97" s="5" t="s">
        <v>16</v>
      </c>
      <c r="E97" s="5" t="s">
        <v>37</v>
      </c>
      <c r="F97" s="5" t="s">
        <v>44</v>
      </c>
      <c r="G97" s="5" t="s">
        <v>19</v>
      </c>
      <c r="H97" s="5">
        <v>12</v>
      </c>
      <c r="I97" s="5">
        <v>671</v>
      </c>
      <c r="J97" s="5">
        <v>850</v>
      </c>
      <c r="K97" s="6">
        <f t="shared" si="4"/>
        <v>8052</v>
      </c>
      <c r="L97" s="6">
        <f t="shared" si="5"/>
        <v>10200</v>
      </c>
      <c r="M97" s="6">
        <f t="shared" si="6"/>
        <v>2148</v>
      </c>
      <c r="N97" s="6" t="str">
        <f t="shared" si="7"/>
        <v>profit</v>
      </c>
    </row>
    <row r="98" spans="1:14" ht="16.5" thickTop="1" thickBot="1" x14ac:dyDescent="0.3">
      <c r="A98" s="4">
        <v>45551</v>
      </c>
      <c r="B98" s="4" t="s">
        <v>69</v>
      </c>
      <c r="C98" s="5" t="s">
        <v>80</v>
      </c>
      <c r="D98" s="5" t="s">
        <v>16</v>
      </c>
      <c r="E98" s="5" t="s">
        <v>37</v>
      </c>
      <c r="F98" s="5" t="s">
        <v>60</v>
      </c>
      <c r="G98" s="5" t="s">
        <v>19</v>
      </c>
      <c r="H98" s="5">
        <v>12</v>
      </c>
      <c r="I98" s="5">
        <v>500</v>
      </c>
      <c r="J98" s="5">
        <v>1276</v>
      </c>
      <c r="K98" s="6">
        <f t="shared" si="4"/>
        <v>6000</v>
      </c>
      <c r="L98" s="6">
        <f t="shared" si="5"/>
        <v>15312</v>
      </c>
      <c r="M98" s="6">
        <f t="shared" si="6"/>
        <v>9312</v>
      </c>
      <c r="N98" s="6" t="str">
        <f t="shared" si="7"/>
        <v>profit</v>
      </c>
    </row>
    <row r="99" spans="1:14" ht="16.5" thickTop="1" thickBot="1" x14ac:dyDescent="0.3">
      <c r="A99" s="4">
        <v>45552</v>
      </c>
      <c r="B99" s="4" t="s">
        <v>69</v>
      </c>
      <c r="C99" s="5" t="s">
        <v>81</v>
      </c>
      <c r="D99" s="5" t="s">
        <v>16</v>
      </c>
      <c r="E99" s="5" t="s">
        <v>37</v>
      </c>
      <c r="F99" s="5" t="s">
        <v>35</v>
      </c>
      <c r="G99" s="5" t="s">
        <v>19</v>
      </c>
      <c r="H99" s="5">
        <v>18</v>
      </c>
      <c r="I99" s="5">
        <v>602</v>
      </c>
      <c r="J99" s="5">
        <v>1401</v>
      </c>
      <c r="K99" s="6">
        <f t="shared" si="4"/>
        <v>10836</v>
      </c>
      <c r="L99" s="6">
        <f t="shared" si="5"/>
        <v>25218</v>
      </c>
      <c r="M99" s="6">
        <f t="shared" si="6"/>
        <v>14382</v>
      </c>
      <c r="N99" s="6" t="str">
        <f t="shared" si="7"/>
        <v>profit</v>
      </c>
    </row>
    <row r="100" spans="1:14" ht="16.5" thickTop="1" thickBot="1" x14ac:dyDescent="0.3">
      <c r="A100" s="4">
        <v>45553</v>
      </c>
      <c r="B100" s="4" t="s">
        <v>69</v>
      </c>
      <c r="C100" s="5" t="s">
        <v>82</v>
      </c>
      <c r="D100" s="5" t="s">
        <v>16</v>
      </c>
      <c r="E100" s="5" t="s">
        <v>37</v>
      </c>
      <c r="F100" s="5" t="s">
        <v>39</v>
      </c>
      <c r="G100" s="5" t="s">
        <v>19</v>
      </c>
      <c r="H100" s="5">
        <v>18</v>
      </c>
      <c r="I100" s="5">
        <v>629</v>
      </c>
      <c r="J100" s="5">
        <v>945</v>
      </c>
      <c r="K100" s="6">
        <f t="shared" si="4"/>
        <v>11322</v>
      </c>
      <c r="L100" s="6">
        <f t="shared" si="5"/>
        <v>17010</v>
      </c>
      <c r="M100" s="6">
        <f t="shared" si="6"/>
        <v>5688</v>
      </c>
      <c r="N100" s="6" t="str">
        <f t="shared" si="7"/>
        <v>profit</v>
      </c>
    </row>
    <row r="101" spans="1:14" ht="16.5" thickTop="1" thickBot="1" x14ac:dyDescent="0.3">
      <c r="A101" s="4">
        <v>45562</v>
      </c>
      <c r="B101" s="4" t="s">
        <v>69</v>
      </c>
      <c r="C101" s="5" t="s">
        <v>83</v>
      </c>
      <c r="D101" s="5" t="s">
        <v>16</v>
      </c>
      <c r="E101" s="5" t="s">
        <v>17</v>
      </c>
      <c r="F101" s="5" t="s">
        <v>35</v>
      </c>
      <c r="G101" s="5" t="s">
        <v>28</v>
      </c>
      <c r="H101" s="5">
        <v>17</v>
      </c>
      <c r="I101" s="5">
        <v>565</v>
      </c>
      <c r="J101" s="5">
        <v>1281</v>
      </c>
      <c r="K101" s="6">
        <f t="shared" si="4"/>
        <v>9605</v>
      </c>
      <c r="L101" s="6">
        <f t="shared" si="5"/>
        <v>21777</v>
      </c>
      <c r="M101" s="6">
        <f t="shared" si="6"/>
        <v>12172</v>
      </c>
      <c r="N101" s="6" t="str">
        <f t="shared" si="7"/>
        <v>profit</v>
      </c>
    </row>
    <row r="102" spans="1:14" ht="16.5" thickTop="1" thickBot="1" x14ac:dyDescent="0.3">
      <c r="A102" s="4">
        <v>45564</v>
      </c>
      <c r="B102" s="4" t="s">
        <v>69</v>
      </c>
      <c r="C102" s="5" t="s">
        <v>84</v>
      </c>
      <c r="D102" s="5" t="s">
        <v>16</v>
      </c>
      <c r="E102" s="5" t="s">
        <v>17</v>
      </c>
      <c r="F102" s="5" t="s">
        <v>39</v>
      </c>
      <c r="G102" s="5" t="s">
        <v>19</v>
      </c>
      <c r="H102" s="5">
        <v>10</v>
      </c>
      <c r="I102" s="5">
        <v>917</v>
      </c>
      <c r="J102" s="5">
        <v>1107</v>
      </c>
      <c r="K102" s="6">
        <f t="shared" si="4"/>
        <v>9170</v>
      </c>
      <c r="L102" s="6">
        <f t="shared" si="5"/>
        <v>11070</v>
      </c>
      <c r="M102" s="6">
        <f t="shared" si="6"/>
        <v>1900</v>
      </c>
      <c r="N102" s="6" t="str">
        <f t="shared" si="7"/>
        <v>profit</v>
      </c>
    </row>
    <row r="103" spans="1:14" ht="16.5" thickTop="1" thickBot="1" x14ac:dyDescent="0.3">
      <c r="A103" s="4">
        <v>45566</v>
      </c>
      <c r="B103" s="4" t="s">
        <v>85</v>
      </c>
      <c r="C103" s="5" t="s">
        <v>86</v>
      </c>
      <c r="D103" s="5" t="s">
        <v>16</v>
      </c>
      <c r="E103" s="5" t="s">
        <v>17</v>
      </c>
      <c r="F103" s="5" t="s">
        <v>64</v>
      </c>
      <c r="G103" s="5" t="s">
        <v>19</v>
      </c>
      <c r="H103" s="5">
        <v>18</v>
      </c>
      <c r="I103" s="5">
        <v>867</v>
      </c>
      <c r="J103" s="5">
        <v>875</v>
      </c>
      <c r="K103" s="6">
        <f t="shared" si="4"/>
        <v>15606</v>
      </c>
      <c r="L103" s="6">
        <f t="shared" si="5"/>
        <v>15750</v>
      </c>
      <c r="M103" s="6">
        <f t="shared" si="6"/>
        <v>144</v>
      </c>
      <c r="N103" s="6" t="str">
        <f t="shared" si="7"/>
        <v>profit</v>
      </c>
    </row>
    <row r="104" spans="1:14" ht="16.5" thickTop="1" thickBot="1" x14ac:dyDescent="0.3">
      <c r="A104" s="4">
        <v>45567</v>
      </c>
      <c r="B104" s="4" t="s">
        <v>85</v>
      </c>
      <c r="C104" s="5" t="s">
        <v>87</v>
      </c>
      <c r="D104" s="5" t="s">
        <v>16</v>
      </c>
      <c r="E104" s="5" t="s">
        <v>17</v>
      </c>
      <c r="F104" s="5" t="s">
        <v>60</v>
      </c>
      <c r="G104" s="5" t="s">
        <v>19</v>
      </c>
      <c r="H104" s="5">
        <v>10</v>
      </c>
      <c r="I104" s="5">
        <v>757</v>
      </c>
      <c r="J104" s="5">
        <v>885</v>
      </c>
      <c r="K104" s="6">
        <f t="shared" si="4"/>
        <v>7570</v>
      </c>
      <c r="L104" s="6">
        <f t="shared" si="5"/>
        <v>8850</v>
      </c>
      <c r="M104" s="6">
        <f t="shared" si="6"/>
        <v>1280</v>
      </c>
      <c r="N104" s="6" t="str">
        <f t="shared" si="7"/>
        <v>profit</v>
      </c>
    </row>
    <row r="105" spans="1:14" ht="16.5" thickTop="1" thickBot="1" x14ac:dyDescent="0.3">
      <c r="A105" s="4">
        <v>45568</v>
      </c>
      <c r="B105" s="4" t="s">
        <v>85</v>
      </c>
      <c r="C105" s="5" t="s">
        <v>88</v>
      </c>
      <c r="D105" s="5" t="s">
        <v>16</v>
      </c>
      <c r="E105" s="5" t="s">
        <v>17</v>
      </c>
      <c r="F105" s="5" t="s">
        <v>39</v>
      </c>
      <c r="G105" s="5" t="s">
        <v>19</v>
      </c>
      <c r="H105" s="5">
        <v>18</v>
      </c>
      <c r="I105" s="5">
        <v>668</v>
      </c>
      <c r="J105" s="5">
        <v>1366</v>
      </c>
      <c r="K105" s="6">
        <f t="shared" si="4"/>
        <v>12024</v>
      </c>
      <c r="L105" s="6">
        <f t="shared" si="5"/>
        <v>24588</v>
      </c>
      <c r="M105" s="6">
        <f t="shared" si="6"/>
        <v>12564</v>
      </c>
      <c r="N105" s="6" t="str">
        <f t="shared" si="7"/>
        <v>profit</v>
      </c>
    </row>
    <row r="106" spans="1:14" ht="16.5" thickTop="1" thickBot="1" x14ac:dyDescent="0.3">
      <c r="A106" s="4">
        <v>45580</v>
      </c>
      <c r="B106" s="4" t="s">
        <v>85</v>
      </c>
      <c r="C106" s="5" t="s">
        <v>89</v>
      </c>
      <c r="D106" s="5" t="s">
        <v>16</v>
      </c>
      <c r="E106" s="5" t="s">
        <v>37</v>
      </c>
      <c r="F106" s="5" t="s">
        <v>30</v>
      </c>
      <c r="G106" s="5" t="s">
        <v>28</v>
      </c>
      <c r="H106" s="5">
        <v>20</v>
      </c>
      <c r="I106" s="5">
        <v>882</v>
      </c>
      <c r="J106" s="5">
        <v>1193</v>
      </c>
      <c r="K106" s="6">
        <f t="shared" si="4"/>
        <v>17640</v>
      </c>
      <c r="L106" s="6">
        <f t="shared" si="5"/>
        <v>23860</v>
      </c>
      <c r="M106" s="6">
        <f t="shared" si="6"/>
        <v>6220</v>
      </c>
      <c r="N106" s="6" t="str">
        <f t="shared" si="7"/>
        <v>profit</v>
      </c>
    </row>
    <row r="107" spans="1:14" ht="16.5" thickTop="1" thickBot="1" x14ac:dyDescent="0.3">
      <c r="A107" s="4">
        <v>45488</v>
      </c>
      <c r="B107" s="4" t="s">
        <v>40</v>
      </c>
      <c r="C107" s="5" t="s">
        <v>117</v>
      </c>
      <c r="D107" s="5" t="s">
        <v>46</v>
      </c>
      <c r="E107" s="5" t="s">
        <v>118</v>
      </c>
      <c r="F107" s="5" t="s">
        <v>39</v>
      </c>
      <c r="G107" s="5" t="s">
        <v>19</v>
      </c>
      <c r="H107" s="5">
        <v>26</v>
      </c>
      <c r="I107" s="5">
        <v>627</v>
      </c>
      <c r="J107" s="5">
        <v>1416</v>
      </c>
      <c r="K107" s="6">
        <f t="shared" si="4"/>
        <v>16302</v>
      </c>
      <c r="L107" s="6">
        <f t="shared" si="5"/>
        <v>36816</v>
      </c>
      <c r="M107" s="6">
        <f t="shared" si="6"/>
        <v>20514</v>
      </c>
      <c r="N107" s="6" t="str">
        <f t="shared" si="7"/>
        <v>profit</v>
      </c>
    </row>
    <row r="108" spans="1:14" ht="16.5" thickTop="1" thickBot="1" x14ac:dyDescent="0.3">
      <c r="A108" s="4">
        <v>45581</v>
      </c>
      <c r="B108" s="4" t="s">
        <v>85</v>
      </c>
      <c r="C108" s="5" t="s">
        <v>90</v>
      </c>
      <c r="D108" s="5" t="s">
        <v>16</v>
      </c>
      <c r="E108" s="5" t="s">
        <v>37</v>
      </c>
      <c r="F108" s="5" t="s">
        <v>25</v>
      </c>
      <c r="G108" s="5" t="s">
        <v>28</v>
      </c>
      <c r="H108" s="5">
        <v>17</v>
      </c>
      <c r="I108" s="5">
        <v>739</v>
      </c>
      <c r="J108" s="5">
        <v>826</v>
      </c>
      <c r="K108" s="6">
        <f t="shared" si="4"/>
        <v>12563</v>
      </c>
      <c r="L108" s="6">
        <f t="shared" si="5"/>
        <v>14042</v>
      </c>
      <c r="M108" s="6">
        <f t="shared" si="6"/>
        <v>1479</v>
      </c>
      <c r="N108" s="6" t="str">
        <f t="shared" si="7"/>
        <v>profit</v>
      </c>
    </row>
    <row r="109" spans="1:14" ht="16.5" thickTop="1" thickBot="1" x14ac:dyDescent="0.3">
      <c r="A109" s="4">
        <v>45582</v>
      </c>
      <c r="B109" s="4" t="s">
        <v>85</v>
      </c>
      <c r="C109" s="5" t="s">
        <v>91</v>
      </c>
      <c r="D109" s="5" t="s">
        <v>16</v>
      </c>
      <c r="E109" s="5" t="s">
        <v>37</v>
      </c>
      <c r="F109" s="5" t="s">
        <v>76</v>
      </c>
      <c r="G109" s="5" t="s">
        <v>28</v>
      </c>
      <c r="H109" s="5">
        <v>15</v>
      </c>
      <c r="I109" s="5">
        <v>563</v>
      </c>
      <c r="J109" s="5">
        <v>1069</v>
      </c>
      <c r="K109" s="6">
        <f t="shared" si="4"/>
        <v>8445</v>
      </c>
      <c r="L109" s="6">
        <f t="shared" si="5"/>
        <v>16035</v>
      </c>
      <c r="M109" s="6">
        <f t="shared" si="6"/>
        <v>7590</v>
      </c>
      <c r="N109" s="6" t="str">
        <f t="shared" si="7"/>
        <v>profit</v>
      </c>
    </row>
    <row r="110" spans="1:14" ht="16.5" thickTop="1" thickBot="1" x14ac:dyDescent="0.3">
      <c r="A110" s="4">
        <v>45584</v>
      </c>
      <c r="B110" s="4" t="s">
        <v>85</v>
      </c>
      <c r="C110" s="5" t="s">
        <v>92</v>
      </c>
      <c r="D110" s="5" t="s">
        <v>16</v>
      </c>
      <c r="E110" s="5" t="s">
        <v>37</v>
      </c>
      <c r="F110" s="5" t="s">
        <v>35</v>
      </c>
      <c r="G110" s="5" t="s">
        <v>19</v>
      </c>
      <c r="H110" s="5">
        <v>15</v>
      </c>
      <c r="I110" s="5">
        <v>662</v>
      </c>
      <c r="J110" s="5">
        <v>1183</v>
      </c>
      <c r="K110" s="6">
        <f t="shared" si="4"/>
        <v>9930</v>
      </c>
      <c r="L110" s="6">
        <f t="shared" si="5"/>
        <v>17745</v>
      </c>
      <c r="M110" s="6">
        <f t="shared" si="6"/>
        <v>7815</v>
      </c>
      <c r="N110" s="6" t="str">
        <f t="shared" si="7"/>
        <v>profit</v>
      </c>
    </row>
    <row r="111" spans="1:14" ht="16.5" thickTop="1" thickBot="1" x14ac:dyDescent="0.3">
      <c r="A111" s="4">
        <v>45585</v>
      </c>
      <c r="B111" s="4" t="s">
        <v>85</v>
      </c>
      <c r="C111" s="5" t="s">
        <v>93</v>
      </c>
      <c r="D111" s="5" t="s">
        <v>16</v>
      </c>
      <c r="E111" s="5" t="s">
        <v>37</v>
      </c>
      <c r="F111" s="5" t="s">
        <v>39</v>
      </c>
      <c r="G111" s="5" t="s">
        <v>19</v>
      </c>
      <c r="H111" s="5">
        <v>16</v>
      </c>
      <c r="I111" s="5">
        <v>846</v>
      </c>
      <c r="J111" s="5">
        <v>1375</v>
      </c>
      <c r="K111" s="6">
        <f t="shared" si="4"/>
        <v>13536</v>
      </c>
      <c r="L111" s="6">
        <f t="shared" si="5"/>
        <v>22000</v>
      </c>
      <c r="M111" s="6">
        <f t="shared" si="6"/>
        <v>8464</v>
      </c>
      <c r="N111" s="6" t="str">
        <f t="shared" si="7"/>
        <v>profit</v>
      </c>
    </row>
    <row r="112" spans="1:14" ht="16.5" thickTop="1" thickBot="1" x14ac:dyDescent="0.3">
      <c r="A112" s="4">
        <v>45587</v>
      </c>
      <c r="B112" s="4" t="s">
        <v>85</v>
      </c>
      <c r="C112" s="5" t="s">
        <v>94</v>
      </c>
      <c r="D112" s="5" t="s">
        <v>16</v>
      </c>
      <c r="E112" s="5" t="s">
        <v>37</v>
      </c>
      <c r="F112" s="5" t="s">
        <v>64</v>
      </c>
      <c r="G112" s="5" t="s">
        <v>19</v>
      </c>
      <c r="H112" s="5">
        <v>14</v>
      </c>
      <c r="I112" s="5">
        <v>777</v>
      </c>
      <c r="J112" s="5">
        <v>1192</v>
      </c>
      <c r="K112" s="6">
        <f t="shared" si="4"/>
        <v>10878</v>
      </c>
      <c r="L112" s="6">
        <f t="shared" si="5"/>
        <v>16688</v>
      </c>
      <c r="M112" s="6">
        <f t="shared" si="6"/>
        <v>5810</v>
      </c>
      <c r="N112" s="6" t="str">
        <f t="shared" si="7"/>
        <v>profit</v>
      </c>
    </row>
    <row r="113" spans="1:14" ht="16.5" thickTop="1" thickBot="1" x14ac:dyDescent="0.3">
      <c r="A113" s="4">
        <v>45659</v>
      </c>
      <c r="B113" s="4" t="s">
        <v>95</v>
      </c>
      <c r="C113" s="5" t="s">
        <v>96</v>
      </c>
      <c r="D113" s="5" t="s">
        <v>16</v>
      </c>
      <c r="E113" s="5" t="s">
        <v>17</v>
      </c>
      <c r="F113" s="5" t="s">
        <v>25</v>
      </c>
      <c r="G113" s="5" t="s">
        <v>19</v>
      </c>
      <c r="H113" s="5">
        <v>16</v>
      </c>
      <c r="I113" s="5">
        <v>632</v>
      </c>
      <c r="J113" s="5">
        <v>835</v>
      </c>
      <c r="K113" s="6">
        <f t="shared" si="4"/>
        <v>10112</v>
      </c>
      <c r="L113" s="6">
        <f t="shared" si="5"/>
        <v>13360</v>
      </c>
      <c r="M113" s="6">
        <f t="shared" si="6"/>
        <v>3248</v>
      </c>
      <c r="N113" s="6" t="str">
        <f t="shared" si="7"/>
        <v>profit</v>
      </c>
    </row>
    <row r="114" spans="1:14" ht="16.5" thickTop="1" thickBot="1" x14ac:dyDescent="0.3">
      <c r="A114" s="4">
        <v>45661</v>
      </c>
      <c r="B114" s="4" t="s">
        <v>95</v>
      </c>
      <c r="C114" s="5" t="s">
        <v>100</v>
      </c>
      <c r="D114" s="5" t="s">
        <v>16</v>
      </c>
      <c r="E114" s="5" t="s">
        <v>17</v>
      </c>
      <c r="F114" s="5" t="s">
        <v>71</v>
      </c>
      <c r="G114" s="5" t="s">
        <v>19</v>
      </c>
      <c r="H114" s="5">
        <v>11</v>
      </c>
      <c r="I114" s="5">
        <v>731</v>
      </c>
      <c r="J114" s="5">
        <v>1311</v>
      </c>
      <c r="K114" s="6">
        <f t="shared" si="4"/>
        <v>8041</v>
      </c>
      <c r="L114" s="6">
        <f t="shared" si="5"/>
        <v>14421</v>
      </c>
      <c r="M114" s="6">
        <f t="shared" si="6"/>
        <v>6380</v>
      </c>
      <c r="N114" s="6" t="str">
        <f t="shared" si="7"/>
        <v>profit</v>
      </c>
    </row>
    <row r="115" spans="1:14" ht="16.5" thickTop="1" thickBot="1" x14ac:dyDescent="0.3">
      <c r="A115" s="4">
        <v>45663</v>
      </c>
      <c r="B115" s="4" t="s">
        <v>95</v>
      </c>
      <c r="C115" s="5" t="s">
        <v>101</v>
      </c>
      <c r="D115" s="5" t="s">
        <v>16</v>
      </c>
      <c r="E115" s="5" t="s">
        <v>17</v>
      </c>
      <c r="F115" s="5" t="s">
        <v>21</v>
      </c>
      <c r="G115" s="5" t="s">
        <v>19</v>
      </c>
      <c r="H115" s="5">
        <v>10</v>
      </c>
      <c r="I115" s="5">
        <v>774</v>
      </c>
      <c r="J115" s="5">
        <v>1472</v>
      </c>
      <c r="K115" s="6">
        <f t="shared" si="4"/>
        <v>7740</v>
      </c>
      <c r="L115" s="6">
        <f t="shared" si="5"/>
        <v>14720</v>
      </c>
      <c r="M115" s="6">
        <f t="shared" si="6"/>
        <v>6980</v>
      </c>
      <c r="N115" s="6" t="str">
        <f t="shared" si="7"/>
        <v>profit</v>
      </c>
    </row>
    <row r="116" spans="1:14" ht="16.5" thickTop="1" thickBot="1" x14ac:dyDescent="0.3">
      <c r="A116" s="4">
        <v>45665</v>
      </c>
      <c r="B116" s="4" t="s">
        <v>95</v>
      </c>
      <c r="C116" s="5" t="s">
        <v>102</v>
      </c>
      <c r="D116" s="5" t="s">
        <v>16</v>
      </c>
      <c r="E116" s="5" t="s">
        <v>17</v>
      </c>
      <c r="F116" s="5" t="s">
        <v>25</v>
      </c>
      <c r="G116" s="5" t="s">
        <v>28</v>
      </c>
      <c r="H116" s="5">
        <v>11</v>
      </c>
      <c r="I116" s="5">
        <v>986</v>
      </c>
      <c r="J116" s="5">
        <v>1228</v>
      </c>
      <c r="K116" s="6">
        <f t="shared" si="4"/>
        <v>10846</v>
      </c>
      <c r="L116" s="6">
        <f t="shared" si="5"/>
        <v>13508</v>
      </c>
      <c r="M116" s="6">
        <f t="shared" si="6"/>
        <v>2662</v>
      </c>
      <c r="N116" s="6" t="str">
        <f t="shared" si="7"/>
        <v>profit</v>
      </c>
    </row>
    <row r="117" spans="1:14" ht="16.5" thickTop="1" thickBot="1" x14ac:dyDescent="0.3">
      <c r="A117" s="4">
        <v>45678</v>
      </c>
      <c r="B117" s="4" t="s">
        <v>95</v>
      </c>
      <c r="C117" s="5" t="s">
        <v>103</v>
      </c>
      <c r="D117" s="5" t="s">
        <v>16</v>
      </c>
      <c r="E117" s="5" t="s">
        <v>37</v>
      </c>
      <c r="F117" s="5" t="s">
        <v>18</v>
      </c>
      <c r="G117" s="5" t="s">
        <v>19</v>
      </c>
      <c r="H117" s="5">
        <v>11</v>
      </c>
      <c r="I117" s="5">
        <v>519</v>
      </c>
      <c r="J117" s="5">
        <v>1143</v>
      </c>
      <c r="K117" s="6">
        <f t="shared" si="4"/>
        <v>5709</v>
      </c>
      <c r="L117" s="6">
        <f t="shared" si="5"/>
        <v>12573</v>
      </c>
      <c r="M117" s="6">
        <f t="shared" si="6"/>
        <v>6864</v>
      </c>
      <c r="N117" s="6" t="str">
        <f t="shared" si="7"/>
        <v>profit</v>
      </c>
    </row>
    <row r="118" spans="1:14" ht="16.5" thickTop="1" thickBot="1" x14ac:dyDescent="0.3">
      <c r="A118" s="4">
        <v>45679</v>
      </c>
      <c r="B118" s="4" t="s">
        <v>95</v>
      </c>
      <c r="C118" s="5" t="s">
        <v>104</v>
      </c>
      <c r="D118" s="5" t="s">
        <v>16</v>
      </c>
      <c r="E118" s="5" t="s">
        <v>37</v>
      </c>
      <c r="F118" s="5" t="s">
        <v>21</v>
      </c>
      <c r="G118" s="5" t="s">
        <v>19</v>
      </c>
      <c r="H118" s="5">
        <v>20</v>
      </c>
      <c r="I118" s="5">
        <v>597</v>
      </c>
      <c r="J118" s="5">
        <v>1175</v>
      </c>
      <c r="K118" s="6">
        <f t="shared" si="4"/>
        <v>11940</v>
      </c>
      <c r="L118" s="6">
        <f t="shared" si="5"/>
        <v>23500</v>
      </c>
      <c r="M118" s="6">
        <f t="shared" si="6"/>
        <v>11560</v>
      </c>
      <c r="N118" s="6" t="str">
        <f t="shared" si="7"/>
        <v>profit</v>
      </c>
    </row>
    <row r="119" spans="1:14" ht="16.5" thickTop="1" thickBot="1" x14ac:dyDescent="0.3">
      <c r="A119" s="4">
        <v>45680</v>
      </c>
      <c r="B119" s="4" t="s">
        <v>95</v>
      </c>
      <c r="C119" s="5" t="s">
        <v>105</v>
      </c>
      <c r="D119" s="5" t="s">
        <v>16</v>
      </c>
      <c r="E119" s="5" t="s">
        <v>37</v>
      </c>
      <c r="F119" s="5" t="s">
        <v>23</v>
      </c>
      <c r="G119" s="5" t="s">
        <v>19</v>
      </c>
      <c r="H119" s="5">
        <v>18</v>
      </c>
      <c r="I119" s="5">
        <v>632</v>
      </c>
      <c r="J119" s="5">
        <v>1384</v>
      </c>
      <c r="K119" s="6">
        <f t="shared" si="4"/>
        <v>11376</v>
      </c>
      <c r="L119" s="6">
        <f t="shared" si="5"/>
        <v>24912</v>
      </c>
      <c r="M119" s="6">
        <f t="shared" si="6"/>
        <v>13536</v>
      </c>
      <c r="N119" s="6" t="str">
        <f t="shared" si="7"/>
        <v>profit</v>
      </c>
    </row>
    <row r="120" spans="1:14" ht="16.5" thickTop="1" thickBot="1" x14ac:dyDescent="0.3">
      <c r="A120" s="4">
        <v>45681</v>
      </c>
      <c r="B120" s="4" t="s">
        <v>95</v>
      </c>
      <c r="C120" s="5" t="s">
        <v>106</v>
      </c>
      <c r="D120" s="5" t="s">
        <v>16</v>
      </c>
      <c r="E120" s="5" t="s">
        <v>37</v>
      </c>
      <c r="F120" s="5" t="s">
        <v>25</v>
      </c>
      <c r="G120" s="5" t="s">
        <v>19</v>
      </c>
      <c r="H120" s="5">
        <v>17</v>
      </c>
      <c r="I120" s="5">
        <v>649</v>
      </c>
      <c r="J120" s="5">
        <v>1392</v>
      </c>
      <c r="K120" s="6">
        <f t="shared" si="4"/>
        <v>11033</v>
      </c>
      <c r="L120" s="6">
        <f t="shared" si="5"/>
        <v>23664</v>
      </c>
      <c r="M120" s="6">
        <f t="shared" si="6"/>
        <v>12631</v>
      </c>
      <c r="N120" s="6" t="str">
        <f t="shared" si="7"/>
        <v>profit</v>
      </c>
    </row>
    <row r="121" spans="1:14" ht="16.5" thickTop="1" thickBot="1" x14ac:dyDescent="0.3">
      <c r="A121" s="4">
        <v>45682</v>
      </c>
      <c r="B121" s="4" t="s">
        <v>95</v>
      </c>
      <c r="C121" s="5" t="s">
        <v>107</v>
      </c>
      <c r="D121" s="5" t="s">
        <v>16</v>
      </c>
      <c r="E121" s="5" t="s">
        <v>37</v>
      </c>
      <c r="F121" s="5" t="s">
        <v>25</v>
      </c>
      <c r="G121" s="5" t="s">
        <v>19</v>
      </c>
      <c r="H121" s="5">
        <v>18</v>
      </c>
      <c r="I121" s="5">
        <v>587</v>
      </c>
      <c r="J121" s="5">
        <v>905</v>
      </c>
      <c r="K121" s="6">
        <f t="shared" si="4"/>
        <v>10566</v>
      </c>
      <c r="L121" s="6">
        <f t="shared" si="5"/>
        <v>16290</v>
      </c>
      <c r="M121" s="6">
        <f t="shared" si="6"/>
        <v>5724</v>
      </c>
      <c r="N121" s="6" t="str">
        <f t="shared" si="7"/>
        <v>profit</v>
      </c>
    </row>
    <row r="122" spans="1:14" ht="16.5" thickTop="1" thickBot="1" x14ac:dyDescent="0.3">
      <c r="A122" s="4">
        <v>45684</v>
      </c>
      <c r="B122" s="4" t="s">
        <v>95</v>
      </c>
      <c r="C122" s="5" t="s">
        <v>109</v>
      </c>
      <c r="D122" s="5" t="s">
        <v>16</v>
      </c>
      <c r="E122" s="5" t="s">
        <v>37</v>
      </c>
      <c r="F122" s="5" t="s">
        <v>30</v>
      </c>
      <c r="G122" s="5" t="s">
        <v>28</v>
      </c>
      <c r="H122" s="5">
        <v>19</v>
      </c>
      <c r="I122" s="5">
        <v>701</v>
      </c>
      <c r="J122" s="5">
        <v>1136</v>
      </c>
      <c r="K122" s="6">
        <f t="shared" si="4"/>
        <v>13319</v>
      </c>
      <c r="L122" s="6">
        <f t="shared" si="5"/>
        <v>21584</v>
      </c>
      <c r="M122" s="6">
        <f t="shared" si="6"/>
        <v>8265</v>
      </c>
      <c r="N122" s="6" t="str">
        <f t="shared" si="7"/>
        <v>profit</v>
      </c>
    </row>
    <row r="123" spans="1:14" ht="16.5" thickTop="1" thickBot="1" x14ac:dyDescent="0.3">
      <c r="A123" s="4">
        <v>45685</v>
      </c>
      <c r="B123" s="4" t="s">
        <v>95</v>
      </c>
      <c r="C123" s="5" t="s">
        <v>110</v>
      </c>
      <c r="D123" s="5" t="s">
        <v>16</v>
      </c>
      <c r="E123" s="5" t="s">
        <v>37</v>
      </c>
      <c r="F123" s="5" t="s">
        <v>25</v>
      </c>
      <c r="G123" s="5" t="s">
        <v>28</v>
      </c>
      <c r="H123" s="5">
        <v>19</v>
      </c>
      <c r="I123" s="5">
        <v>972</v>
      </c>
      <c r="J123" s="5">
        <v>1314</v>
      </c>
      <c r="K123" s="6">
        <f t="shared" si="4"/>
        <v>18468</v>
      </c>
      <c r="L123" s="6">
        <f t="shared" si="5"/>
        <v>24966</v>
      </c>
      <c r="M123" s="6">
        <f t="shared" si="6"/>
        <v>6498</v>
      </c>
      <c r="N123" s="6" t="str">
        <f t="shared" si="7"/>
        <v>profit</v>
      </c>
    </row>
    <row r="124" spans="1:14" ht="16.5" thickTop="1" thickBot="1" x14ac:dyDescent="0.3">
      <c r="A124" s="4">
        <v>45686</v>
      </c>
      <c r="B124" s="4" t="s">
        <v>95</v>
      </c>
      <c r="C124" s="5" t="s">
        <v>111</v>
      </c>
      <c r="D124" s="5" t="s">
        <v>16</v>
      </c>
      <c r="E124" s="5" t="s">
        <v>37</v>
      </c>
      <c r="F124" s="5" t="s">
        <v>39</v>
      </c>
      <c r="G124" s="5" t="s">
        <v>28</v>
      </c>
      <c r="H124" s="5">
        <v>13</v>
      </c>
      <c r="I124" s="5">
        <v>615</v>
      </c>
      <c r="J124" s="5">
        <v>1010</v>
      </c>
      <c r="K124" s="6">
        <f t="shared" si="4"/>
        <v>7995</v>
      </c>
      <c r="L124" s="6">
        <f t="shared" si="5"/>
        <v>13130</v>
      </c>
      <c r="M124" s="6">
        <f t="shared" si="6"/>
        <v>5135</v>
      </c>
      <c r="N124" s="6" t="str">
        <f t="shared" si="7"/>
        <v>profit</v>
      </c>
    </row>
    <row r="125" spans="1:14" ht="16.5" thickTop="1" thickBot="1" x14ac:dyDescent="0.3">
      <c r="A125" s="4">
        <v>45688</v>
      </c>
      <c r="B125" s="4" t="s">
        <v>95</v>
      </c>
      <c r="C125" s="5" t="s">
        <v>112</v>
      </c>
      <c r="D125" s="5" t="s">
        <v>16</v>
      </c>
      <c r="E125" s="5" t="s">
        <v>37</v>
      </c>
      <c r="F125" s="5" t="s">
        <v>113</v>
      </c>
      <c r="G125" s="5" t="s">
        <v>28</v>
      </c>
      <c r="H125" s="5">
        <v>19</v>
      </c>
      <c r="I125" s="5">
        <v>864</v>
      </c>
      <c r="J125" s="5">
        <v>1147</v>
      </c>
      <c r="K125" s="6">
        <f t="shared" si="4"/>
        <v>16416</v>
      </c>
      <c r="L125" s="6">
        <f t="shared" si="5"/>
        <v>21793</v>
      </c>
      <c r="M125" s="6">
        <f t="shared" si="6"/>
        <v>5377</v>
      </c>
      <c r="N125" s="6" t="str">
        <f t="shared" si="7"/>
        <v>profit</v>
      </c>
    </row>
    <row r="126" spans="1:14" ht="16.5" thickTop="1" thickBot="1" x14ac:dyDescent="0.3">
      <c r="A126" s="4">
        <v>45507</v>
      </c>
      <c r="B126" s="4" t="s">
        <v>57</v>
      </c>
      <c r="C126" s="5" t="s">
        <v>119</v>
      </c>
      <c r="D126" s="5" t="s">
        <v>33</v>
      </c>
      <c r="E126" s="5" t="s">
        <v>120</v>
      </c>
      <c r="F126" s="5" t="s">
        <v>76</v>
      </c>
      <c r="G126" s="5" t="s">
        <v>28</v>
      </c>
      <c r="H126" s="5">
        <v>86</v>
      </c>
      <c r="I126" s="5">
        <v>540</v>
      </c>
      <c r="J126" s="5">
        <v>1460</v>
      </c>
      <c r="K126" s="6">
        <f t="shared" si="4"/>
        <v>46440</v>
      </c>
      <c r="L126" s="6">
        <f t="shared" si="5"/>
        <v>125560</v>
      </c>
      <c r="M126" s="6">
        <f t="shared" si="6"/>
        <v>79120</v>
      </c>
      <c r="N126" s="6" t="str">
        <f t="shared" si="7"/>
        <v>profit</v>
      </c>
    </row>
    <row r="127" spans="1:14" ht="16.5" thickTop="1" thickBot="1" x14ac:dyDescent="0.3">
      <c r="A127" s="4">
        <v>45454</v>
      </c>
      <c r="B127" s="4" t="s">
        <v>14</v>
      </c>
      <c r="C127" s="5" t="s">
        <v>15</v>
      </c>
      <c r="D127" s="5" t="s">
        <v>16</v>
      </c>
      <c r="E127" s="5" t="s">
        <v>17</v>
      </c>
      <c r="F127" s="5" t="s">
        <v>18</v>
      </c>
      <c r="G127" s="5" t="s">
        <v>19</v>
      </c>
      <c r="H127" s="5">
        <v>13</v>
      </c>
      <c r="I127" s="5">
        <v>643</v>
      </c>
      <c r="J127" s="5">
        <v>1432</v>
      </c>
      <c r="K127" s="6">
        <f t="shared" si="4"/>
        <v>8359</v>
      </c>
      <c r="L127" s="6">
        <f t="shared" si="5"/>
        <v>18616</v>
      </c>
      <c r="M127" s="6">
        <f t="shared" si="6"/>
        <v>10257</v>
      </c>
      <c r="N127" s="6" t="str">
        <f t="shared" si="7"/>
        <v>profit</v>
      </c>
    </row>
    <row r="128" spans="1:14" ht="16.5" thickTop="1" thickBot="1" x14ac:dyDescent="0.3">
      <c r="A128" s="4">
        <v>45455</v>
      </c>
      <c r="B128" s="4" t="s">
        <v>14</v>
      </c>
      <c r="C128" s="5" t="s">
        <v>20</v>
      </c>
      <c r="D128" s="5" t="s">
        <v>16</v>
      </c>
      <c r="E128" s="5" t="s">
        <v>17</v>
      </c>
      <c r="F128" s="5" t="s">
        <v>21</v>
      </c>
      <c r="G128" s="5" t="s">
        <v>19</v>
      </c>
      <c r="H128" s="5">
        <v>16</v>
      </c>
      <c r="I128" s="5">
        <v>848</v>
      </c>
      <c r="J128" s="5">
        <v>1211</v>
      </c>
      <c r="K128" s="6">
        <f t="shared" si="4"/>
        <v>13568</v>
      </c>
      <c r="L128" s="6">
        <f t="shared" si="5"/>
        <v>19376</v>
      </c>
      <c r="M128" s="6">
        <f t="shared" si="6"/>
        <v>5808</v>
      </c>
      <c r="N128" s="6" t="str">
        <f t="shared" si="7"/>
        <v>profit</v>
      </c>
    </row>
    <row r="129" spans="1:14" ht="16.5" thickTop="1" thickBot="1" x14ac:dyDescent="0.3">
      <c r="A129" s="4">
        <v>45456</v>
      </c>
      <c r="B129" s="4" t="s">
        <v>14</v>
      </c>
      <c r="C129" s="5" t="s">
        <v>22</v>
      </c>
      <c r="D129" s="5" t="s">
        <v>16</v>
      </c>
      <c r="E129" s="5" t="s">
        <v>17</v>
      </c>
      <c r="F129" s="5" t="s">
        <v>23</v>
      </c>
      <c r="G129" s="5" t="s">
        <v>19</v>
      </c>
      <c r="H129" s="5">
        <v>19</v>
      </c>
      <c r="I129" s="5">
        <v>982</v>
      </c>
      <c r="J129" s="5">
        <v>1457</v>
      </c>
      <c r="K129" s="6">
        <f t="shared" si="4"/>
        <v>18658</v>
      </c>
      <c r="L129" s="6">
        <f t="shared" si="5"/>
        <v>27683</v>
      </c>
      <c r="M129" s="6">
        <f t="shared" si="6"/>
        <v>9025</v>
      </c>
      <c r="N129" s="6" t="str">
        <f t="shared" si="7"/>
        <v>profit</v>
      </c>
    </row>
    <row r="130" spans="1:14" ht="16.5" thickTop="1" thickBot="1" x14ac:dyDescent="0.3">
      <c r="A130" s="4">
        <v>45457</v>
      </c>
      <c r="B130" s="4" t="s">
        <v>14</v>
      </c>
      <c r="C130" s="5" t="s">
        <v>24</v>
      </c>
      <c r="D130" s="5" t="s">
        <v>16</v>
      </c>
      <c r="E130" s="5" t="s">
        <v>17</v>
      </c>
      <c r="F130" s="5" t="s">
        <v>25</v>
      </c>
      <c r="G130" s="5" t="s">
        <v>19</v>
      </c>
      <c r="H130" s="5">
        <v>19</v>
      </c>
      <c r="I130" s="5">
        <v>918</v>
      </c>
      <c r="J130" s="5">
        <v>864</v>
      </c>
      <c r="K130" s="6">
        <f t="shared" ref="K130:K193" si="8">H130*I130</f>
        <v>17442</v>
      </c>
      <c r="L130" s="6">
        <f t="shared" ref="L130:L193" si="9">H130*J130</f>
        <v>16416</v>
      </c>
      <c r="M130" s="6">
        <f t="shared" ref="M130:M193" si="10">L130-K130</f>
        <v>-1026</v>
      </c>
      <c r="N130" s="6" t="str">
        <f t="shared" ref="N130:N193" si="11">IF(M130&gt;0,"profit","loss")</f>
        <v>loss</v>
      </c>
    </row>
    <row r="131" spans="1:14" ht="16.5" thickTop="1" thickBot="1" x14ac:dyDescent="0.3">
      <c r="A131" s="4">
        <v>45512</v>
      </c>
      <c r="B131" s="4" t="s">
        <v>57</v>
      </c>
      <c r="C131" s="5" t="s">
        <v>121</v>
      </c>
      <c r="D131" s="5" t="s">
        <v>16</v>
      </c>
      <c r="E131" s="5" t="s">
        <v>37</v>
      </c>
      <c r="F131" s="5" t="s">
        <v>35</v>
      </c>
      <c r="G131" s="5" t="s">
        <v>19</v>
      </c>
      <c r="H131" s="5">
        <v>10</v>
      </c>
      <c r="I131" s="5">
        <v>863</v>
      </c>
      <c r="J131" s="5">
        <v>1386</v>
      </c>
      <c r="K131" s="6">
        <f t="shared" si="8"/>
        <v>8630</v>
      </c>
      <c r="L131" s="6">
        <f t="shared" si="9"/>
        <v>13860</v>
      </c>
      <c r="M131" s="6">
        <f t="shared" si="10"/>
        <v>5230</v>
      </c>
      <c r="N131" s="6" t="str">
        <f t="shared" si="11"/>
        <v>profit</v>
      </c>
    </row>
    <row r="132" spans="1:14" ht="16.5" thickTop="1" thickBot="1" x14ac:dyDescent="0.3">
      <c r="A132" s="4">
        <v>45459</v>
      </c>
      <c r="B132" s="4" t="s">
        <v>14</v>
      </c>
      <c r="C132" s="5" t="s">
        <v>26</v>
      </c>
      <c r="D132" s="5" t="s">
        <v>16</v>
      </c>
      <c r="E132" s="5" t="s">
        <v>17</v>
      </c>
      <c r="F132" s="5" t="s">
        <v>27</v>
      </c>
      <c r="G132" s="5" t="s">
        <v>28</v>
      </c>
      <c r="H132" s="5">
        <v>17</v>
      </c>
      <c r="I132" s="5">
        <v>787</v>
      </c>
      <c r="J132" s="5">
        <v>1108</v>
      </c>
      <c r="K132" s="6">
        <f t="shared" si="8"/>
        <v>13379</v>
      </c>
      <c r="L132" s="6">
        <f t="shared" si="9"/>
        <v>18836</v>
      </c>
      <c r="M132" s="6">
        <f t="shared" si="10"/>
        <v>5457</v>
      </c>
      <c r="N132" s="6" t="str">
        <f t="shared" si="11"/>
        <v>profit</v>
      </c>
    </row>
    <row r="133" spans="1:14" ht="16.5" thickTop="1" thickBot="1" x14ac:dyDescent="0.3">
      <c r="A133" s="4">
        <v>45460</v>
      </c>
      <c r="B133" s="4" t="s">
        <v>14</v>
      </c>
      <c r="C133" s="5" t="s">
        <v>29</v>
      </c>
      <c r="D133" s="5" t="s">
        <v>16</v>
      </c>
      <c r="E133" s="5" t="s">
        <v>17</v>
      </c>
      <c r="F133" s="5" t="s">
        <v>30</v>
      </c>
      <c r="G133" s="5" t="s">
        <v>28</v>
      </c>
      <c r="H133" s="5">
        <v>15</v>
      </c>
      <c r="I133" s="5">
        <v>545</v>
      </c>
      <c r="J133" s="5">
        <v>1182</v>
      </c>
      <c r="K133" s="6">
        <f t="shared" si="8"/>
        <v>8175</v>
      </c>
      <c r="L133" s="6">
        <f t="shared" si="9"/>
        <v>17730</v>
      </c>
      <c r="M133" s="6">
        <f t="shared" si="10"/>
        <v>9555</v>
      </c>
      <c r="N133" s="6" t="str">
        <f t="shared" si="11"/>
        <v>profit</v>
      </c>
    </row>
    <row r="134" spans="1:14" ht="16.5" thickTop="1" thickBot="1" x14ac:dyDescent="0.3">
      <c r="A134" s="4">
        <v>45472</v>
      </c>
      <c r="B134" s="4" t="s">
        <v>14</v>
      </c>
      <c r="C134" s="5" t="s">
        <v>36</v>
      </c>
      <c r="D134" s="5" t="s">
        <v>16</v>
      </c>
      <c r="E134" s="5" t="s">
        <v>37</v>
      </c>
      <c r="F134" s="5" t="s">
        <v>35</v>
      </c>
      <c r="G134" s="5" t="s">
        <v>19</v>
      </c>
      <c r="H134" s="5">
        <v>11</v>
      </c>
      <c r="I134" s="5">
        <v>616</v>
      </c>
      <c r="J134" s="5">
        <v>1015</v>
      </c>
      <c r="K134" s="6">
        <f t="shared" si="8"/>
        <v>6776</v>
      </c>
      <c r="L134" s="6">
        <f t="shared" si="9"/>
        <v>11165</v>
      </c>
      <c r="M134" s="6">
        <f t="shared" si="10"/>
        <v>4389</v>
      </c>
      <c r="N134" s="6" t="str">
        <f t="shared" si="11"/>
        <v>profit</v>
      </c>
    </row>
    <row r="135" spans="1:14" ht="16.5" thickTop="1" thickBot="1" x14ac:dyDescent="0.3">
      <c r="A135" s="4">
        <v>45473</v>
      </c>
      <c r="B135" s="4" t="s">
        <v>14</v>
      </c>
      <c r="C135" s="5" t="s">
        <v>38</v>
      </c>
      <c r="D135" s="5" t="s">
        <v>16</v>
      </c>
      <c r="E135" s="5" t="s">
        <v>37</v>
      </c>
      <c r="F135" s="5" t="s">
        <v>39</v>
      </c>
      <c r="G135" s="5" t="s">
        <v>19</v>
      </c>
      <c r="H135" s="5">
        <v>16</v>
      </c>
      <c r="I135" s="5">
        <v>911</v>
      </c>
      <c r="J135" s="5">
        <v>1299</v>
      </c>
      <c r="K135" s="6">
        <f t="shared" si="8"/>
        <v>14576</v>
      </c>
      <c r="L135" s="6">
        <f t="shared" si="9"/>
        <v>20784</v>
      </c>
      <c r="M135" s="6">
        <f t="shared" si="10"/>
        <v>6208</v>
      </c>
      <c r="N135" s="6" t="str">
        <f t="shared" si="11"/>
        <v>profit</v>
      </c>
    </row>
    <row r="136" spans="1:14" ht="16.5" thickTop="1" thickBot="1" x14ac:dyDescent="0.3">
      <c r="A136" s="4">
        <v>45474</v>
      </c>
      <c r="B136" s="4" t="s">
        <v>40</v>
      </c>
      <c r="C136" s="5" t="s">
        <v>41</v>
      </c>
      <c r="D136" s="5" t="s">
        <v>16</v>
      </c>
      <c r="E136" s="5" t="s">
        <v>37</v>
      </c>
      <c r="F136" s="5" t="s">
        <v>39</v>
      </c>
      <c r="G136" s="5" t="s">
        <v>19</v>
      </c>
      <c r="H136" s="5">
        <v>19</v>
      </c>
      <c r="I136" s="5">
        <v>816</v>
      </c>
      <c r="J136" s="5">
        <v>1285</v>
      </c>
      <c r="K136" s="6">
        <f t="shared" si="8"/>
        <v>15504</v>
      </c>
      <c r="L136" s="6">
        <f t="shared" si="9"/>
        <v>24415</v>
      </c>
      <c r="M136" s="6">
        <f t="shared" si="10"/>
        <v>8911</v>
      </c>
      <c r="N136" s="6" t="str">
        <f t="shared" si="11"/>
        <v>profit</v>
      </c>
    </row>
    <row r="137" spans="1:14" ht="16.5" thickTop="1" thickBot="1" x14ac:dyDescent="0.3">
      <c r="A137" s="4">
        <v>45476</v>
      </c>
      <c r="B137" s="4" t="s">
        <v>40</v>
      </c>
      <c r="C137" s="5" t="s">
        <v>42</v>
      </c>
      <c r="D137" s="5" t="s">
        <v>16</v>
      </c>
      <c r="E137" s="5" t="s">
        <v>37</v>
      </c>
      <c r="F137" s="5" t="s">
        <v>27</v>
      </c>
      <c r="G137" s="5" t="s">
        <v>19</v>
      </c>
      <c r="H137" s="5">
        <v>16</v>
      </c>
      <c r="I137" s="5">
        <v>693</v>
      </c>
      <c r="J137" s="5">
        <v>1042</v>
      </c>
      <c r="K137" s="6">
        <f t="shared" si="8"/>
        <v>11088</v>
      </c>
      <c r="L137" s="6">
        <f t="shared" si="9"/>
        <v>16672</v>
      </c>
      <c r="M137" s="6">
        <f t="shared" si="10"/>
        <v>5584</v>
      </c>
      <c r="N137" s="6" t="str">
        <f t="shared" si="11"/>
        <v>profit</v>
      </c>
    </row>
    <row r="138" spans="1:14" ht="16.5" thickTop="1" thickBot="1" x14ac:dyDescent="0.3">
      <c r="A138" s="4">
        <v>45477</v>
      </c>
      <c r="B138" s="4" t="s">
        <v>40</v>
      </c>
      <c r="C138" s="5" t="s">
        <v>43</v>
      </c>
      <c r="D138" s="5" t="s">
        <v>16</v>
      </c>
      <c r="E138" s="5" t="s">
        <v>37</v>
      </c>
      <c r="F138" s="5" t="s">
        <v>44</v>
      </c>
      <c r="G138" s="5" t="s">
        <v>19</v>
      </c>
      <c r="H138" s="5">
        <v>14</v>
      </c>
      <c r="I138" s="5">
        <v>965</v>
      </c>
      <c r="J138" s="5">
        <v>1212</v>
      </c>
      <c r="K138" s="6">
        <f t="shared" si="8"/>
        <v>13510</v>
      </c>
      <c r="L138" s="6">
        <f t="shared" si="9"/>
        <v>16968</v>
      </c>
      <c r="M138" s="6">
        <f t="shared" si="10"/>
        <v>3458</v>
      </c>
      <c r="N138" s="6" t="str">
        <f t="shared" si="11"/>
        <v>profit</v>
      </c>
    </row>
    <row r="139" spans="1:14" ht="16.5" thickTop="1" thickBot="1" x14ac:dyDescent="0.3">
      <c r="A139" s="4">
        <v>45520</v>
      </c>
      <c r="B139" s="4" t="s">
        <v>57</v>
      </c>
      <c r="C139" s="5" t="s">
        <v>122</v>
      </c>
      <c r="D139" s="5" t="s">
        <v>46</v>
      </c>
      <c r="E139" s="5" t="s">
        <v>118</v>
      </c>
      <c r="F139" s="5" t="s">
        <v>52</v>
      </c>
      <c r="G139" s="5" t="s">
        <v>28</v>
      </c>
      <c r="H139" s="5">
        <v>26</v>
      </c>
      <c r="I139" s="5">
        <v>715</v>
      </c>
      <c r="J139" s="5">
        <v>840</v>
      </c>
      <c r="K139" s="6">
        <f t="shared" si="8"/>
        <v>18590</v>
      </c>
      <c r="L139" s="6">
        <f t="shared" si="9"/>
        <v>21840</v>
      </c>
      <c r="M139" s="6">
        <f t="shared" si="10"/>
        <v>3250</v>
      </c>
      <c r="N139" s="6" t="str">
        <f t="shared" si="11"/>
        <v>profit</v>
      </c>
    </row>
    <row r="140" spans="1:14" ht="16.5" thickTop="1" thickBot="1" x14ac:dyDescent="0.3">
      <c r="A140" s="4">
        <v>45478</v>
      </c>
      <c r="B140" s="4" t="s">
        <v>40</v>
      </c>
      <c r="C140" s="5" t="s">
        <v>48</v>
      </c>
      <c r="D140" s="5" t="s">
        <v>16</v>
      </c>
      <c r="E140" s="5" t="s">
        <v>37</v>
      </c>
      <c r="F140" s="5" t="s">
        <v>49</v>
      </c>
      <c r="G140" s="5" t="s">
        <v>19</v>
      </c>
      <c r="H140" s="5">
        <v>20</v>
      </c>
      <c r="I140" s="5">
        <v>960</v>
      </c>
      <c r="J140" s="5">
        <v>1170</v>
      </c>
      <c r="K140" s="6">
        <f t="shared" si="8"/>
        <v>19200</v>
      </c>
      <c r="L140" s="6">
        <f t="shared" si="9"/>
        <v>23400</v>
      </c>
      <c r="M140" s="6">
        <f t="shared" si="10"/>
        <v>4200</v>
      </c>
      <c r="N140" s="6" t="str">
        <f t="shared" si="11"/>
        <v>profit</v>
      </c>
    </row>
    <row r="141" spans="1:14" ht="16.5" thickTop="1" thickBot="1" x14ac:dyDescent="0.3">
      <c r="A141" s="4">
        <v>45479</v>
      </c>
      <c r="B141" s="4" t="s">
        <v>40</v>
      </c>
      <c r="C141" s="5" t="s">
        <v>50</v>
      </c>
      <c r="D141" s="5" t="s">
        <v>16</v>
      </c>
      <c r="E141" s="5" t="s">
        <v>37</v>
      </c>
      <c r="F141" s="5" t="s">
        <v>27</v>
      </c>
      <c r="G141" s="5" t="s">
        <v>28</v>
      </c>
      <c r="H141" s="5">
        <v>16</v>
      </c>
      <c r="I141" s="5">
        <v>734</v>
      </c>
      <c r="J141" s="5">
        <v>1330</v>
      </c>
      <c r="K141" s="6">
        <f t="shared" si="8"/>
        <v>11744</v>
      </c>
      <c r="L141" s="6">
        <f t="shared" si="9"/>
        <v>21280</v>
      </c>
      <c r="M141" s="6">
        <f t="shared" si="10"/>
        <v>9536</v>
      </c>
      <c r="N141" s="6" t="str">
        <f t="shared" si="11"/>
        <v>profit</v>
      </c>
    </row>
    <row r="142" spans="1:14" ht="16.5" thickTop="1" thickBot="1" x14ac:dyDescent="0.3">
      <c r="A142" s="4">
        <v>45480</v>
      </c>
      <c r="B142" s="4" t="s">
        <v>40</v>
      </c>
      <c r="C142" s="5" t="s">
        <v>51</v>
      </c>
      <c r="D142" s="5" t="s">
        <v>16</v>
      </c>
      <c r="E142" s="5" t="s">
        <v>37</v>
      </c>
      <c r="F142" s="5" t="s">
        <v>52</v>
      </c>
      <c r="G142" s="5" t="s">
        <v>28</v>
      </c>
      <c r="H142" s="5">
        <v>16</v>
      </c>
      <c r="I142" s="5">
        <v>673</v>
      </c>
      <c r="J142" s="5">
        <v>1233</v>
      </c>
      <c r="K142" s="6">
        <f t="shared" si="8"/>
        <v>10768</v>
      </c>
      <c r="L142" s="6">
        <f t="shared" si="9"/>
        <v>19728</v>
      </c>
      <c r="M142" s="6">
        <f t="shared" si="10"/>
        <v>8960</v>
      </c>
      <c r="N142" s="6" t="str">
        <f t="shared" si="11"/>
        <v>profit</v>
      </c>
    </row>
    <row r="143" spans="1:14" ht="16.5" thickTop="1" thickBot="1" x14ac:dyDescent="0.3">
      <c r="A143" s="4">
        <v>45481</v>
      </c>
      <c r="B143" s="4" t="s">
        <v>40</v>
      </c>
      <c r="C143" s="5" t="s">
        <v>53</v>
      </c>
      <c r="D143" s="5" t="s">
        <v>16</v>
      </c>
      <c r="E143" s="5" t="s">
        <v>37</v>
      </c>
      <c r="F143" s="5" t="s">
        <v>54</v>
      </c>
      <c r="G143" s="5" t="s">
        <v>28</v>
      </c>
      <c r="H143" s="5">
        <v>14</v>
      </c>
      <c r="I143" s="5">
        <v>782</v>
      </c>
      <c r="J143" s="5">
        <v>835</v>
      </c>
      <c r="K143" s="6">
        <f t="shared" si="8"/>
        <v>10948</v>
      </c>
      <c r="L143" s="6">
        <f t="shared" si="9"/>
        <v>11690</v>
      </c>
      <c r="M143" s="6">
        <f t="shared" si="10"/>
        <v>742</v>
      </c>
      <c r="N143" s="6" t="str">
        <f t="shared" si="11"/>
        <v>profit</v>
      </c>
    </row>
    <row r="144" spans="1:14" ht="16.5" thickTop="1" thickBot="1" x14ac:dyDescent="0.3">
      <c r="A144" s="4">
        <v>45482</v>
      </c>
      <c r="B144" s="4" t="s">
        <v>40</v>
      </c>
      <c r="C144" s="5" t="s">
        <v>55</v>
      </c>
      <c r="D144" s="5" t="s">
        <v>16</v>
      </c>
      <c r="E144" s="5" t="s">
        <v>37</v>
      </c>
      <c r="F144" s="5" t="s">
        <v>35</v>
      </c>
      <c r="G144" s="5" t="s">
        <v>28</v>
      </c>
      <c r="H144" s="5">
        <v>19</v>
      </c>
      <c r="I144" s="5">
        <v>536</v>
      </c>
      <c r="J144" s="5">
        <v>927</v>
      </c>
      <c r="K144" s="6">
        <f t="shared" si="8"/>
        <v>10184</v>
      </c>
      <c r="L144" s="6">
        <f t="shared" si="9"/>
        <v>17613</v>
      </c>
      <c r="M144" s="6">
        <f t="shared" si="10"/>
        <v>7429</v>
      </c>
      <c r="N144" s="6" t="str">
        <f t="shared" si="11"/>
        <v>profit</v>
      </c>
    </row>
    <row r="145" spans="1:14" ht="16.5" thickTop="1" thickBot="1" x14ac:dyDescent="0.3">
      <c r="A145" s="4">
        <v>45526</v>
      </c>
      <c r="B145" s="4" t="s">
        <v>57</v>
      </c>
      <c r="C145" s="5" t="s">
        <v>123</v>
      </c>
      <c r="D145" s="5" t="s">
        <v>46</v>
      </c>
      <c r="E145" s="5" t="s">
        <v>118</v>
      </c>
      <c r="F145" s="5" t="s">
        <v>64</v>
      </c>
      <c r="G145" s="5" t="s">
        <v>19</v>
      </c>
      <c r="H145" s="5">
        <v>23</v>
      </c>
      <c r="I145" s="5">
        <v>923</v>
      </c>
      <c r="J145" s="5">
        <v>897</v>
      </c>
      <c r="K145" s="6">
        <f t="shared" si="8"/>
        <v>21229</v>
      </c>
      <c r="L145" s="6">
        <f t="shared" si="9"/>
        <v>20631</v>
      </c>
      <c r="M145" s="6">
        <f t="shared" si="10"/>
        <v>-598</v>
      </c>
      <c r="N145" s="6" t="str">
        <f t="shared" si="11"/>
        <v>loss</v>
      </c>
    </row>
    <row r="146" spans="1:14" ht="16.5" thickTop="1" thickBot="1" x14ac:dyDescent="0.3">
      <c r="A146" s="4">
        <v>45483</v>
      </c>
      <c r="B146" s="4" t="s">
        <v>40</v>
      </c>
      <c r="C146" s="5" t="s">
        <v>56</v>
      </c>
      <c r="D146" s="5" t="s">
        <v>16</v>
      </c>
      <c r="E146" s="5" t="s">
        <v>37</v>
      </c>
      <c r="F146" s="5" t="s">
        <v>39</v>
      </c>
      <c r="G146" s="5" t="s">
        <v>19</v>
      </c>
      <c r="H146" s="5">
        <v>11</v>
      </c>
      <c r="I146" s="5">
        <v>991</v>
      </c>
      <c r="J146" s="5">
        <v>803</v>
      </c>
      <c r="K146" s="6">
        <f t="shared" si="8"/>
        <v>10901</v>
      </c>
      <c r="L146" s="6">
        <f t="shared" si="9"/>
        <v>8833</v>
      </c>
      <c r="M146" s="6">
        <f t="shared" si="10"/>
        <v>-2068</v>
      </c>
      <c r="N146" s="6" t="str">
        <f t="shared" si="11"/>
        <v>loss</v>
      </c>
    </row>
    <row r="147" spans="1:14" ht="16.5" thickTop="1" thickBot="1" x14ac:dyDescent="0.3">
      <c r="A147" s="4">
        <v>45510</v>
      </c>
      <c r="B147" s="4" t="s">
        <v>57</v>
      </c>
      <c r="C147" s="5" t="s">
        <v>58</v>
      </c>
      <c r="D147" s="5" t="s">
        <v>16</v>
      </c>
      <c r="E147" s="5" t="s">
        <v>37</v>
      </c>
      <c r="F147" s="5" t="s">
        <v>44</v>
      </c>
      <c r="G147" s="5" t="s">
        <v>19</v>
      </c>
      <c r="H147" s="5">
        <v>10</v>
      </c>
      <c r="I147" s="5">
        <v>844</v>
      </c>
      <c r="J147" s="5">
        <v>865</v>
      </c>
      <c r="K147" s="6">
        <f t="shared" si="8"/>
        <v>8440</v>
      </c>
      <c r="L147" s="6">
        <f t="shared" si="9"/>
        <v>8650</v>
      </c>
      <c r="M147" s="6">
        <f t="shared" si="10"/>
        <v>210</v>
      </c>
      <c r="N147" s="6" t="str">
        <f t="shared" si="11"/>
        <v>profit</v>
      </c>
    </row>
    <row r="148" spans="1:14" ht="16.5" thickTop="1" thickBot="1" x14ac:dyDescent="0.3">
      <c r="A148" s="4">
        <v>45511</v>
      </c>
      <c r="B148" s="4" t="s">
        <v>57</v>
      </c>
      <c r="C148" s="5" t="s">
        <v>59</v>
      </c>
      <c r="D148" s="5" t="s">
        <v>16</v>
      </c>
      <c r="E148" s="5" t="s">
        <v>37</v>
      </c>
      <c r="F148" s="5" t="s">
        <v>60</v>
      </c>
      <c r="G148" s="5" t="s">
        <v>19</v>
      </c>
      <c r="H148" s="5">
        <v>20</v>
      </c>
      <c r="I148" s="5">
        <v>803</v>
      </c>
      <c r="J148" s="5">
        <v>1377</v>
      </c>
      <c r="K148" s="6">
        <f t="shared" si="8"/>
        <v>16060</v>
      </c>
      <c r="L148" s="6">
        <f t="shared" si="9"/>
        <v>27540</v>
      </c>
      <c r="M148" s="6">
        <f t="shared" si="10"/>
        <v>11480</v>
      </c>
      <c r="N148" s="6" t="str">
        <f t="shared" si="11"/>
        <v>profit</v>
      </c>
    </row>
    <row r="149" spans="1:14" ht="16.5" thickTop="1" thickBot="1" x14ac:dyDescent="0.3">
      <c r="A149" s="4">
        <v>45513</v>
      </c>
      <c r="B149" s="4" t="s">
        <v>57</v>
      </c>
      <c r="C149" s="5" t="s">
        <v>61</v>
      </c>
      <c r="D149" s="5" t="s">
        <v>16</v>
      </c>
      <c r="E149" s="5" t="s">
        <v>37</v>
      </c>
      <c r="F149" s="5" t="s">
        <v>39</v>
      </c>
      <c r="G149" s="5" t="s">
        <v>19</v>
      </c>
      <c r="H149" s="5">
        <v>12</v>
      </c>
      <c r="I149" s="5">
        <v>606</v>
      </c>
      <c r="J149" s="5">
        <v>1154</v>
      </c>
      <c r="K149" s="6">
        <f t="shared" si="8"/>
        <v>7272</v>
      </c>
      <c r="L149" s="6">
        <f t="shared" si="9"/>
        <v>13848</v>
      </c>
      <c r="M149" s="6">
        <f t="shared" si="10"/>
        <v>6576</v>
      </c>
      <c r="N149" s="6" t="str">
        <f t="shared" si="11"/>
        <v>profit</v>
      </c>
    </row>
    <row r="150" spans="1:14" ht="16.5" thickTop="1" thickBot="1" x14ac:dyDescent="0.3">
      <c r="A150" s="4">
        <v>45514</v>
      </c>
      <c r="B150" s="4" t="s">
        <v>57</v>
      </c>
      <c r="C150" s="5" t="s">
        <v>65</v>
      </c>
      <c r="D150" s="5" t="s">
        <v>16</v>
      </c>
      <c r="E150" s="5" t="s">
        <v>37</v>
      </c>
      <c r="F150" s="5" t="s">
        <v>39</v>
      </c>
      <c r="G150" s="5" t="s">
        <v>19</v>
      </c>
      <c r="H150" s="5">
        <v>11</v>
      </c>
      <c r="I150" s="5">
        <v>622</v>
      </c>
      <c r="J150" s="5">
        <v>767</v>
      </c>
      <c r="K150" s="6">
        <f t="shared" si="8"/>
        <v>6842</v>
      </c>
      <c r="L150" s="6">
        <f t="shared" si="9"/>
        <v>8437</v>
      </c>
      <c r="M150" s="6">
        <f t="shared" si="10"/>
        <v>1595</v>
      </c>
      <c r="N150" s="6" t="str">
        <f t="shared" si="11"/>
        <v>profit</v>
      </c>
    </row>
    <row r="151" spans="1:14" ht="16.5" thickTop="1" thickBot="1" x14ac:dyDescent="0.3">
      <c r="A151" s="4">
        <v>45515</v>
      </c>
      <c r="B151" s="4" t="s">
        <v>57</v>
      </c>
      <c r="C151" s="5" t="s">
        <v>67</v>
      </c>
      <c r="D151" s="5" t="s">
        <v>16</v>
      </c>
      <c r="E151" s="5" t="s">
        <v>37</v>
      </c>
      <c r="F151" s="5" t="s">
        <v>44</v>
      </c>
      <c r="G151" s="5" t="s">
        <v>28</v>
      </c>
      <c r="H151" s="5">
        <v>17</v>
      </c>
      <c r="I151" s="5">
        <v>671</v>
      </c>
      <c r="J151" s="5">
        <v>906</v>
      </c>
      <c r="K151" s="6">
        <f t="shared" si="8"/>
        <v>11407</v>
      </c>
      <c r="L151" s="6">
        <f t="shared" si="9"/>
        <v>15402</v>
      </c>
      <c r="M151" s="6">
        <f t="shared" si="10"/>
        <v>3995</v>
      </c>
      <c r="N151" s="6" t="str">
        <f t="shared" si="11"/>
        <v>profit</v>
      </c>
    </row>
    <row r="152" spans="1:14" ht="16.5" thickTop="1" thickBot="1" x14ac:dyDescent="0.3">
      <c r="A152" s="4">
        <v>45516</v>
      </c>
      <c r="B152" s="4" t="s">
        <v>57</v>
      </c>
      <c r="C152" s="5" t="s">
        <v>68</v>
      </c>
      <c r="D152" s="5" t="s">
        <v>16</v>
      </c>
      <c r="E152" s="5" t="s">
        <v>37</v>
      </c>
      <c r="F152" s="5" t="s">
        <v>27</v>
      </c>
      <c r="G152" s="5" t="s">
        <v>28</v>
      </c>
      <c r="H152" s="5">
        <v>12</v>
      </c>
      <c r="I152" s="5">
        <v>814</v>
      </c>
      <c r="J152" s="5">
        <v>1392</v>
      </c>
      <c r="K152" s="6">
        <f t="shared" si="8"/>
        <v>9768</v>
      </c>
      <c r="L152" s="6">
        <f t="shared" si="9"/>
        <v>16704</v>
      </c>
      <c r="M152" s="6">
        <f t="shared" si="10"/>
        <v>6936</v>
      </c>
      <c r="N152" s="6" t="str">
        <f t="shared" si="11"/>
        <v>profit</v>
      </c>
    </row>
    <row r="153" spans="1:14" ht="16.5" thickTop="1" thickBot="1" x14ac:dyDescent="0.3">
      <c r="A153" s="4">
        <v>45543</v>
      </c>
      <c r="B153" s="4" t="s">
        <v>69</v>
      </c>
      <c r="C153" s="5" t="s">
        <v>70</v>
      </c>
      <c r="D153" s="5" t="s">
        <v>16</v>
      </c>
      <c r="E153" s="5" t="s">
        <v>37</v>
      </c>
      <c r="F153" s="5" t="s">
        <v>71</v>
      </c>
      <c r="G153" s="5" t="s">
        <v>28</v>
      </c>
      <c r="H153" s="5">
        <v>11</v>
      </c>
      <c r="I153" s="5">
        <v>960</v>
      </c>
      <c r="J153" s="5">
        <v>939</v>
      </c>
      <c r="K153" s="6">
        <f t="shared" si="8"/>
        <v>10560</v>
      </c>
      <c r="L153" s="6">
        <f t="shared" si="9"/>
        <v>10329</v>
      </c>
      <c r="M153" s="6">
        <f t="shared" si="10"/>
        <v>-231</v>
      </c>
      <c r="N153" s="6" t="str">
        <f t="shared" si="11"/>
        <v>loss</v>
      </c>
    </row>
    <row r="154" spans="1:14" ht="16.5" thickTop="1" thickBot="1" x14ac:dyDescent="0.3">
      <c r="A154" s="4">
        <v>45535</v>
      </c>
      <c r="B154" s="4" t="s">
        <v>57</v>
      </c>
      <c r="C154" s="5" t="s">
        <v>124</v>
      </c>
      <c r="D154" s="5" t="s">
        <v>33</v>
      </c>
      <c r="E154" s="5" t="s">
        <v>99</v>
      </c>
      <c r="F154" s="5" t="s">
        <v>21</v>
      </c>
      <c r="G154" s="5" t="s">
        <v>28</v>
      </c>
      <c r="H154" s="5">
        <v>89</v>
      </c>
      <c r="I154" s="5">
        <v>910</v>
      </c>
      <c r="J154" s="5">
        <v>1261</v>
      </c>
      <c r="K154" s="6">
        <f t="shared" si="8"/>
        <v>80990</v>
      </c>
      <c r="L154" s="6">
        <f t="shared" si="9"/>
        <v>112229</v>
      </c>
      <c r="M154" s="6">
        <f t="shared" si="10"/>
        <v>31239</v>
      </c>
      <c r="N154" s="6" t="str">
        <f t="shared" si="11"/>
        <v>profit</v>
      </c>
    </row>
    <row r="155" spans="1:14" ht="16.5" thickTop="1" thickBot="1" x14ac:dyDescent="0.3">
      <c r="A155" s="4">
        <v>45544</v>
      </c>
      <c r="B155" s="4" t="s">
        <v>69</v>
      </c>
      <c r="C155" s="5" t="s">
        <v>72</v>
      </c>
      <c r="D155" s="5" t="s">
        <v>16</v>
      </c>
      <c r="E155" s="5" t="s">
        <v>37</v>
      </c>
      <c r="F155" s="5" t="s">
        <v>44</v>
      </c>
      <c r="G155" s="5" t="s">
        <v>28</v>
      </c>
      <c r="H155" s="5">
        <v>10</v>
      </c>
      <c r="I155" s="5">
        <v>654</v>
      </c>
      <c r="J155" s="5">
        <v>1029</v>
      </c>
      <c r="K155" s="6">
        <f t="shared" si="8"/>
        <v>6540</v>
      </c>
      <c r="L155" s="6">
        <f t="shared" si="9"/>
        <v>10290</v>
      </c>
      <c r="M155" s="6">
        <f t="shared" si="10"/>
        <v>3750</v>
      </c>
      <c r="N155" s="6" t="str">
        <f t="shared" si="11"/>
        <v>profit</v>
      </c>
    </row>
    <row r="156" spans="1:14" ht="16.5" thickTop="1" thickBot="1" x14ac:dyDescent="0.3">
      <c r="A156" s="4">
        <v>45545</v>
      </c>
      <c r="B156" s="4" t="s">
        <v>69</v>
      </c>
      <c r="C156" s="5" t="s">
        <v>73</v>
      </c>
      <c r="D156" s="5" t="s">
        <v>16</v>
      </c>
      <c r="E156" s="5" t="s">
        <v>37</v>
      </c>
      <c r="F156" s="5" t="s">
        <v>25</v>
      </c>
      <c r="G156" s="5" t="s">
        <v>28</v>
      </c>
      <c r="H156" s="5">
        <v>14</v>
      </c>
      <c r="I156" s="5">
        <v>504</v>
      </c>
      <c r="J156" s="5">
        <v>1130</v>
      </c>
      <c r="K156" s="6">
        <f t="shared" si="8"/>
        <v>7056</v>
      </c>
      <c r="L156" s="6">
        <f t="shared" si="9"/>
        <v>15820</v>
      </c>
      <c r="M156" s="6">
        <f t="shared" si="10"/>
        <v>8764</v>
      </c>
      <c r="N156" s="6" t="str">
        <f t="shared" si="11"/>
        <v>profit</v>
      </c>
    </row>
    <row r="157" spans="1:14" ht="16.5" thickTop="1" thickBot="1" x14ac:dyDescent="0.3">
      <c r="A157" s="4">
        <v>45546</v>
      </c>
      <c r="B157" s="4" t="s">
        <v>69</v>
      </c>
      <c r="C157" s="5" t="s">
        <v>74</v>
      </c>
      <c r="D157" s="5" t="s">
        <v>16</v>
      </c>
      <c r="E157" s="5" t="s">
        <v>37</v>
      </c>
      <c r="F157" s="5" t="s">
        <v>64</v>
      </c>
      <c r="G157" s="5" t="s">
        <v>28</v>
      </c>
      <c r="H157" s="5">
        <v>12</v>
      </c>
      <c r="I157" s="5">
        <v>886</v>
      </c>
      <c r="J157" s="5">
        <v>1233</v>
      </c>
      <c r="K157" s="6">
        <f t="shared" si="8"/>
        <v>10632</v>
      </c>
      <c r="L157" s="6">
        <f t="shared" si="9"/>
        <v>14796</v>
      </c>
      <c r="M157" s="6">
        <f t="shared" si="10"/>
        <v>4164</v>
      </c>
      <c r="N157" s="6" t="str">
        <f t="shared" si="11"/>
        <v>profit</v>
      </c>
    </row>
    <row r="158" spans="1:14" ht="16.5" thickTop="1" thickBot="1" x14ac:dyDescent="0.3">
      <c r="A158" s="4">
        <v>45547</v>
      </c>
      <c r="B158" s="4" t="s">
        <v>69</v>
      </c>
      <c r="C158" s="5" t="s">
        <v>75</v>
      </c>
      <c r="D158" s="5" t="s">
        <v>16</v>
      </c>
      <c r="E158" s="5" t="s">
        <v>37</v>
      </c>
      <c r="F158" s="5" t="s">
        <v>76</v>
      </c>
      <c r="G158" s="5" t="s">
        <v>19</v>
      </c>
      <c r="H158" s="5">
        <v>10</v>
      </c>
      <c r="I158" s="5">
        <v>554</v>
      </c>
      <c r="J158" s="5">
        <v>1210</v>
      </c>
      <c r="K158" s="6">
        <f t="shared" si="8"/>
        <v>5540</v>
      </c>
      <c r="L158" s="6">
        <f t="shared" si="9"/>
        <v>12100</v>
      </c>
      <c r="M158" s="6">
        <f t="shared" si="10"/>
        <v>6560</v>
      </c>
      <c r="N158" s="6" t="str">
        <f t="shared" si="11"/>
        <v>profit</v>
      </c>
    </row>
    <row r="159" spans="1:14" ht="16.5" thickTop="1" thickBot="1" x14ac:dyDescent="0.3">
      <c r="A159" s="4">
        <v>45540</v>
      </c>
      <c r="B159" s="4" t="s">
        <v>69</v>
      </c>
      <c r="C159" s="5" t="s">
        <v>125</v>
      </c>
      <c r="D159" s="5" t="s">
        <v>33</v>
      </c>
      <c r="E159" s="5" t="s">
        <v>120</v>
      </c>
      <c r="F159" s="5" t="s">
        <v>30</v>
      </c>
      <c r="G159" s="5" t="s">
        <v>19</v>
      </c>
      <c r="H159" s="5">
        <v>59</v>
      </c>
      <c r="I159" s="5">
        <v>764</v>
      </c>
      <c r="J159" s="5">
        <v>1365</v>
      </c>
      <c r="K159" s="6">
        <f t="shared" si="8"/>
        <v>45076</v>
      </c>
      <c r="L159" s="6">
        <f t="shared" si="9"/>
        <v>80535</v>
      </c>
      <c r="M159" s="6">
        <f t="shared" si="10"/>
        <v>35459</v>
      </c>
      <c r="N159" s="6" t="str">
        <f t="shared" si="11"/>
        <v>profit</v>
      </c>
    </row>
    <row r="160" spans="1:14" ht="16.5" thickTop="1" thickBot="1" x14ac:dyDescent="0.3">
      <c r="A160" s="4">
        <v>45548</v>
      </c>
      <c r="B160" s="4" t="s">
        <v>69</v>
      </c>
      <c r="C160" s="5" t="s">
        <v>77</v>
      </c>
      <c r="D160" s="5" t="s">
        <v>16</v>
      </c>
      <c r="E160" s="5" t="s">
        <v>37</v>
      </c>
      <c r="F160" s="5" t="s">
        <v>78</v>
      </c>
      <c r="G160" s="5" t="s">
        <v>19</v>
      </c>
      <c r="H160" s="5">
        <v>14</v>
      </c>
      <c r="I160" s="5">
        <v>933</v>
      </c>
      <c r="J160" s="5">
        <v>1064</v>
      </c>
      <c r="K160" s="6">
        <f t="shared" si="8"/>
        <v>13062</v>
      </c>
      <c r="L160" s="6">
        <f t="shared" si="9"/>
        <v>14896</v>
      </c>
      <c r="M160" s="6">
        <f t="shared" si="10"/>
        <v>1834</v>
      </c>
      <c r="N160" s="6" t="str">
        <f t="shared" si="11"/>
        <v>profit</v>
      </c>
    </row>
    <row r="161" spans="1:14" ht="16.5" thickTop="1" thickBot="1" x14ac:dyDescent="0.3">
      <c r="A161" s="4">
        <v>45550</v>
      </c>
      <c r="B161" s="4" t="s">
        <v>69</v>
      </c>
      <c r="C161" s="5" t="s">
        <v>79</v>
      </c>
      <c r="D161" s="5" t="s">
        <v>16</v>
      </c>
      <c r="E161" s="5" t="s">
        <v>37</v>
      </c>
      <c r="F161" s="5" t="s">
        <v>44</v>
      </c>
      <c r="G161" s="5" t="s">
        <v>19</v>
      </c>
      <c r="H161" s="5">
        <v>15</v>
      </c>
      <c r="I161" s="5">
        <v>674</v>
      </c>
      <c r="J161" s="5">
        <v>1125</v>
      </c>
      <c r="K161" s="6">
        <f t="shared" si="8"/>
        <v>10110</v>
      </c>
      <c r="L161" s="6">
        <f t="shared" si="9"/>
        <v>16875</v>
      </c>
      <c r="M161" s="6">
        <f t="shared" si="10"/>
        <v>6765</v>
      </c>
      <c r="N161" s="6" t="str">
        <f t="shared" si="11"/>
        <v>profit</v>
      </c>
    </row>
    <row r="162" spans="1:14" ht="16.5" thickTop="1" thickBot="1" x14ac:dyDescent="0.3">
      <c r="A162" s="4">
        <v>45551</v>
      </c>
      <c r="B162" s="4" t="s">
        <v>69</v>
      </c>
      <c r="C162" s="5" t="s">
        <v>80</v>
      </c>
      <c r="D162" s="5" t="s">
        <v>16</v>
      </c>
      <c r="E162" s="5" t="s">
        <v>37</v>
      </c>
      <c r="F162" s="5" t="s">
        <v>60</v>
      </c>
      <c r="G162" s="5" t="s">
        <v>19</v>
      </c>
      <c r="H162" s="5">
        <v>20</v>
      </c>
      <c r="I162" s="5">
        <v>529</v>
      </c>
      <c r="J162" s="5">
        <v>1455</v>
      </c>
      <c r="K162" s="6">
        <f t="shared" si="8"/>
        <v>10580</v>
      </c>
      <c r="L162" s="6">
        <f t="shared" si="9"/>
        <v>29100</v>
      </c>
      <c r="M162" s="6">
        <f t="shared" si="10"/>
        <v>18520</v>
      </c>
      <c r="N162" s="6" t="str">
        <f t="shared" si="11"/>
        <v>profit</v>
      </c>
    </row>
    <row r="163" spans="1:14" ht="16.5" thickTop="1" thickBot="1" x14ac:dyDescent="0.3">
      <c r="A163" s="4">
        <v>45552</v>
      </c>
      <c r="B163" s="4" t="s">
        <v>69</v>
      </c>
      <c r="C163" s="5" t="s">
        <v>81</v>
      </c>
      <c r="D163" s="5" t="s">
        <v>16</v>
      </c>
      <c r="E163" s="5" t="s">
        <v>37</v>
      </c>
      <c r="F163" s="5" t="s">
        <v>35</v>
      </c>
      <c r="G163" s="5" t="s">
        <v>19</v>
      </c>
      <c r="H163" s="5">
        <v>18</v>
      </c>
      <c r="I163" s="5">
        <v>717</v>
      </c>
      <c r="J163" s="5">
        <v>833</v>
      </c>
      <c r="K163" s="6">
        <f t="shared" si="8"/>
        <v>12906</v>
      </c>
      <c r="L163" s="6">
        <f t="shared" si="9"/>
        <v>14994</v>
      </c>
      <c r="M163" s="6">
        <f t="shared" si="10"/>
        <v>2088</v>
      </c>
      <c r="N163" s="6" t="str">
        <f t="shared" si="11"/>
        <v>profit</v>
      </c>
    </row>
    <row r="164" spans="1:14" ht="16.5" thickTop="1" thickBot="1" x14ac:dyDescent="0.3">
      <c r="A164" s="4">
        <v>45553</v>
      </c>
      <c r="B164" s="4" t="s">
        <v>69</v>
      </c>
      <c r="C164" s="5" t="s">
        <v>82</v>
      </c>
      <c r="D164" s="5" t="s">
        <v>16</v>
      </c>
      <c r="E164" s="5" t="s">
        <v>37</v>
      </c>
      <c r="F164" s="5" t="s">
        <v>39</v>
      </c>
      <c r="G164" s="5" t="s">
        <v>19</v>
      </c>
      <c r="H164" s="5">
        <v>17</v>
      </c>
      <c r="I164" s="5">
        <v>966</v>
      </c>
      <c r="J164" s="5">
        <v>1044</v>
      </c>
      <c r="K164" s="6">
        <f t="shared" si="8"/>
        <v>16422</v>
      </c>
      <c r="L164" s="6">
        <f t="shared" si="9"/>
        <v>17748</v>
      </c>
      <c r="M164" s="6">
        <f t="shared" si="10"/>
        <v>1326</v>
      </c>
      <c r="N164" s="6" t="str">
        <f t="shared" si="11"/>
        <v>profit</v>
      </c>
    </row>
    <row r="165" spans="1:14" ht="16.5" thickTop="1" thickBot="1" x14ac:dyDescent="0.3">
      <c r="A165" s="4">
        <v>45562</v>
      </c>
      <c r="B165" s="4" t="s">
        <v>69</v>
      </c>
      <c r="C165" s="5" t="s">
        <v>83</v>
      </c>
      <c r="D165" s="5" t="s">
        <v>16</v>
      </c>
      <c r="E165" s="5" t="s">
        <v>17</v>
      </c>
      <c r="F165" s="5" t="s">
        <v>35</v>
      </c>
      <c r="G165" s="5" t="s">
        <v>28</v>
      </c>
      <c r="H165" s="5">
        <v>16</v>
      </c>
      <c r="I165" s="5">
        <v>599</v>
      </c>
      <c r="J165" s="5">
        <v>1490</v>
      </c>
      <c r="K165" s="6">
        <f t="shared" si="8"/>
        <v>9584</v>
      </c>
      <c r="L165" s="6">
        <f t="shared" si="9"/>
        <v>23840</v>
      </c>
      <c r="M165" s="6">
        <f t="shared" si="10"/>
        <v>14256</v>
      </c>
      <c r="N165" s="6" t="str">
        <f t="shared" si="11"/>
        <v>profit</v>
      </c>
    </row>
    <row r="166" spans="1:14" ht="16.5" thickTop="1" thickBot="1" x14ac:dyDescent="0.3">
      <c r="A166" s="4">
        <v>45564</v>
      </c>
      <c r="B166" s="4" t="s">
        <v>69</v>
      </c>
      <c r="C166" s="5" t="s">
        <v>84</v>
      </c>
      <c r="D166" s="5" t="s">
        <v>16</v>
      </c>
      <c r="E166" s="5" t="s">
        <v>17</v>
      </c>
      <c r="F166" s="5" t="s">
        <v>39</v>
      </c>
      <c r="G166" s="5" t="s">
        <v>19</v>
      </c>
      <c r="H166" s="5">
        <v>12</v>
      </c>
      <c r="I166" s="5">
        <v>827</v>
      </c>
      <c r="J166" s="5">
        <v>955</v>
      </c>
      <c r="K166" s="6">
        <f t="shared" si="8"/>
        <v>9924</v>
      </c>
      <c r="L166" s="6">
        <f t="shared" si="9"/>
        <v>11460</v>
      </c>
      <c r="M166" s="6">
        <f t="shared" si="10"/>
        <v>1536</v>
      </c>
      <c r="N166" s="6" t="str">
        <f t="shared" si="11"/>
        <v>profit</v>
      </c>
    </row>
    <row r="167" spans="1:14" ht="16.5" thickTop="1" thickBot="1" x14ac:dyDescent="0.3">
      <c r="A167" s="4">
        <v>45566</v>
      </c>
      <c r="B167" s="4" t="s">
        <v>85</v>
      </c>
      <c r="C167" s="5" t="s">
        <v>86</v>
      </c>
      <c r="D167" s="5" t="s">
        <v>16</v>
      </c>
      <c r="E167" s="5" t="s">
        <v>17</v>
      </c>
      <c r="F167" s="5" t="s">
        <v>64</v>
      </c>
      <c r="G167" s="5" t="s">
        <v>19</v>
      </c>
      <c r="H167" s="5">
        <v>17</v>
      </c>
      <c r="I167" s="5">
        <v>932</v>
      </c>
      <c r="J167" s="5">
        <v>808</v>
      </c>
      <c r="K167" s="6">
        <f t="shared" si="8"/>
        <v>15844</v>
      </c>
      <c r="L167" s="6">
        <f t="shared" si="9"/>
        <v>13736</v>
      </c>
      <c r="M167" s="6">
        <f t="shared" si="10"/>
        <v>-2108</v>
      </c>
      <c r="N167" s="6" t="str">
        <f t="shared" si="11"/>
        <v>loss</v>
      </c>
    </row>
    <row r="168" spans="1:14" ht="16.5" thickTop="1" thickBot="1" x14ac:dyDescent="0.3">
      <c r="A168" s="4">
        <v>45549</v>
      </c>
      <c r="B168" s="4" t="s">
        <v>69</v>
      </c>
      <c r="C168" s="5" t="s">
        <v>126</v>
      </c>
      <c r="D168" s="5" t="s">
        <v>16</v>
      </c>
      <c r="E168" s="5" t="s">
        <v>37</v>
      </c>
      <c r="F168" s="5" t="s">
        <v>35</v>
      </c>
      <c r="G168" s="5" t="s">
        <v>19</v>
      </c>
      <c r="H168" s="5">
        <v>14</v>
      </c>
      <c r="I168" s="5">
        <v>857</v>
      </c>
      <c r="J168" s="5">
        <v>767</v>
      </c>
      <c r="K168" s="6">
        <f t="shared" si="8"/>
        <v>11998</v>
      </c>
      <c r="L168" s="6">
        <f t="shared" si="9"/>
        <v>10738</v>
      </c>
      <c r="M168" s="6">
        <f t="shared" si="10"/>
        <v>-1260</v>
      </c>
      <c r="N168" s="6" t="str">
        <f t="shared" si="11"/>
        <v>loss</v>
      </c>
    </row>
    <row r="169" spans="1:14" ht="16.5" thickTop="1" thickBot="1" x14ac:dyDescent="0.3">
      <c r="A169" s="4">
        <v>45567</v>
      </c>
      <c r="B169" s="4" t="s">
        <v>85</v>
      </c>
      <c r="C169" s="5" t="s">
        <v>87</v>
      </c>
      <c r="D169" s="5" t="s">
        <v>16</v>
      </c>
      <c r="E169" s="5" t="s">
        <v>17</v>
      </c>
      <c r="F169" s="5" t="s">
        <v>60</v>
      </c>
      <c r="G169" s="5" t="s">
        <v>19</v>
      </c>
      <c r="H169" s="5">
        <v>11</v>
      </c>
      <c r="I169" s="5">
        <v>654</v>
      </c>
      <c r="J169" s="5">
        <v>767</v>
      </c>
      <c r="K169" s="6">
        <f t="shared" si="8"/>
        <v>7194</v>
      </c>
      <c r="L169" s="6">
        <f t="shared" si="9"/>
        <v>8437</v>
      </c>
      <c r="M169" s="6">
        <f t="shared" si="10"/>
        <v>1243</v>
      </c>
      <c r="N169" s="6" t="str">
        <f t="shared" si="11"/>
        <v>profit</v>
      </c>
    </row>
    <row r="170" spans="1:14" ht="16.5" thickTop="1" thickBot="1" x14ac:dyDescent="0.3">
      <c r="A170" s="4">
        <v>45568</v>
      </c>
      <c r="B170" s="4" t="s">
        <v>85</v>
      </c>
      <c r="C170" s="5" t="s">
        <v>88</v>
      </c>
      <c r="D170" s="5" t="s">
        <v>16</v>
      </c>
      <c r="E170" s="5" t="s">
        <v>17</v>
      </c>
      <c r="F170" s="5" t="s">
        <v>39</v>
      </c>
      <c r="G170" s="5" t="s">
        <v>19</v>
      </c>
      <c r="H170" s="5">
        <v>19</v>
      </c>
      <c r="I170" s="5">
        <v>764</v>
      </c>
      <c r="J170" s="5">
        <v>1069</v>
      </c>
      <c r="K170" s="6">
        <f t="shared" si="8"/>
        <v>14516</v>
      </c>
      <c r="L170" s="6">
        <f t="shared" si="9"/>
        <v>20311</v>
      </c>
      <c r="M170" s="6">
        <f t="shared" si="10"/>
        <v>5795</v>
      </c>
      <c r="N170" s="6" t="str">
        <f t="shared" si="11"/>
        <v>profit</v>
      </c>
    </row>
    <row r="171" spans="1:14" ht="16.5" thickTop="1" thickBot="1" x14ac:dyDescent="0.3">
      <c r="A171" s="4">
        <v>45580</v>
      </c>
      <c r="B171" s="4" t="s">
        <v>85</v>
      </c>
      <c r="C171" s="5" t="s">
        <v>89</v>
      </c>
      <c r="D171" s="5" t="s">
        <v>16</v>
      </c>
      <c r="E171" s="5" t="s">
        <v>37</v>
      </c>
      <c r="F171" s="5" t="s">
        <v>30</v>
      </c>
      <c r="G171" s="5" t="s">
        <v>28</v>
      </c>
      <c r="H171" s="5">
        <v>15</v>
      </c>
      <c r="I171" s="5">
        <v>906</v>
      </c>
      <c r="J171" s="5">
        <v>1485</v>
      </c>
      <c r="K171" s="6">
        <f t="shared" si="8"/>
        <v>13590</v>
      </c>
      <c r="L171" s="6">
        <f t="shared" si="9"/>
        <v>22275</v>
      </c>
      <c r="M171" s="6">
        <f t="shared" si="10"/>
        <v>8685</v>
      </c>
      <c r="N171" s="6" t="str">
        <f t="shared" si="11"/>
        <v>profit</v>
      </c>
    </row>
    <row r="172" spans="1:14" ht="16.5" thickTop="1" thickBot="1" x14ac:dyDescent="0.3">
      <c r="A172" s="4">
        <v>45581</v>
      </c>
      <c r="B172" s="4" t="s">
        <v>85</v>
      </c>
      <c r="C172" s="5" t="s">
        <v>90</v>
      </c>
      <c r="D172" s="5" t="s">
        <v>16</v>
      </c>
      <c r="E172" s="5" t="s">
        <v>37</v>
      </c>
      <c r="F172" s="5" t="s">
        <v>25</v>
      </c>
      <c r="G172" s="5" t="s">
        <v>28</v>
      </c>
      <c r="H172" s="5">
        <v>20</v>
      </c>
      <c r="I172" s="5">
        <v>780</v>
      </c>
      <c r="J172" s="5">
        <v>783</v>
      </c>
      <c r="K172" s="6">
        <f t="shared" si="8"/>
        <v>15600</v>
      </c>
      <c r="L172" s="6">
        <f t="shared" si="9"/>
        <v>15660</v>
      </c>
      <c r="M172" s="6">
        <f t="shared" si="10"/>
        <v>60</v>
      </c>
      <c r="N172" s="6" t="str">
        <f t="shared" si="11"/>
        <v>profit</v>
      </c>
    </row>
    <row r="173" spans="1:14" ht="16.5" thickTop="1" thickBot="1" x14ac:dyDescent="0.3">
      <c r="A173" s="4">
        <v>45554</v>
      </c>
      <c r="B173" s="4" t="s">
        <v>69</v>
      </c>
      <c r="C173" s="5" t="s">
        <v>127</v>
      </c>
      <c r="D173" s="5" t="s">
        <v>16</v>
      </c>
      <c r="E173" s="5" t="s">
        <v>37</v>
      </c>
      <c r="F173" s="5" t="s">
        <v>39</v>
      </c>
      <c r="G173" s="5" t="s">
        <v>28</v>
      </c>
      <c r="H173" s="5">
        <v>14</v>
      </c>
      <c r="I173" s="5">
        <v>515</v>
      </c>
      <c r="J173" s="5">
        <v>1230</v>
      </c>
      <c r="K173" s="6">
        <f t="shared" si="8"/>
        <v>7210</v>
      </c>
      <c r="L173" s="6">
        <f t="shared" si="9"/>
        <v>17220</v>
      </c>
      <c r="M173" s="6">
        <f t="shared" si="10"/>
        <v>10010</v>
      </c>
      <c r="N173" s="6" t="str">
        <f t="shared" si="11"/>
        <v>profit</v>
      </c>
    </row>
    <row r="174" spans="1:14" ht="16.5" thickTop="1" thickBot="1" x14ac:dyDescent="0.3">
      <c r="A174" s="4">
        <v>45582</v>
      </c>
      <c r="B174" s="4" t="s">
        <v>85</v>
      </c>
      <c r="C174" s="5" t="s">
        <v>91</v>
      </c>
      <c r="D174" s="5" t="s">
        <v>16</v>
      </c>
      <c r="E174" s="5" t="s">
        <v>37</v>
      </c>
      <c r="F174" s="5" t="s">
        <v>76</v>
      </c>
      <c r="G174" s="5" t="s">
        <v>28</v>
      </c>
      <c r="H174" s="5">
        <v>17</v>
      </c>
      <c r="I174" s="5">
        <v>747</v>
      </c>
      <c r="J174" s="5">
        <v>1190</v>
      </c>
      <c r="K174" s="6">
        <f t="shared" si="8"/>
        <v>12699</v>
      </c>
      <c r="L174" s="6">
        <f t="shared" si="9"/>
        <v>20230</v>
      </c>
      <c r="M174" s="6">
        <f t="shared" si="10"/>
        <v>7531</v>
      </c>
      <c r="N174" s="6" t="str">
        <f t="shared" si="11"/>
        <v>profit</v>
      </c>
    </row>
    <row r="175" spans="1:14" ht="16.5" thickTop="1" thickBot="1" x14ac:dyDescent="0.3">
      <c r="A175" s="4">
        <v>45584</v>
      </c>
      <c r="B175" s="4" t="s">
        <v>85</v>
      </c>
      <c r="C175" s="5" t="s">
        <v>92</v>
      </c>
      <c r="D175" s="5" t="s">
        <v>16</v>
      </c>
      <c r="E175" s="5" t="s">
        <v>37</v>
      </c>
      <c r="F175" s="5" t="s">
        <v>35</v>
      </c>
      <c r="G175" s="5" t="s">
        <v>19</v>
      </c>
      <c r="H175" s="5">
        <v>15</v>
      </c>
      <c r="I175" s="5">
        <v>747</v>
      </c>
      <c r="J175" s="5">
        <v>966</v>
      </c>
      <c r="K175" s="6">
        <f t="shared" si="8"/>
        <v>11205</v>
      </c>
      <c r="L175" s="6">
        <f t="shared" si="9"/>
        <v>14490</v>
      </c>
      <c r="M175" s="6">
        <f t="shared" si="10"/>
        <v>3285</v>
      </c>
      <c r="N175" s="6" t="str">
        <f t="shared" si="11"/>
        <v>profit</v>
      </c>
    </row>
    <row r="176" spans="1:14" ht="16.5" thickTop="1" thickBot="1" x14ac:dyDescent="0.3">
      <c r="A176" s="4">
        <v>45585</v>
      </c>
      <c r="B176" s="4" t="s">
        <v>85</v>
      </c>
      <c r="C176" s="5" t="s">
        <v>93</v>
      </c>
      <c r="D176" s="5" t="s">
        <v>16</v>
      </c>
      <c r="E176" s="5" t="s">
        <v>37</v>
      </c>
      <c r="F176" s="5" t="s">
        <v>39</v>
      </c>
      <c r="G176" s="5" t="s">
        <v>19</v>
      </c>
      <c r="H176" s="5">
        <v>20</v>
      </c>
      <c r="I176" s="5">
        <v>844</v>
      </c>
      <c r="J176" s="5">
        <v>1010</v>
      </c>
      <c r="K176" s="6">
        <f t="shared" si="8"/>
        <v>16880</v>
      </c>
      <c r="L176" s="6">
        <f t="shared" si="9"/>
        <v>20200</v>
      </c>
      <c r="M176" s="6">
        <f t="shared" si="10"/>
        <v>3320</v>
      </c>
      <c r="N176" s="6" t="str">
        <f t="shared" si="11"/>
        <v>profit</v>
      </c>
    </row>
    <row r="177" spans="1:14" ht="16.5" thickTop="1" thickBot="1" x14ac:dyDescent="0.3">
      <c r="A177" s="4">
        <v>45587</v>
      </c>
      <c r="B177" s="4" t="s">
        <v>85</v>
      </c>
      <c r="C177" s="5" t="s">
        <v>94</v>
      </c>
      <c r="D177" s="5" t="s">
        <v>16</v>
      </c>
      <c r="E177" s="5" t="s">
        <v>37</v>
      </c>
      <c r="F177" s="5" t="s">
        <v>64</v>
      </c>
      <c r="G177" s="5" t="s">
        <v>19</v>
      </c>
      <c r="H177" s="5">
        <v>14</v>
      </c>
      <c r="I177" s="5">
        <v>799</v>
      </c>
      <c r="J177" s="5">
        <v>1154</v>
      </c>
      <c r="K177" s="6">
        <f t="shared" si="8"/>
        <v>11186</v>
      </c>
      <c r="L177" s="6">
        <f t="shared" si="9"/>
        <v>16156</v>
      </c>
      <c r="M177" s="6">
        <f t="shared" si="10"/>
        <v>4970</v>
      </c>
      <c r="N177" s="6" t="str">
        <f t="shared" si="11"/>
        <v>profit</v>
      </c>
    </row>
    <row r="178" spans="1:14" ht="16.5" thickTop="1" thickBot="1" x14ac:dyDescent="0.3">
      <c r="A178" s="4">
        <v>45659</v>
      </c>
      <c r="B178" s="4" t="s">
        <v>95</v>
      </c>
      <c r="C178" s="5" t="s">
        <v>96</v>
      </c>
      <c r="D178" s="5" t="s">
        <v>16</v>
      </c>
      <c r="E178" s="5" t="s">
        <v>17</v>
      </c>
      <c r="F178" s="5" t="s">
        <v>25</v>
      </c>
      <c r="G178" s="5" t="s">
        <v>19</v>
      </c>
      <c r="H178" s="5">
        <v>19</v>
      </c>
      <c r="I178" s="5">
        <v>608</v>
      </c>
      <c r="J178" s="5">
        <v>1032</v>
      </c>
      <c r="K178" s="6">
        <f t="shared" si="8"/>
        <v>11552</v>
      </c>
      <c r="L178" s="6">
        <f t="shared" si="9"/>
        <v>19608</v>
      </c>
      <c r="M178" s="6">
        <f t="shared" si="10"/>
        <v>8056</v>
      </c>
      <c r="N178" s="6" t="str">
        <f t="shared" si="11"/>
        <v>profit</v>
      </c>
    </row>
    <row r="179" spans="1:14" ht="16.5" thickTop="1" thickBot="1" x14ac:dyDescent="0.3">
      <c r="A179" s="4">
        <v>45661</v>
      </c>
      <c r="B179" s="4" t="s">
        <v>95</v>
      </c>
      <c r="C179" s="5" t="s">
        <v>100</v>
      </c>
      <c r="D179" s="5" t="s">
        <v>16</v>
      </c>
      <c r="E179" s="5" t="s">
        <v>17</v>
      </c>
      <c r="F179" s="5" t="s">
        <v>71</v>
      </c>
      <c r="G179" s="5" t="s">
        <v>19</v>
      </c>
      <c r="H179" s="5">
        <v>14</v>
      </c>
      <c r="I179" s="5">
        <v>579</v>
      </c>
      <c r="J179" s="5">
        <v>907</v>
      </c>
      <c r="K179" s="6">
        <f t="shared" si="8"/>
        <v>8106</v>
      </c>
      <c r="L179" s="6">
        <f t="shared" si="9"/>
        <v>12698</v>
      </c>
      <c r="M179" s="6">
        <f t="shared" si="10"/>
        <v>4592</v>
      </c>
      <c r="N179" s="6" t="str">
        <f t="shared" si="11"/>
        <v>profit</v>
      </c>
    </row>
    <row r="180" spans="1:14" ht="16.5" thickTop="1" thickBot="1" x14ac:dyDescent="0.3">
      <c r="A180" s="4">
        <v>45663</v>
      </c>
      <c r="B180" s="4" t="s">
        <v>95</v>
      </c>
      <c r="C180" s="5" t="s">
        <v>101</v>
      </c>
      <c r="D180" s="5" t="s">
        <v>16</v>
      </c>
      <c r="E180" s="5" t="s">
        <v>17</v>
      </c>
      <c r="F180" s="5" t="s">
        <v>21</v>
      </c>
      <c r="G180" s="5" t="s">
        <v>19</v>
      </c>
      <c r="H180" s="5">
        <v>17</v>
      </c>
      <c r="I180" s="5">
        <v>825</v>
      </c>
      <c r="J180" s="5">
        <v>1080</v>
      </c>
      <c r="K180" s="6">
        <f t="shared" si="8"/>
        <v>14025</v>
      </c>
      <c r="L180" s="6">
        <f t="shared" si="9"/>
        <v>18360</v>
      </c>
      <c r="M180" s="6">
        <f t="shared" si="10"/>
        <v>4335</v>
      </c>
      <c r="N180" s="6" t="str">
        <f t="shared" si="11"/>
        <v>profit</v>
      </c>
    </row>
    <row r="181" spans="1:14" ht="16.5" thickTop="1" thickBot="1" x14ac:dyDescent="0.3">
      <c r="A181" s="4">
        <v>45665</v>
      </c>
      <c r="B181" s="4" t="s">
        <v>95</v>
      </c>
      <c r="C181" s="5" t="s">
        <v>102</v>
      </c>
      <c r="D181" s="5" t="s">
        <v>16</v>
      </c>
      <c r="E181" s="5" t="s">
        <v>17</v>
      </c>
      <c r="F181" s="5" t="s">
        <v>25</v>
      </c>
      <c r="G181" s="5" t="s">
        <v>28</v>
      </c>
      <c r="H181" s="5">
        <v>15</v>
      </c>
      <c r="I181" s="5">
        <v>827</v>
      </c>
      <c r="J181" s="5">
        <v>931</v>
      </c>
      <c r="K181" s="6">
        <f t="shared" si="8"/>
        <v>12405</v>
      </c>
      <c r="L181" s="6">
        <f t="shared" si="9"/>
        <v>13965</v>
      </c>
      <c r="M181" s="6">
        <f t="shared" si="10"/>
        <v>1560</v>
      </c>
      <c r="N181" s="6" t="str">
        <f t="shared" si="11"/>
        <v>profit</v>
      </c>
    </row>
    <row r="182" spans="1:14" ht="16.5" thickTop="1" thickBot="1" x14ac:dyDescent="0.3">
      <c r="A182" s="4">
        <v>45563</v>
      </c>
      <c r="B182" s="4" t="s">
        <v>69</v>
      </c>
      <c r="C182" s="5" t="s">
        <v>128</v>
      </c>
      <c r="D182" s="5" t="s">
        <v>16</v>
      </c>
      <c r="E182" s="5" t="s">
        <v>17</v>
      </c>
      <c r="F182" s="5" t="s">
        <v>39</v>
      </c>
      <c r="G182" s="5" t="s">
        <v>19</v>
      </c>
      <c r="H182" s="5">
        <v>15</v>
      </c>
      <c r="I182" s="5">
        <v>650</v>
      </c>
      <c r="J182" s="5">
        <v>1347</v>
      </c>
      <c r="K182" s="6">
        <f t="shared" si="8"/>
        <v>9750</v>
      </c>
      <c r="L182" s="6">
        <f t="shared" si="9"/>
        <v>20205</v>
      </c>
      <c r="M182" s="6">
        <f t="shared" si="10"/>
        <v>10455</v>
      </c>
      <c r="N182" s="6" t="str">
        <f t="shared" si="11"/>
        <v>profit</v>
      </c>
    </row>
    <row r="183" spans="1:14" ht="16.5" thickTop="1" thickBot="1" x14ac:dyDescent="0.3">
      <c r="A183" s="4">
        <v>45678</v>
      </c>
      <c r="B183" s="4" t="s">
        <v>95</v>
      </c>
      <c r="C183" s="5" t="s">
        <v>103</v>
      </c>
      <c r="D183" s="5" t="s">
        <v>16</v>
      </c>
      <c r="E183" s="5" t="s">
        <v>37</v>
      </c>
      <c r="F183" s="5" t="s">
        <v>18</v>
      </c>
      <c r="G183" s="5" t="s">
        <v>19</v>
      </c>
      <c r="H183" s="5">
        <v>20</v>
      </c>
      <c r="I183" s="5">
        <v>900</v>
      </c>
      <c r="J183" s="5">
        <v>1431</v>
      </c>
      <c r="K183" s="6">
        <f t="shared" si="8"/>
        <v>18000</v>
      </c>
      <c r="L183" s="6">
        <f t="shared" si="9"/>
        <v>28620</v>
      </c>
      <c r="M183" s="6">
        <f t="shared" si="10"/>
        <v>10620</v>
      </c>
      <c r="N183" s="6" t="str">
        <f t="shared" si="11"/>
        <v>profit</v>
      </c>
    </row>
    <row r="184" spans="1:14" ht="16.5" thickTop="1" thickBot="1" x14ac:dyDescent="0.3">
      <c r="A184" s="4">
        <v>45565</v>
      </c>
      <c r="B184" s="4" t="s">
        <v>69</v>
      </c>
      <c r="C184" s="5" t="s">
        <v>129</v>
      </c>
      <c r="D184" s="5" t="s">
        <v>16</v>
      </c>
      <c r="E184" s="5" t="s">
        <v>17</v>
      </c>
      <c r="F184" s="5" t="s">
        <v>64</v>
      </c>
      <c r="G184" s="5" t="s">
        <v>19</v>
      </c>
      <c r="H184" s="5">
        <v>15</v>
      </c>
      <c r="I184" s="5">
        <v>825</v>
      </c>
      <c r="J184" s="5">
        <v>947</v>
      </c>
      <c r="K184" s="6">
        <f t="shared" si="8"/>
        <v>12375</v>
      </c>
      <c r="L184" s="6">
        <f t="shared" si="9"/>
        <v>14205</v>
      </c>
      <c r="M184" s="6">
        <f t="shared" si="10"/>
        <v>1830</v>
      </c>
      <c r="N184" s="6" t="str">
        <f t="shared" si="11"/>
        <v>profit</v>
      </c>
    </row>
    <row r="185" spans="1:14" ht="16.5" thickTop="1" thickBot="1" x14ac:dyDescent="0.3">
      <c r="A185" s="4">
        <v>45679</v>
      </c>
      <c r="B185" s="4" t="s">
        <v>95</v>
      </c>
      <c r="C185" s="5" t="s">
        <v>104</v>
      </c>
      <c r="D185" s="5" t="s">
        <v>16</v>
      </c>
      <c r="E185" s="5" t="s">
        <v>37</v>
      </c>
      <c r="F185" s="5" t="s">
        <v>21</v>
      </c>
      <c r="G185" s="5" t="s">
        <v>19</v>
      </c>
      <c r="H185" s="5">
        <v>19</v>
      </c>
      <c r="I185" s="5">
        <v>791</v>
      </c>
      <c r="J185" s="5">
        <v>965</v>
      </c>
      <c r="K185" s="6">
        <f t="shared" si="8"/>
        <v>15029</v>
      </c>
      <c r="L185" s="6">
        <f t="shared" si="9"/>
        <v>18335</v>
      </c>
      <c r="M185" s="6">
        <f t="shared" si="10"/>
        <v>3306</v>
      </c>
      <c r="N185" s="6" t="str">
        <f t="shared" si="11"/>
        <v>profit</v>
      </c>
    </row>
    <row r="186" spans="1:14" ht="16.5" thickTop="1" thickBot="1" x14ac:dyDescent="0.3">
      <c r="A186" s="4">
        <v>45680</v>
      </c>
      <c r="B186" s="4" t="s">
        <v>95</v>
      </c>
      <c r="C186" s="5" t="s">
        <v>105</v>
      </c>
      <c r="D186" s="5" t="s">
        <v>16</v>
      </c>
      <c r="E186" s="5" t="s">
        <v>37</v>
      </c>
      <c r="F186" s="5" t="s">
        <v>23</v>
      </c>
      <c r="G186" s="5" t="s">
        <v>19</v>
      </c>
      <c r="H186" s="5">
        <v>18</v>
      </c>
      <c r="I186" s="5">
        <v>963</v>
      </c>
      <c r="J186" s="5">
        <v>1178</v>
      </c>
      <c r="K186" s="6">
        <f t="shared" si="8"/>
        <v>17334</v>
      </c>
      <c r="L186" s="6">
        <f t="shared" si="9"/>
        <v>21204</v>
      </c>
      <c r="M186" s="6">
        <f t="shared" si="10"/>
        <v>3870</v>
      </c>
      <c r="N186" s="6" t="str">
        <f t="shared" si="11"/>
        <v>profit</v>
      </c>
    </row>
    <row r="187" spans="1:14" ht="16.5" thickTop="1" thickBot="1" x14ac:dyDescent="0.3">
      <c r="A187" s="4">
        <v>45681</v>
      </c>
      <c r="B187" s="4" t="s">
        <v>95</v>
      </c>
      <c r="C187" s="5" t="s">
        <v>106</v>
      </c>
      <c r="D187" s="5" t="s">
        <v>16</v>
      </c>
      <c r="E187" s="5" t="s">
        <v>37</v>
      </c>
      <c r="F187" s="5" t="s">
        <v>25</v>
      </c>
      <c r="G187" s="5" t="s">
        <v>19</v>
      </c>
      <c r="H187" s="5">
        <v>19</v>
      </c>
      <c r="I187" s="5">
        <v>763</v>
      </c>
      <c r="J187" s="5">
        <v>1036</v>
      </c>
      <c r="K187" s="6">
        <f t="shared" si="8"/>
        <v>14497</v>
      </c>
      <c r="L187" s="6">
        <f t="shared" si="9"/>
        <v>19684</v>
      </c>
      <c r="M187" s="6">
        <f t="shared" si="10"/>
        <v>5187</v>
      </c>
      <c r="N187" s="6" t="str">
        <f t="shared" si="11"/>
        <v>profit</v>
      </c>
    </row>
    <row r="188" spans="1:14" ht="16.5" thickTop="1" thickBot="1" x14ac:dyDescent="0.3">
      <c r="A188" s="4">
        <v>45682</v>
      </c>
      <c r="B188" s="4" t="s">
        <v>95</v>
      </c>
      <c r="C188" s="5" t="s">
        <v>107</v>
      </c>
      <c r="D188" s="5" t="s">
        <v>16</v>
      </c>
      <c r="E188" s="5" t="s">
        <v>37</v>
      </c>
      <c r="F188" s="5" t="s">
        <v>25</v>
      </c>
      <c r="G188" s="5" t="s">
        <v>19</v>
      </c>
      <c r="H188" s="5">
        <v>19</v>
      </c>
      <c r="I188" s="5">
        <v>795</v>
      </c>
      <c r="J188" s="5">
        <v>1471</v>
      </c>
      <c r="K188" s="6">
        <f t="shared" si="8"/>
        <v>15105</v>
      </c>
      <c r="L188" s="6">
        <f t="shared" si="9"/>
        <v>27949</v>
      </c>
      <c r="M188" s="6">
        <f t="shared" si="10"/>
        <v>12844</v>
      </c>
      <c r="N188" s="6" t="str">
        <f t="shared" si="11"/>
        <v>profit</v>
      </c>
    </row>
    <row r="189" spans="1:14" ht="16.5" thickTop="1" thickBot="1" x14ac:dyDescent="0.3">
      <c r="A189" s="4">
        <v>45684</v>
      </c>
      <c r="B189" s="4" t="s">
        <v>95</v>
      </c>
      <c r="C189" s="5" t="s">
        <v>109</v>
      </c>
      <c r="D189" s="5" t="s">
        <v>16</v>
      </c>
      <c r="E189" s="5" t="s">
        <v>37</v>
      </c>
      <c r="F189" s="5" t="s">
        <v>30</v>
      </c>
      <c r="G189" s="5" t="s">
        <v>28</v>
      </c>
      <c r="H189" s="5">
        <v>16</v>
      </c>
      <c r="I189" s="5">
        <v>731</v>
      </c>
      <c r="J189" s="5">
        <v>1296</v>
      </c>
      <c r="K189" s="6">
        <f t="shared" si="8"/>
        <v>11696</v>
      </c>
      <c r="L189" s="6">
        <f t="shared" si="9"/>
        <v>20736</v>
      </c>
      <c r="M189" s="6">
        <f t="shared" si="10"/>
        <v>9040</v>
      </c>
      <c r="N189" s="6" t="str">
        <f t="shared" si="11"/>
        <v>profit</v>
      </c>
    </row>
    <row r="190" spans="1:14" ht="16.5" thickTop="1" thickBot="1" x14ac:dyDescent="0.3">
      <c r="A190" s="4">
        <v>45571</v>
      </c>
      <c r="B190" s="4" t="s">
        <v>85</v>
      </c>
      <c r="C190" s="5" t="s">
        <v>130</v>
      </c>
      <c r="D190" s="5" t="s">
        <v>33</v>
      </c>
      <c r="E190" s="5" t="s">
        <v>99</v>
      </c>
      <c r="F190" s="5" t="s">
        <v>44</v>
      </c>
      <c r="G190" s="5" t="s">
        <v>19</v>
      </c>
      <c r="H190" s="5">
        <v>92</v>
      </c>
      <c r="I190" s="5">
        <v>923</v>
      </c>
      <c r="J190" s="5">
        <v>1151</v>
      </c>
      <c r="K190" s="6">
        <f t="shared" si="8"/>
        <v>84916</v>
      </c>
      <c r="L190" s="6">
        <f t="shared" si="9"/>
        <v>105892</v>
      </c>
      <c r="M190" s="6">
        <f t="shared" si="10"/>
        <v>20976</v>
      </c>
      <c r="N190" s="6" t="str">
        <f t="shared" si="11"/>
        <v>profit</v>
      </c>
    </row>
    <row r="191" spans="1:14" ht="16.5" thickTop="1" thickBot="1" x14ac:dyDescent="0.3">
      <c r="A191" s="4">
        <v>45685</v>
      </c>
      <c r="B191" s="4" t="s">
        <v>95</v>
      </c>
      <c r="C191" s="5" t="s">
        <v>110</v>
      </c>
      <c r="D191" s="5" t="s">
        <v>16</v>
      </c>
      <c r="E191" s="5" t="s">
        <v>37</v>
      </c>
      <c r="F191" s="5" t="s">
        <v>25</v>
      </c>
      <c r="G191" s="5" t="s">
        <v>28</v>
      </c>
      <c r="H191" s="5">
        <v>12</v>
      </c>
      <c r="I191" s="5">
        <v>927</v>
      </c>
      <c r="J191" s="5">
        <v>1162</v>
      </c>
      <c r="K191" s="6">
        <f t="shared" si="8"/>
        <v>11124</v>
      </c>
      <c r="L191" s="6">
        <f t="shared" si="9"/>
        <v>13944</v>
      </c>
      <c r="M191" s="6">
        <f t="shared" si="10"/>
        <v>2820</v>
      </c>
      <c r="N191" s="6" t="str">
        <f t="shared" si="11"/>
        <v>profit</v>
      </c>
    </row>
    <row r="192" spans="1:14" ht="16.5" thickTop="1" thickBot="1" x14ac:dyDescent="0.3">
      <c r="A192" s="4">
        <v>45686</v>
      </c>
      <c r="B192" s="4" t="s">
        <v>95</v>
      </c>
      <c r="C192" s="5" t="s">
        <v>111</v>
      </c>
      <c r="D192" s="5" t="s">
        <v>16</v>
      </c>
      <c r="E192" s="5" t="s">
        <v>37</v>
      </c>
      <c r="F192" s="5" t="s">
        <v>39</v>
      </c>
      <c r="G192" s="5" t="s">
        <v>28</v>
      </c>
      <c r="H192" s="5">
        <v>13</v>
      </c>
      <c r="I192" s="5">
        <v>528</v>
      </c>
      <c r="J192" s="5">
        <v>1175</v>
      </c>
      <c r="K192" s="6">
        <f t="shared" si="8"/>
        <v>6864</v>
      </c>
      <c r="L192" s="6">
        <f t="shared" si="9"/>
        <v>15275</v>
      </c>
      <c r="M192" s="6">
        <f t="shared" si="10"/>
        <v>8411</v>
      </c>
      <c r="N192" s="6" t="str">
        <f t="shared" si="11"/>
        <v>profit</v>
      </c>
    </row>
    <row r="193" spans="1:14" ht="16.5" thickTop="1" thickBot="1" x14ac:dyDescent="0.3">
      <c r="A193" s="4">
        <v>45688</v>
      </c>
      <c r="B193" s="4" t="s">
        <v>95</v>
      </c>
      <c r="C193" s="5" t="s">
        <v>112</v>
      </c>
      <c r="D193" s="5" t="s">
        <v>16</v>
      </c>
      <c r="E193" s="5" t="s">
        <v>37</v>
      </c>
      <c r="F193" s="5" t="s">
        <v>113</v>
      </c>
      <c r="G193" s="5" t="s">
        <v>28</v>
      </c>
      <c r="H193" s="5">
        <v>16</v>
      </c>
      <c r="I193" s="5">
        <v>998</v>
      </c>
      <c r="J193" s="5">
        <v>835</v>
      </c>
      <c r="K193" s="6">
        <f t="shared" si="8"/>
        <v>15968</v>
      </c>
      <c r="L193" s="6">
        <f t="shared" si="9"/>
        <v>13360</v>
      </c>
      <c r="M193" s="6">
        <f t="shared" si="10"/>
        <v>-2608</v>
      </c>
      <c r="N193" s="6" t="str">
        <f t="shared" si="11"/>
        <v>loss</v>
      </c>
    </row>
    <row r="194" spans="1:14" ht="16.5" thickTop="1" thickBot="1" x14ac:dyDescent="0.3">
      <c r="A194" s="4">
        <v>45383</v>
      </c>
      <c r="B194" s="4" t="s">
        <v>31</v>
      </c>
      <c r="C194" s="5" t="s">
        <v>131</v>
      </c>
      <c r="D194" s="5" t="s">
        <v>46</v>
      </c>
      <c r="E194" s="5" t="s">
        <v>47</v>
      </c>
      <c r="F194" s="5" t="s">
        <v>71</v>
      </c>
      <c r="G194" s="5" t="s">
        <v>28</v>
      </c>
      <c r="H194" s="5">
        <v>29</v>
      </c>
      <c r="I194" s="5">
        <v>924</v>
      </c>
      <c r="J194" s="5">
        <v>1101</v>
      </c>
      <c r="K194" s="6">
        <f t="shared" ref="K194:K257" si="12">H194*I194</f>
        <v>26796</v>
      </c>
      <c r="L194" s="6">
        <f t="shared" ref="L194:L257" si="13">H194*J194</f>
        <v>31929</v>
      </c>
      <c r="M194" s="6">
        <f t="shared" ref="M194:M257" si="14">L194-K194</f>
        <v>5133</v>
      </c>
      <c r="N194" s="6" t="str">
        <f t="shared" ref="N194:N257" si="15">IF(M194&gt;0,"profit","loss")</f>
        <v>profit</v>
      </c>
    </row>
    <row r="195" spans="1:14" ht="16.5" thickTop="1" thickBot="1" x14ac:dyDescent="0.3">
      <c r="A195" s="4">
        <v>45384</v>
      </c>
      <c r="B195" s="4" t="s">
        <v>31</v>
      </c>
      <c r="C195" s="5" t="s">
        <v>132</v>
      </c>
      <c r="D195" s="5" t="s">
        <v>46</v>
      </c>
      <c r="E195" s="5" t="s">
        <v>133</v>
      </c>
      <c r="F195" s="5" t="s">
        <v>44</v>
      </c>
      <c r="G195" s="5" t="s">
        <v>28</v>
      </c>
      <c r="H195" s="5">
        <v>30</v>
      </c>
      <c r="I195" s="5">
        <v>817</v>
      </c>
      <c r="J195" s="5">
        <v>1334</v>
      </c>
      <c r="K195" s="6">
        <f t="shared" si="12"/>
        <v>24510</v>
      </c>
      <c r="L195" s="6">
        <f t="shared" si="13"/>
        <v>40020</v>
      </c>
      <c r="M195" s="6">
        <f t="shared" si="14"/>
        <v>15510</v>
      </c>
      <c r="N195" s="6" t="str">
        <f t="shared" si="15"/>
        <v>profit</v>
      </c>
    </row>
    <row r="196" spans="1:14" ht="16.5" thickTop="1" thickBot="1" x14ac:dyDescent="0.3">
      <c r="A196" s="4">
        <v>45385</v>
      </c>
      <c r="B196" s="4" t="s">
        <v>31</v>
      </c>
      <c r="C196" s="5" t="s">
        <v>134</v>
      </c>
      <c r="D196" s="5" t="s">
        <v>46</v>
      </c>
      <c r="E196" s="5" t="s">
        <v>133</v>
      </c>
      <c r="F196" s="5" t="s">
        <v>25</v>
      </c>
      <c r="G196" s="5" t="s">
        <v>28</v>
      </c>
      <c r="H196" s="5">
        <v>23</v>
      </c>
      <c r="I196" s="5">
        <v>753</v>
      </c>
      <c r="J196" s="5">
        <v>987</v>
      </c>
      <c r="K196" s="6">
        <f t="shared" si="12"/>
        <v>17319</v>
      </c>
      <c r="L196" s="6">
        <f t="shared" si="13"/>
        <v>22701</v>
      </c>
      <c r="M196" s="6">
        <f t="shared" si="14"/>
        <v>5382</v>
      </c>
      <c r="N196" s="6" t="str">
        <f t="shared" si="15"/>
        <v>profit</v>
      </c>
    </row>
    <row r="197" spans="1:14" ht="16.5" thickTop="1" thickBot="1" x14ac:dyDescent="0.3">
      <c r="A197" s="4">
        <v>45578</v>
      </c>
      <c r="B197" s="4" t="s">
        <v>85</v>
      </c>
      <c r="C197" s="5" t="s">
        <v>135</v>
      </c>
      <c r="D197" s="5" t="s">
        <v>33</v>
      </c>
      <c r="E197" s="5" t="s">
        <v>120</v>
      </c>
      <c r="F197" s="5" t="s">
        <v>25</v>
      </c>
      <c r="G197" s="5" t="s">
        <v>28</v>
      </c>
      <c r="H197" s="5">
        <v>57</v>
      </c>
      <c r="I197" s="5">
        <v>927</v>
      </c>
      <c r="J197" s="5">
        <v>1477</v>
      </c>
      <c r="K197" s="6">
        <f t="shared" si="12"/>
        <v>52839</v>
      </c>
      <c r="L197" s="6">
        <f t="shared" si="13"/>
        <v>84189</v>
      </c>
      <c r="M197" s="6">
        <f t="shared" si="14"/>
        <v>31350</v>
      </c>
      <c r="N197" s="6" t="str">
        <f t="shared" si="15"/>
        <v>profit</v>
      </c>
    </row>
    <row r="198" spans="1:14" ht="16.5" thickTop="1" thickBot="1" x14ac:dyDescent="0.3">
      <c r="A198" s="4">
        <v>45386</v>
      </c>
      <c r="B198" s="4" t="s">
        <v>31</v>
      </c>
      <c r="C198" s="5" t="s">
        <v>136</v>
      </c>
      <c r="D198" s="5" t="s">
        <v>46</v>
      </c>
      <c r="E198" s="5" t="s">
        <v>133</v>
      </c>
      <c r="F198" s="5" t="s">
        <v>64</v>
      </c>
      <c r="G198" s="5" t="s">
        <v>28</v>
      </c>
      <c r="H198" s="5">
        <v>26</v>
      </c>
      <c r="I198" s="5">
        <v>809</v>
      </c>
      <c r="J198" s="5">
        <v>800</v>
      </c>
      <c r="K198" s="6">
        <f t="shared" si="12"/>
        <v>21034</v>
      </c>
      <c r="L198" s="6">
        <f t="shared" si="13"/>
        <v>20800</v>
      </c>
      <c r="M198" s="6">
        <f t="shared" si="14"/>
        <v>-234</v>
      </c>
      <c r="N198" s="6" t="str">
        <f t="shared" si="15"/>
        <v>loss</v>
      </c>
    </row>
    <row r="199" spans="1:14" ht="16.5" thickTop="1" thickBot="1" x14ac:dyDescent="0.3">
      <c r="A199" s="4">
        <v>45391</v>
      </c>
      <c r="B199" s="4" t="s">
        <v>31</v>
      </c>
      <c r="C199" s="5" t="s">
        <v>137</v>
      </c>
      <c r="D199" s="5" t="s">
        <v>46</v>
      </c>
      <c r="E199" s="5" t="s">
        <v>47</v>
      </c>
      <c r="F199" s="5" t="s">
        <v>60</v>
      </c>
      <c r="G199" s="5" t="s">
        <v>19</v>
      </c>
      <c r="H199" s="5">
        <v>23</v>
      </c>
      <c r="I199" s="5">
        <v>852</v>
      </c>
      <c r="J199" s="5">
        <v>1480</v>
      </c>
      <c r="K199" s="6">
        <f t="shared" si="12"/>
        <v>19596</v>
      </c>
      <c r="L199" s="6">
        <f t="shared" si="13"/>
        <v>34040</v>
      </c>
      <c r="M199" s="6">
        <f t="shared" si="14"/>
        <v>14444</v>
      </c>
      <c r="N199" s="6" t="str">
        <f t="shared" si="15"/>
        <v>profit</v>
      </c>
    </row>
    <row r="200" spans="1:14" ht="16.5" thickTop="1" thickBot="1" x14ac:dyDescent="0.3">
      <c r="A200" s="4">
        <v>45392</v>
      </c>
      <c r="B200" s="4" t="s">
        <v>31</v>
      </c>
      <c r="C200" s="5" t="s">
        <v>138</v>
      </c>
      <c r="D200" s="5" t="s">
        <v>46</v>
      </c>
      <c r="E200" s="5" t="s">
        <v>47</v>
      </c>
      <c r="F200" s="5" t="s">
        <v>35</v>
      </c>
      <c r="G200" s="5" t="s">
        <v>19</v>
      </c>
      <c r="H200" s="5">
        <v>24</v>
      </c>
      <c r="I200" s="5">
        <v>903</v>
      </c>
      <c r="J200" s="5">
        <v>1338</v>
      </c>
      <c r="K200" s="6">
        <f t="shared" si="12"/>
        <v>21672</v>
      </c>
      <c r="L200" s="6">
        <f t="shared" si="13"/>
        <v>32112</v>
      </c>
      <c r="M200" s="6">
        <f t="shared" si="14"/>
        <v>10440</v>
      </c>
      <c r="N200" s="6" t="str">
        <f t="shared" si="15"/>
        <v>profit</v>
      </c>
    </row>
    <row r="201" spans="1:14" ht="16.5" thickTop="1" thickBot="1" x14ac:dyDescent="0.3">
      <c r="A201" s="4">
        <v>45393</v>
      </c>
      <c r="B201" s="4" t="s">
        <v>31</v>
      </c>
      <c r="C201" s="5" t="s">
        <v>139</v>
      </c>
      <c r="D201" s="5" t="s">
        <v>46</v>
      </c>
      <c r="E201" s="5" t="s">
        <v>47</v>
      </c>
      <c r="F201" s="5" t="s">
        <v>39</v>
      </c>
      <c r="G201" s="5" t="s">
        <v>19</v>
      </c>
      <c r="H201" s="5">
        <v>21</v>
      </c>
      <c r="I201" s="5">
        <v>829</v>
      </c>
      <c r="J201" s="5">
        <v>950</v>
      </c>
      <c r="K201" s="6">
        <f t="shared" si="12"/>
        <v>17409</v>
      </c>
      <c r="L201" s="6">
        <f t="shared" si="13"/>
        <v>19950</v>
      </c>
      <c r="M201" s="6">
        <f t="shared" si="14"/>
        <v>2541</v>
      </c>
      <c r="N201" s="6" t="str">
        <f t="shared" si="15"/>
        <v>profit</v>
      </c>
    </row>
    <row r="202" spans="1:14" ht="16.5" thickTop="1" thickBot="1" x14ac:dyDescent="0.3">
      <c r="A202" s="4">
        <v>45583</v>
      </c>
      <c r="B202" s="4" t="s">
        <v>85</v>
      </c>
      <c r="C202" s="5" t="s">
        <v>140</v>
      </c>
      <c r="D202" s="5" t="s">
        <v>16</v>
      </c>
      <c r="E202" s="5" t="s">
        <v>37</v>
      </c>
      <c r="F202" s="5" t="s">
        <v>54</v>
      </c>
      <c r="G202" s="5" t="s">
        <v>19</v>
      </c>
      <c r="H202" s="5">
        <v>16</v>
      </c>
      <c r="I202" s="5">
        <v>584</v>
      </c>
      <c r="J202" s="5">
        <v>1278</v>
      </c>
      <c r="K202" s="6">
        <f t="shared" si="12"/>
        <v>9344</v>
      </c>
      <c r="L202" s="6">
        <f t="shared" si="13"/>
        <v>20448</v>
      </c>
      <c r="M202" s="6">
        <f t="shared" si="14"/>
        <v>11104</v>
      </c>
      <c r="N202" s="6" t="str">
        <f t="shared" si="15"/>
        <v>profit</v>
      </c>
    </row>
    <row r="203" spans="1:14" ht="16.5" thickTop="1" thickBot="1" x14ac:dyDescent="0.3">
      <c r="A203" s="4">
        <v>45394</v>
      </c>
      <c r="B203" s="4" t="s">
        <v>31</v>
      </c>
      <c r="C203" s="5" t="s">
        <v>141</v>
      </c>
      <c r="D203" s="5" t="s">
        <v>46</v>
      </c>
      <c r="E203" s="5" t="s">
        <v>47</v>
      </c>
      <c r="F203" s="5" t="s">
        <v>39</v>
      </c>
      <c r="G203" s="5" t="s">
        <v>19</v>
      </c>
      <c r="H203" s="5">
        <v>20</v>
      </c>
      <c r="I203" s="5">
        <v>557</v>
      </c>
      <c r="J203" s="5">
        <v>1002</v>
      </c>
      <c r="K203" s="6">
        <f t="shared" si="12"/>
        <v>11140</v>
      </c>
      <c r="L203" s="6">
        <f t="shared" si="13"/>
        <v>20040</v>
      </c>
      <c r="M203" s="6">
        <f t="shared" si="14"/>
        <v>8900</v>
      </c>
      <c r="N203" s="6" t="str">
        <f t="shared" si="15"/>
        <v>profit</v>
      </c>
    </row>
    <row r="204" spans="1:14" ht="16.5" thickTop="1" thickBot="1" x14ac:dyDescent="0.3">
      <c r="A204" s="4">
        <v>45396</v>
      </c>
      <c r="B204" s="4" t="s">
        <v>31</v>
      </c>
      <c r="C204" s="5" t="s">
        <v>142</v>
      </c>
      <c r="D204" s="5" t="s">
        <v>46</v>
      </c>
      <c r="E204" s="5" t="s">
        <v>47</v>
      </c>
      <c r="F204" s="5" t="s">
        <v>27</v>
      </c>
      <c r="G204" s="5" t="s">
        <v>19</v>
      </c>
      <c r="H204" s="5">
        <v>20</v>
      </c>
      <c r="I204" s="5">
        <v>648</v>
      </c>
      <c r="J204" s="5">
        <v>1106</v>
      </c>
      <c r="K204" s="6">
        <f t="shared" si="12"/>
        <v>12960</v>
      </c>
      <c r="L204" s="6">
        <f t="shared" si="13"/>
        <v>22120</v>
      </c>
      <c r="M204" s="6">
        <f t="shared" si="14"/>
        <v>9160</v>
      </c>
      <c r="N204" s="6" t="str">
        <f t="shared" si="15"/>
        <v>profit</v>
      </c>
    </row>
    <row r="205" spans="1:14" ht="16.5" thickTop="1" thickBot="1" x14ac:dyDescent="0.3">
      <c r="A205" s="4">
        <v>45586</v>
      </c>
      <c r="B205" s="4" t="s">
        <v>85</v>
      </c>
      <c r="C205" s="5" t="s">
        <v>143</v>
      </c>
      <c r="D205" s="5" t="s">
        <v>16</v>
      </c>
      <c r="E205" s="5" t="s">
        <v>37</v>
      </c>
      <c r="F205" s="5" t="s">
        <v>39</v>
      </c>
      <c r="G205" s="5" t="s">
        <v>19</v>
      </c>
      <c r="H205" s="5">
        <v>19</v>
      </c>
      <c r="I205" s="5">
        <v>589</v>
      </c>
      <c r="J205" s="5">
        <v>1100</v>
      </c>
      <c r="K205" s="6">
        <f t="shared" si="12"/>
        <v>11191</v>
      </c>
      <c r="L205" s="6">
        <f t="shared" si="13"/>
        <v>20900</v>
      </c>
      <c r="M205" s="6">
        <f t="shared" si="14"/>
        <v>9709</v>
      </c>
      <c r="N205" s="6" t="str">
        <f t="shared" si="15"/>
        <v>profit</v>
      </c>
    </row>
    <row r="206" spans="1:14" ht="16.5" thickTop="1" thickBot="1" x14ac:dyDescent="0.3">
      <c r="A206" s="4">
        <v>45404</v>
      </c>
      <c r="B206" s="4" t="s">
        <v>31</v>
      </c>
      <c r="C206" s="5" t="s">
        <v>144</v>
      </c>
      <c r="D206" s="5" t="s">
        <v>46</v>
      </c>
      <c r="E206" s="5" t="s">
        <v>63</v>
      </c>
      <c r="F206" s="5" t="s">
        <v>39</v>
      </c>
      <c r="G206" s="5" t="s">
        <v>28</v>
      </c>
      <c r="H206" s="5">
        <v>26</v>
      </c>
      <c r="I206" s="5">
        <v>942</v>
      </c>
      <c r="J206" s="5">
        <v>1143</v>
      </c>
      <c r="K206" s="6">
        <f t="shared" si="12"/>
        <v>24492</v>
      </c>
      <c r="L206" s="6">
        <f t="shared" si="13"/>
        <v>29718</v>
      </c>
      <c r="M206" s="6">
        <f t="shared" si="14"/>
        <v>5226</v>
      </c>
      <c r="N206" s="6" t="str">
        <f t="shared" si="15"/>
        <v>profit</v>
      </c>
    </row>
    <row r="207" spans="1:14" ht="16.5" thickTop="1" thickBot="1" x14ac:dyDescent="0.3">
      <c r="A207" s="4">
        <v>45588</v>
      </c>
      <c r="B207" s="4" t="s">
        <v>85</v>
      </c>
      <c r="C207" s="5" t="s">
        <v>145</v>
      </c>
      <c r="D207" s="5" t="s">
        <v>46</v>
      </c>
      <c r="E207" s="5" t="s">
        <v>47</v>
      </c>
      <c r="F207" s="5" t="s">
        <v>64</v>
      </c>
      <c r="G207" s="5" t="s">
        <v>19</v>
      </c>
      <c r="H207" s="5">
        <v>30</v>
      </c>
      <c r="I207" s="5">
        <v>869</v>
      </c>
      <c r="J207" s="5">
        <v>1033</v>
      </c>
      <c r="K207" s="6">
        <f t="shared" si="12"/>
        <v>26070</v>
      </c>
      <c r="L207" s="6">
        <f t="shared" si="13"/>
        <v>30990</v>
      </c>
      <c r="M207" s="6">
        <f t="shared" si="14"/>
        <v>4920</v>
      </c>
      <c r="N207" s="6" t="str">
        <f t="shared" si="15"/>
        <v>profit</v>
      </c>
    </row>
    <row r="208" spans="1:14" ht="16.5" thickTop="1" thickBot="1" x14ac:dyDescent="0.3">
      <c r="A208" s="4">
        <v>45406</v>
      </c>
      <c r="B208" s="4" t="s">
        <v>31</v>
      </c>
      <c r="C208" s="5" t="s">
        <v>146</v>
      </c>
      <c r="D208" s="5" t="s">
        <v>46</v>
      </c>
      <c r="E208" s="5" t="s">
        <v>63</v>
      </c>
      <c r="F208" s="5" t="s">
        <v>64</v>
      </c>
      <c r="G208" s="5" t="s">
        <v>28</v>
      </c>
      <c r="H208" s="5">
        <v>20</v>
      </c>
      <c r="I208" s="5">
        <v>606</v>
      </c>
      <c r="J208" s="5">
        <v>806</v>
      </c>
      <c r="K208" s="6">
        <f t="shared" si="12"/>
        <v>12120</v>
      </c>
      <c r="L208" s="6">
        <f t="shared" si="13"/>
        <v>16120</v>
      </c>
      <c r="M208" s="6">
        <f t="shared" si="14"/>
        <v>4000</v>
      </c>
      <c r="N208" s="6" t="str">
        <f t="shared" si="15"/>
        <v>profit</v>
      </c>
    </row>
    <row r="209" spans="1:14" ht="16.5" thickTop="1" thickBot="1" x14ac:dyDescent="0.3">
      <c r="A209" s="4">
        <v>45590</v>
      </c>
      <c r="B209" s="4" t="s">
        <v>85</v>
      </c>
      <c r="C209" s="5" t="s">
        <v>147</v>
      </c>
      <c r="D209" s="5" t="s">
        <v>46</v>
      </c>
      <c r="E209" s="5" t="s">
        <v>133</v>
      </c>
      <c r="F209" s="5" t="s">
        <v>39</v>
      </c>
      <c r="G209" s="5" t="s">
        <v>28</v>
      </c>
      <c r="H209" s="5">
        <v>20</v>
      </c>
      <c r="I209" s="5">
        <v>979</v>
      </c>
      <c r="J209" s="5">
        <v>1471</v>
      </c>
      <c r="K209" s="6">
        <f t="shared" si="12"/>
        <v>19580</v>
      </c>
      <c r="L209" s="6">
        <f t="shared" si="13"/>
        <v>29420</v>
      </c>
      <c r="M209" s="6">
        <f t="shared" si="14"/>
        <v>9840</v>
      </c>
      <c r="N209" s="6" t="str">
        <f t="shared" si="15"/>
        <v>profit</v>
      </c>
    </row>
    <row r="210" spans="1:14" ht="16.5" thickTop="1" thickBot="1" x14ac:dyDescent="0.3">
      <c r="A210" s="4">
        <v>45408</v>
      </c>
      <c r="B210" s="4" t="s">
        <v>31</v>
      </c>
      <c r="C210" s="5" t="s">
        <v>148</v>
      </c>
      <c r="D210" s="5" t="s">
        <v>46</v>
      </c>
      <c r="E210" s="5" t="s">
        <v>63</v>
      </c>
      <c r="F210" s="5" t="s">
        <v>39</v>
      </c>
      <c r="G210" s="5" t="s">
        <v>19</v>
      </c>
      <c r="H210" s="5">
        <v>22</v>
      </c>
      <c r="I210" s="5">
        <v>822</v>
      </c>
      <c r="J210" s="5">
        <v>1153</v>
      </c>
      <c r="K210" s="6">
        <f t="shared" si="12"/>
        <v>18084</v>
      </c>
      <c r="L210" s="6">
        <f t="shared" si="13"/>
        <v>25366</v>
      </c>
      <c r="M210" s="6">
        <f t="shared" si="14"/>
        <v>7282</v>
      </c>
      <c r="N210" s="6" t="str">
        <f t="shared" si="15"/>
        <v>profit</v>
      </c>
    </row>
    <row r="211" spans="1:14" ht="16.5" thickTop="1" thickBot="1" x14ac:dyDescent="0.3">
      <c r="A211" s="4">
        <v>45409</v>
      </c>
      <c r="B211" s="4" t="s">
        <v>31</v>
      </c>
      <c r="C211" s="5" t="s">
        <v>149</v>
      </c>
      <c r="D211" s="5" t="s">
        <v>46</v>
      </c>
      <c r="E211" s="5" t="s">
        <v>63</v>
      </c>
      <c r="F211" s="5" t="s">
        <v>30</v>
      </c>
      <c r="G211" s="5" t="s">
        <v>19</v>
      </c>
      <c r="H211" s="5">
        <v>26</v>
      </c>
      <c r="I211" s="5">
        <v>505</v>
      </c>
      <c r="J211" s="5">
        <v>1337</v>
      </c>
      <c r="K211" s="6">
        <f t="shared" si="12"/>
        <v>13130</v>
      </c>
      <c r="L211" s="6">
        <f t="shared" si="13"/>
        <v>34762</v>
      </c>
      <c r="M211" s="6">
        <f t="shared" si="14"/>
        <v>21632</v>
      </c>
      <c r="N211" s="6" t="str">
        <f t="shared" si="15"/>
        <v>profit</v>
      </c>
    </row>
    <row r="212" spans="1:14" ht="16.5" thickTop="1" thickBot="1" x14ac:dyDescent="0.3">
      <c r="A212" s="4">
        <v>45410</v>
      </c>
      <c r="B212" s="4" t="s">
        <v>31</v>
      </c>
      <c r="C212" s="5" t="s">
        <v>150</v>
      </c>
      <c r="D212" s="5" t="s">
        <v>46</v>
      </c>
      <c r="E212" s="5" t="s">
        <v>63</v>
      </c>
      <c r="F212" s="5" t="s">
        <v>113</v>
      </c>
      <c r="G212" s="5" t="s">
        <v>19</v>
      </c>
      <c r="H212" s="5">
        <v>23</v>
      </c>
      <c r="I212" s="5">
        <v>649</v>
      </c>
      <c r="J212" s="5">
        <v>1210</v>
      </c>
      <c r="K212" s="6">
        <f t="shared" si="12"/>
        <v>14927</v>
      </c>
      <c r="L212" s="6">
        <f t="shared" si="13"/>
        <v>27830</v>
      </c>
      <c r="M212" s="6">
        <f t="shared" si="14"/>
        <v>12903</v>
      </c>
      <c r="N212" s="6" t="str">
        <f t="shared" si="15"/>
        <v>profit</v>
      </c>
    </row>
    <row r="213" spans="1:14" ht="16.5" thickTop="1" thickBot="1" x14ac:dyDescent="0.3">
      <c r="A213" s="4">
        <v>45411</v>
      </c>
      <c r="B213" s="4" t="s">
        <v>31</v>
      </c>
      <c r="C213" s="5" t="s">
        <v>151</v>
      </c>
      <c r="D213" s="5" t="s">
        <v>46</v>
      </c>
      <c r="E213" s="5" t="s">
        <v>63</v>
      </c>
      <c r="F213" s="5" t="s">
        <v>44</v>
      </c>
      <c r="G213" s="5" t="s">
        <v>19</v>
      </c>
      <c r="H213" s="5">
        <v>26</v>
      </c>
      <c r="I213" s="5">
        <v>647</v>
      </c>
      <c r="J213" s="5">
        <v>1025</v>
      </c>
      <c r="K213" s="6">
        <f t="shared" si="12"/>
        <v>16822</v>
      </c>
      <c r="L213" s="6">
        <f t="shared" si="13"/>
        <v>26650</v>
      </c>
      <c r="M213" s="6">
        <f t="shared" si="14"/>
        <v>9828</v>
      </c>
      <c r="N213" s="6" t="str">
        <f t="shared" si="15"/>
        <v>profit</v>
      </c>
    </row>
    <row r="214" spans="1:14" ht="16.5" thickTop="1" thickBot="1" x14ac:dyDescent="0.3">
      <c r="A214" s="4">
        <v>45412</v>
      </c>
      <c r="B214" s="4" t="s">
        <v>31</v>
      </c>
      <c r="C214" s="5" t="s">
        <v>152</v>
      </c>
      <c r="D214" s="5" t="s">
        <v>46</v>
      </c>
      <c r="E214" s="5" t="s">
        <v>63</v>
      </c>
      <c r="F214" s="5" t="s">
        <v>153</v>
      </c>
      <c r="G214" s="5" t="s">
        <v>19</v>
      </c>
      <c r="H214" s="5">
        <v>30</v>
      </c>
      <c r="I214" s="5">
        <v>843</v>
      </c>
      <c r="J214" s="5">
        <v>953</v>
      </c>
      <c r="K214" s="6">
        <f t="shared" si="12"/>
        <v>25290</v>
      </c>
      <c r="L214" s="6">
        <f t="shared" si="13"/>
        <v>28590</v>
      </c>
      <c r="M214" s="6">
        <f t="shared" si="14"/>
        <v>3300</v>
      </c>
      <c r="N214" s="6" t="str">
        <f t="shared" si="15"/>
        <v>profit</v>
      </c>
    </row>
    <row r="215" spans="1:14" ht="16.5" thickTop="1" thickBot="1" x14ac:dyDescent="0.3">
      <c r="A215" s="4">
        <v>45413</v>
      </c>
      <c r="B215" s="4" t="s">
        <v>97</v>
      </c>
      <c r="C215" s="5" t="s">
        <v>154</v>
      </c>
      <c r="D215" s="5" t="s">
        <v>46</v>
      </c>
      <c r="E215" s="5" t="s">
        <v>63</v>
      </c>
      <c r="F215" s="5" t="s">
        <v>155</v>
      </c>
      <c r="G215" s="5" t="s">
        <v>19</v>
      </c>
      <c r="H215" s="5">
        <v>21</v>
      </c>
      <c r="I215" s="5">
        <v>571</v>
      </c>
      <c r="J215" s="5">
        <v>900</v>
      </c>
      <c r="K215" s="6">
        <f t="shared" si="12"/>
        <v>11991</v>
      </c>
      <c r="L215" s="6">
        <f t="shared" si="13"/>
        <v>18900</v>
      </c>
      <c r="M215" s="6">
        <f t="shared" si="14"/>
        <v>6909</v>
      </c>
      <c r="N215" s="6" t="str">
        <f t="shared" si="15"/>
        <v>profit</v>
      </c>
    </row>
    <row r="216" spans="1:14" ht="16.5" thickTop="1" thickBot="1" x14ac:dyDescent="0.3">
      <c r="A216" s="4">
        <v>45414</v>
      </c>
      <c r="B216" s="4" t="s">
        <v>97</v>
      </c>
      <c r="C216" s="5" t="s">
        <v>156</v>
      </c>
      <c r="D216" s="5" t="s">
        <v>46</v>
      </c>
      <c r="E216" s="5" t="s">
        <v>63</v>
      </c>
      <c r="F216" s="5" t="s">
        <v>18</v>
      </c>
      <c r="G216" s="5" t="s">
        <v>28</v>
      </c>
      <c r="H216" s="5">
        <v>25</v>
      </c>
      <c r="I216" s="5">
        <v>909</v>
      </c>
      <c r="J216" s="5">
        <v>970</v>
      </c>
      <c r="K216" s="6">
        <f t="shared" si="12"/>
        <v>22725</v>
      </c>
      <c r="L216" s="6">
        <f t="shared" si="13"/>
        <v>24250</v>
      </c>
      <c r="M216" s="6">
        <f t="shared" si="14"/>
        <v>1525</v>
      </c>
      <c r="N216" s="6" t="str">
        <f t="shared" si="15"/>
        <v>profit</v>
      </c>
    </row>
    <row r="217" spans="1:14" ht="16.5" thickTop="1" thickBot="1" x14ac:dyDescent="0.3">
      <c r="A217" s="4">
        <v>45415</v>
      </c>
      <c r="B217" s="4" t="s">
        <v>97</v>
      </c>
      <c r="C217" s="5" t="s">
        <v>157</v>
      </c>
      <c r="D217" s="5" t="s">
        <v>46</v>
      </c>
      <c r="E217" s="5" t="s">
        <v>63</v>
      </c>
      <c r="F217" s="5" t="s">
        <v>21</v>
      </c>
      <c r="G217" s="5" t="s">
        <v>28</v>
      </c>
      <c r="H217" s="5">
        <v>24</v>
      </c>
      <c r="I217" s="5">
        <v>584</v>
      </c>
      <c r="J217" s="5">
        <v>1158</v>
      </c>
      <c r="K217" s="6">
        <f t="shared" si="12"/>
        <v>14016</v>
      </c>
      <c r="L217" s="6">
        <f t="shared" si="13"/>
        <v>27792</v>
      </c>
      <c r="M217" s="6">
        <f t="shared" si="14"/>
        <v>13776</v>
      </c>
      <c r="N217" s="6" t="str">
        <f t="shared" si="15"/>
        <v>profit</v>
      </c>
    </row>
    <row r="218" spans="1:14" ht="16.5" thickTop="1" thickBot="1" x14ac:dyDescent="0.3">
      <c r="A218" s="4">
        <v>45416</v>
      </c>
      <c r="B218" s="4" t="s">
        <v>97</v>
      </c>
      <c r="C218" s="5" t="s">
        <v>158</v>
      </c>
      <c r="D218" s="5" t="s">
        <v>46</v>
      </c>
      <c r="E218" s="5" t="s">
        <v>63</v>
      </c>
      <c r="F218" s="5" t="s">
        <v>23</v>
      </c>
      <c r="G218" s="5" t="s">
        <v>28</v>
      </c>
      <c r="H218" s="5">
        <v>28</v>
      </c>
      <c r="I218" s="5">
        <v>787</v>
      </c>
      <c r="J218" s="5">
        <v>1452</v>
      </c>
      <c r="K218" s="6">
        <f t="shared" si="12"/>
        <v>22036</v>
      </c>
      <c r="L218" s="6">
        <f t="shared" si="13"/>
        <v>40656</v>
      </c>
      <c r="M218" s="6">
        <f t="shared" si="14"/>
        <v>18620</v>
      </c>
      <c r="N218" s="6" t="str">
        <f t="shared" si="15"/>
        <v>profit</v>
      </c>
    </row>
    <row r="219" spans="1:14" ht="16.5" thickTop="1" thickBot="1" x14ac:dyDescent="0.3">
      <c r="A219" s="4">
        <v>45417</v>
      </c>
      <c r="B219" s="4" t="s">
        <v>97</v>
      </c>
      <c r="C219" s="5" t="s">
        <v>159</v>
      </c>
      <c r="D219" s="5" t="s">
        <v>46</v>
      </c>
      <c r="E219" s="5" t="s">
        <v>63</v>
      </c>
      <c r="F219" s="5" t="s">
        <v>25</v>
      </c>
      <c r="G219" s="5" t="s">
        <v>28</v>
      </c>
      <c r="H219" s="5">
        <v>23</v>
      </c>
      <c r="I219" s="5">
        <v>768</v>
      </c>
      <c r="J219" s="5">
        <v>1102</v>
      </c>
      <c r="K219" s="6">
        <f t="shared" si="12"/>
        <v>17664</v>
      </c>
      <c r="L219" s="6">
        <f t="shared" si="13"/>
        <v>25346</v>
      </c>
      <c r="M219" s="6">
        <f t="shared" si="14"/>
        <v>7682</v>
      </c>
      <c r="N219" s="6" t="str">
        <f t="shared" si="15"/>
        <v>profit</v>
      </c>
    </row>
    <row r="220" spans="1:14" ht="16.5" thickTop="1" thickBot="1" x14ac:dyDescent="0.3">
      <c r="A220" s="4">
        <v>45418</v>
      </c>
      <c r="B220" s="4" t="s">
        <v>97</v>
      </c>
      <c r="C220" s="5" t="s">
        <v>160</v>
      </c>
      <c r="D220" s="5" t="s">
        <v>46</v>
      </c>
      <c r="E220" s="5" t="s">
        <v>63</v>
      </c>
      <c r="F220" s="5" t="s">
        <v>25</v>
      </c>
      <c r="G220" s="5" t="s">
        <v>19</v>
      </c>
      <c r="H220" s="5">
        <v>23</v>
      </c>
      <c r="I220" s="5">
        <v>584</v>
      </c>
      <c r="J220" s="5">
        <v>1168</v>
      </c>
      <c r="K220" s="6">
        <f t="shared" si="12"/>
        <v>13432</v>
      </c>
      <c r="L220" s="6">
        <f t="shared" si="13"/>
        <v>26864</v>
      </c>
      <c r="M220" s="6">
        <f t="shared" si="14"/>
        <v>13432</v>
      </c>
      <c r="N220" s="6" t="str">
        <f t="shared" si="15"/>
        <v>profit</v>
      </c>
    </row>
    <row r="221" spans="1:14" ht="16.5" thickTop="1" thickBot="1" x14ac:dyDescent="0.3">
      <c r="A221" s="4">
        <v>45602</v>
      </c>
      <c r="B221" s="4" t="s">
        <v>161</v>
      </c>
      <c r="C221" s="5" t="s">
        <v>162</v>
      </c>
      <c r="D221" s="5" t="s">
        <v>33</v>
      </c>
      <c r="E221" s="5" t="s">
        <v>163</v>
      </c>
      <c r="F221" s="5" t="s">
        <v>30</v>
      </c>
      <c r="G221" s="5" t="s">
        <v>19</v>
      </c>
      <c r="H221" s="5">
        <v>57</v>
      </c>
      <c r="I221" s="5">
        <v>541</v>
      </c>
      <c r="J221" s="5">
        <v>819</v>
      </c>
      <c r="K221" s="6">
        <f t="shared" si="12"/>
        <v>30837</v>
      </c>
      <c r="L221" s="6">
        <f t="shared" si="13"/>
        <v>46683</v>
      </c>
      <c r="M221" s="6">
        <f t="shared" si="14"/>
        <v>15846</v>
      </c>
      <c r="N221" s="6" t="str">
        <f t="shared" si="15"/>
        <v>profit</v>
      </c>
    </row>
    <row r="222" spans="1:14" ht="16.5" thickTop="1" thickBot="1" x14ac:dyDescent="0.3">
      <c r="A222" s="4">
        <v>45419</v>
      </c>
      <c r="B222" s="4" t="s">
        <v>97</v>
      </c>
      <c r="C222" s="5" t="s">
        <v>164</v>
      </c>
      <c r="D222" s="5" t="s">
        <v>46</v>
      </c>
      <c r="E222" s="5" t="s">
        <v>118</v>
      </c>
      <c r="F222" s="5" t="s">
        <v>27</v>
      </c>
      <c r="G222" s="5" t="s">
        <v>19</v>
      </c>
      <c r="H222" s="5">
        <v>20</v>
      </c>
      <c r="I222" s="5">
        <v>778</v>
      </c>
      <c r="J222" s="5">
        <v>1096</v>
      </c>
      <c r="K222" s="6">
        <f t="shared" si="12"/>
        <v>15560</v>
      </c>
      <c r="L222" s="6">
        <f t="shared" si="13"/>
        <v>21920</v>
      </c>
      <c r="M222" s="6">
        <f t="shared" si="14"/>
        <v>6360</v>
      </c>
      <c r="N222" s="6" t="str">
        <f t="shared" si="15"/>
        <v>profit</v>
      </c>
    </row>
    <row r="223" spans="1:14" ht="16.5" thickTop="1" thickBot="1" x14ac:dyDescent="0.3">
      <c r="A223" s="4">
        <v>45420</v>
      </c>
      <c r="B223" s="4" t="s">
        <v>97</v>
      </c>
      <c r="C223" s="5" t="s">
        <v>165</v>
      </c>
      <c r="D223" s="5" t="s">
        <v>46</v>
      </c>
      <c r="E223" s="5" t="s">
        <v>118</v>
      </c>
      <c r="F223" s="5" t="s">
        <v>30</v>
      </c>
      <c r="G223" s="5" t="s">
        <v>19</v>
      </c>
      <c r="H223" s="5">
        <v>26</v>
      </c>
      <c r="I223" s="5">
        <v>595</v>
      </c>
      <c r="J223" s="5">
        <v>914</v>
      </c>
      <c r="K223" s="6">
        <f t="shared" si="12"/>
        <v>15470</v>
      </c>
      <c r="L223" s="6">
        <f t="shared" si="13"/>
        <v>23764</v>
      </c>
      <c r="M223" s="6">
        <f t="shared" si="14"/>
        <v>8294</v>
      </c>
      <c r="N223" s="6" t="str">
        <f t="shared" si="15"/>
        <v>profit</v>
      </c>
    </row>
    <row r="224" spans="1:14" ht="16.5" thickTop="1" thickBot="1" x14ac:dyDescent="0.3">
      <c r="A224" s="4">
        <v>45605</v>
      </c>
      <c r="B224" s="4" t="s">
        <v>161</v>
      </c>
      <c r="C224" s="5" t="s">
        <v>166</v>
      </c>
      <c r="D224" s="5" t="s">
        <v>33</v>
      </c>
      <c r="E224" s="5" t="s">
        <v>163</v>
      </c>
      <c r="F224" s="5" t="s">
        <v>71</v>
      </c>
      <c r="G224" s="5" t="s">
        <v>19</v>
      </c>
      <c r="H224" s="5">
        <v>70</v>
      </c>
      <c r="I224" s="5">
        <v>871</v>
      </c>
      <c r="J224" s="5">
        <v>862</v>
      </c>
      <c r="K224" s="6">
        <f t="shared" si="12"/>
        <v>60970</v>
      </c>
      <c r="L224" s="6">
        <f t="shared" si="13"/>
        <v>60340</v>
      </c>
      <c r="M224" s="6">
        <f t="shared" si="14"/>
        <v>-630</v>
      </c>
      <c r="N224" s="6" t="str">
        <f t="shared" si="15"/>
        <v>loss</v>
      </c>
    </row>
    <row r="225" spans="1:14" ht="16.5" thickTop="1" thickBot="1" x14ac:dyDescent="0.3">
      <c r="A225" s="4">
        <v>45421</v>
      </c>
      <c r="B225" s="4" t="s">
        <v>97</v>
      </c>
      <c r="C225" s="5" t="s">
        <v>167</v>
      </c>
      <c r="D225" s="5" t="s">
        <v>46</v>
      </c>
      <c r="E225" s="5" t="s">
        <v>118</v>
      </c>
      <c r="F225" s="5" t="s">
        <v>25</v>
      </c>
      <c r="G225" s="5" t="s">
        <v>19</v>
      </c>
      <c r="H225" s="5">
        <v>27</v>
      </c>
      <c r="I225" s="5">
        <v>722</v>
      </c>
      <c r="J225" s="5">
        <v>1497</v>
      </c>
      <c r="K225" s="6">
        <f t="shared" si="12"/>
        <v>19494</v>
      </c>
      <c r="L225" s="6">
        <f t="shared" si="13"/>
        <v>40419</v>
      </c>
      <c r="M225" s="6">
        <f t="shared" si="14"/>
        <v>20925</v>
      </c>
      <c r="N225" s="6" t="str">
        <f t="shared" si="15"/>
        <v>profit</v>
      </c>
    </row>
    <row r="226" spans="1:14" ht="16.5" thickTop="1" thickBot="1" x14ac:dyDescent="0.3">
      <c r="A226" s="4">
        <v>45422</v>
      </c>
      <c r="B226" s="4" t="s">
        <v>97</v>
      </c>
      <c r="C226" s="5" t="s">
        <v>168</v>
      </c>
      <c r="D226" s="5" t="s">
        <v>46</v>
      </c>
      <c r="E226" s="5" t="s">
        <v>118</v>
      </c>
      <c r="F226" s="5" t="s">
        <v>76</v>
      </c>
      <c r="G226" s="5" t="s">
        <v>19</v>
      </c>
      <c r="H226" s="5">
        <v>25</v>
      </c>
      <c r="I226" s="5">
        <v>982</v>
      </c>
      <c r="J226" s="5">
        <v>1395</v>
      </c>
      <c r="K226" s="6">
        <f t="shared" si="12"/>
        <v>24550</v>
      </c>
      <c r="L226" s="6">
        <f t="shared" si="13"/>
        <v>34875</v>
      </c>
      <c r="M226" s="6">
        <f t="shared" si="14"/>
        <v>10325</v>
      </c>
      <c r="N226" s="6" t="str">
        <f t="shared" si="15"/>
        <v>profit</v>
      </c>
    </row>
    <row r="227" spans="1:14" ht="16.5" thickTop="1" thickBot="1" x14ac:dyDescent="0.3">
      <c r="A227" s="4">
        <v>45423</v>
      </c>
      <c r="B227" s="4" t="s">
        <v>97</v>
      </c>
      <c r="C227" s="5" t="s">
        <v>169</v>
      </c>
      <c r="D227" s="5" t="s">
        <v>46</v>
      </c>
      <c r="E227" s="5" t="s">
        <v>118</v>
      </c>
      <c r="F227" s="5" t="s">
        <v>71</v>
      </c>
      <c r="G227" s="5" t="s">
        <v>19</v>
      </c>
      <c r="H227" s="5">
        <v>25</v>
      </c>
      <c r="I227" s="5">
        <v>982</v>
      </c>
      <c r="J227" s="5">
        <v>1389</v>
      </c>
      <c r="K227" s="6">
        <f t="shared" si="12"/>
        <v>24550</v>
      </c>
      <c r="L227" s="6">
        <f t="shared" si="13"/>
        <v>34725</v>
      </c>
      <c r="M227" s="6">
        <f t="shared" si="14"/>
        <v>10175</v>
      </c>
      <c r="N227" s="6" t="str">
        <f t="shared" si="15"/>
        <v>profit</v>
      </c>
    </row>
    <row r="228" spans="1:14" ht="16.5" thickTop="1" thickBot="1" x14ac:dyDescent="0.3">
      <c r="A228" s="4">
        <v>45424</v>
      </c>
      <c r="B228" s="4" t="s">
        <v>97</v>
      </c>
      <c r="C228" s="5" t="s">
        <v>170</v>
      </c>
      <c r="D228" s="5" t="s">
        <v>46</v>
      </c>
      <c r="E228" s="5" t="s">
        <v>118</v>
      </c>
      <c r="F228" s="5" t="s">
        <v>44</v>
      </c>
      <c r="G228" s="5" t="s">
        <v>19</v>
      </c>
      <c r="H228" s="5">
        <v>25</v>
      </c>
      <c r="I228" s="5">
        <v>810</v>
      </c>
      <c r="J228" s="5">
        <v>1086</v>
      </c>
      <c r="K228" s="6">
        <f t="shared" si="12"/>
        <v>20250</v>
      </c>
      <c r="L228" s="6">
        <f t="shared" si="13"/>
        <v>27150</v>
      </c>
      <c r="M228" s="6">
        <f t="shared" si="14"/>
        <v>6900</v>
      </c>
      <c r="N228" s="6" t="str">
        <f t="shared" si="15"/>
        <v>profit</v>
      </c>
    </row>
    <row r="229" spans="1:14" ht="16.5" thickTop="1" thickBot="1" x14ac:dyDescent="0.3">
      <c r="A229" s="4">
        <v>45610</v>
      </c>
      <c r="B229" s="4" t="s">
        <v>161</v>
      </c>
      <c r="C229" s="5" t="s">
        <v>171</v>
      </c>
      <c r="D229" s="5" t="s">
        <v>46</v>
      </c>
      <c r="E229" s="5" t="s">
        <v>63</v>
      </c>
      <c r="F229" s="5" t="s">
        <v>78</v>
      </c>
      <c r="G229" s="5" t="s">
        <v>28</v>
      </c>
      <c r="H229" s="5">
        <v>20</v>
      </c>
      <c r="I229" s="5">
        <v>773</v>
      </c>
      <c r="J229" s="5">
        <v>823</v>
      </c>
      <c r="K229" s="6">
        <f t="shared" si="12"/>
        <v>15460</v>
      </c>
      <c r="L229" s="6">
        <f t="shared" si="13"/>
        <v>16460</v>
      </c>
      <c r="M229" s="6">
        <f t="shared" si="14"/>
        <v>1000</v>
      </c>
      <c r="N229" s="6" t="str">
        <f t="shared" si="15"/>
        <v>profit</v>
      </c>
    </row>
    <row r="230" spans="1:14" ht="16.5" thickTop="1" thickBot="1" x14ac:dyDescent="0.3">
      <c r="A230" s="4">
        <v>45425</v>
      </c>
      <c r="B230" s="4" t="s">
        <v>97</v>
      </c>
      <c r="C230" s="5" t="s">
        <v>172</v>
      </c>
      <c r="D230" s="5" t="s">
        <v>46</v>
      </c>
      <c r="E230" s="5" t="s">
        <v>118</v>
      </c>
      <c r="F230" s="5" t="s">
        <v>25</v>
      </c>
      <c r="G230" s="5" t="s">
        <v>19</v>
      </c>
      <c r="H230" s="5">
        <v>26</v>
      </c>
      <c r="I230" s="5">
        <v>781</v>
      </c>
      <c r="J230" s="5">
        <v>1019</v>
      </c>
      <c r="K230" s="6">
        <f t="shared" si="12"/>
        <v>20306</v>
      </c>
      <c r="L230" s="6">
        <f t="shared" si="13"/>
        <v>26494</v>
      </c>
      <c r="M230" s="6">
        <f t="shared" si="14"/>
        <v>6188</v>
      </c>
      <c r="N230" s="6" t="str">
        <f t="shared" si="15"/>
        <v>profit</v>
      </c>
    </row>
    <row r="231" spans="1:14" ht="16.5" thickTop="1" thickBot="1" x14ac:dyDescent="0.3">
      <c r="A231" s="4">
        <v>45426</v>
      </c>
      <c r="B231" s="4" t="s">
        <v>97</v>
      </c>
      <c r="C231" s="5" t="s">
        <v>173</v>
      </c>
      <c r="D231" s="5" t="s">
        <v>46</v>
      </c>
      <c r="E231" s="5" t="s">
        <v>118</v>
      </c>
      <c r="F231" s="5" t="s">
        <v>64</v>
      </c>
      <c r="G231" s="5" t="s">
        <v>19</v>
      </c>
      <c r="H231" s="5">
        <v>26</v>
      </c>
      <c r="I231" s="5">
        <v>630</v>
      </c>
      <c r="J231" s="5">
        <v>767</v>
      </c>
      <c r="K231" s="6">
        <f t="shared" si="12"/>
        <v>16380</v>
      </c>
      <c r="L231" s="6">
        <f t="shared" si="13"/>
        <v>19942</v>
      </c>
      <c r="M231" s="6">
        <f t="shared" si="14"/>
        <v>3562</v>
      </c>
      <c r="N231" s="6" t="str">
        <f t="shared" si="15"/>
        <v>profit</v>
      </c>
    </row>
    <row r="232" spans="1:14" ht="16.5" thickTop="1" thickBot="1" x14ac:dyDescent="0.3">
      <c r="A232" s="4">
        <v>45427</v>
      </c>
      <c r="B232" s="4" t="s">
        <v>97</v>
      </c>
      <c r="C232" s="5" t="s">
        <v>174</v>
      </c>
      <c r="D232" s="5" t="s">
        <v>46</v>
      </c>
      <c r="E232" s="5" t="s">
        <v>118</v>
      </c>
      <c r="F232" s="5" t="s">
        <v>76</v>
      </c>
      <c r="G232" s="5" t="s">
        <v>19</v>
      </c>
      <c r="H232" s="5">
        <v>23</v>
      </c>
      <c r="I232" s="5">
        <v>972</v>
      </c>
      <c r="J232" s="5">
        <v>782</v>
      </c>
      <c r="K232" s="6">
        <f t="shared" si="12"/>
        <v>22356</v>
      </c>
      <c r="L232" s="6">
        <f t="shared" si="13"/>
        <v>17986</v>
      </c>
      <c r="M232" s="6">
        <f t="shared" si="14"/>
        <v>-4370</v>
      </c>
      <c r="N232" s="6" t="str">
        <f t="shared" si="15"/>
        <v>loss</v>
      </c>
    </row>
    <row r="233" spans="1:14" ht="16.5" thickTop="1" thickBot="1" x14ac:dyDescent="0.3">
      <c r="A233" s="4">
        <v>45614</v>
      </c>
      <c r="B233" s="4" t="s">
        <v>161</v>
      </c>
      <c r="C233" s="5" t="s">
        <v>175</v>
      </c>
      <c r="D233" s="5" t="s">
        <v>46</v>
      </c>
      <c r="E233" s="5" t="s">
        <v>63</v>
      </c>
      <c r="F233" s="5" t="s">
        <v>35</v>
      </c>
      <c r="G233" s="5" t="s">
        <v>19</v>
      </c>
      <c r="H233" s="5">
        <v>23</v>
      </c>
      <c r="I233" s="5">
        <v>906</v>
      </c>
      <c r="J233" s="5">
        <v>1275</v>
      </c>
      <c r="K233" s="6">
        <f t="shared" si="12"/>
        <v>20838</v>
      </c>
      <c r="L233" s="6">
        <f t="shared" si="13"/>
        <v>29325</v>
      </c>
      <c r="M233" s="6">
        <f t="shared" si="14"/>
        <v>8487</v>
      </c>
      <c r="N233" s="6" t="str">
        <f t="shared" si="15"/>
        <v>profit</v>
      </c>
    </row>
    <row r="234" spans="1:14" ht="16.5" thickTop="1" thickBot="1" x14ac:dyDescent="0.3">
      <c r="A234" s="4">
        <v>45428</v>
      </c>
      <c r="B234" s="4" t="s">
        <v>97</v>
      </c>
      <c r="C234" s="5" t="s">
        <v>176</v>
      </c>
      <c r="D234" s="5" t="s">
        <v>46</v>
      </c>
      <c r="E234" s="5" t="s">
        <v>118</v>
      </c>
      <c r="F234" s="5" t="s">
        <v>78</v>
      </c>
      <c r="G234" s="5" t="s">
        <v>28</v>
      </c>
      <c r="H234" s="5">
        <v>30</v>
      </c>
      <c r="I234" s="5">
        <v>987</v>
      </c>
      <c r="J234" s="5">
        <v>1366</v>
      </c>
      <c r="K234" s="6">
        <f t="shared" si="12"/>
        <v>29610</v>
      </c>
      <c r="L234" s="6">
        <f t="shared" si="13"/>
        <v>40980</v>
      </c>
      <c r="M234" s="6">
        <f t="shared" si="14"/>
        <v>11370</v>
      </c>
      <c r="N234" s="6" t="str">
        <f t="shared" si="15"/>
        <v>profit</v>
      </c>
    </row>
    <row r="235" spans="1:14" ht="16.5" thickTop="1" thickBot="1" x14ac:dyDescent="0.3">
      <c r="A235" s="4">
        <v>45616</v>
      </c>
      <c r="B235" s="4" t="s">
        <v>161</v>
      </c>
      <c r="C235" s="5" t="s">
        <v>177</v>
      </c>
      <c r="D235" s="5" t="s">
        <v>46</v>
      </c>
      <c r="E235" s="5" t="s">
        <v>63</v>
      </c>
      <c r="F235" s="5" t="s">
        <v>39</v>
      </c>
      <c r="G235" s="5" t="s">
        <v>19</v>
      </c>
      <c r="H235" s="5">
        <v>24</v>
      </c>
      <c r="I235" s="5">
        <v>927</v>
      </c>
      <c r="J235" s="5">
        <v>1379</v>
      </c>
      <c r="K235" s="6">
        <f t="shared" si="12"/>
        <v>22248</v>
      </c>
      <c r="L235" s="6">
        <f t="shared" si="13"/>
        <v>33096</v>
      </c>
      <c r="M235" s="6">
        <f t="shared" si="14"/>
        <v>10848</v>
      </c>
      <c r="N235" s="6" t="str">
        <f t="shared" si="15"/>
        <v>profit</v>
      </c>
    </row>
    <row r="236" spans="1:14" ht="16.5" thickTop="1" thickBot="1" x14ac:dyDescent="0.3">
      <c r="A236" s="4">
        <v>45429</v>
      </c>
      <c r="B236" s="4" t="s">
        <v>97</v>
      </c>
      <c r="C236" s="5" t="s">
        <v>178</v>
      </c>
      <c r="D236" s="5" t="s">
        <v>46</v>
      </c>
      <c r="E236" s="5" t="s">
        <v>118</v>
      </c>
      <c r="F236" s="5" t="s">
        <v>35</v>
      </c>
      <c r="G236" s="5" t="s">
        <v>28</v>
      </c>
      <c r="H236" s="5">
        <v>25</v>
      </c>
      <c r="I236" s="5">
        <v>877</v>
      </c>
      <c r="J236" s="5">
        <v>797</v>
      </c>
      <c r="K236" s="6">
        <f t="shared" si="12"/>
        <v>21925</v>
      </c>
      <c r="L236" s="6">
        <f t="shared" si="13"/>
        <v>19925</v>
      </c>
      <c r="M236" s="6">
        <f t="shared" si="14"/>
        <v>-2000</v>
      </c>
      <c r="N236" s="6" t="str">
        <f t="shared" si="15"/>
        <v>loss</v>
      </c>
    </row>
    <row r="237" spans="1:14" ht="16.5" thickTop="1" thickBot="1" x14ac:dyDescent="0.3">
      <c r="A237" s="4">
        <v>45430</v>
      </c>
      <c r="B237" s="4" t="s">
        <v>97</v>
      </c>
      <c r="C237" s="5" t="s">
        <v>179</v>
      </c>
      <c r="D237" s="5" t="s">
        <v>46</v>
      </c>
      <c r="E237" s="5" t="s">
        <v>118</v>
      </c>
      <c r="F237" s="5" t="s">
        <v>44</v>
      </c>
      <c r="G237" s="5" t="s">
        <v>28</v>
      </c>
      <c r="H237" s="5">
        <v>26</v>
      </c>
      <c r="I237" s="5">
        <v>596</v>
      </c>
      <c r="J237" s="5">
        <v>1136</v>
      </c>
      <c r="K237" s="6">
        <f t="shared" si="12"/>
        <v>15496</v>
      </c>
      <c r="L237" s="6">
        <f t="shared" si="13"/>
        <v>29536</v>
      </c>
      <c r="M237" s="6">
        <f t="shared" si="14"/>
        <v>14040</v>
      </c>
      <c r="N237" s="6" t="str">
        <f t="shared" si="15"/>
        <v>profit</v>
      </c>
    </row>
    <row r="238" spans="1:14" ht="16.5" thickTop="1" thickBot="1" x14ac:dyDescent="0.3">
      <c r="A238" s="4">
        <v>45484</v>
      </c>
      <c r="B238" s="4" t="s">
        <v>40</v>
      </c>
      <c r="C238" s="5" t="s">
        <v>180</v>
      </c>
      <c r="D238" s="5" t="s">
        <v>46</v>
      </c>
      <c r="E238" s="5" t="s">
        <v>118</v>
      </c>
      <c r="F238" s="5" t="s">
        <v>39</v>
      </c>
      <c r="G238" s="5" t="s">
        <v>28</v>
      </c>
      <c r="H238" s="5">
        <v>26</v>
      </c>
      <c r="I238" s="5">
        <v>771</v>
      </c>
      <c r="J238" s="5">
        <v>1172</v>
      </c>
      <c r="K238" s="6">
        <f t="shared" si="12"/>
        <v>20046</v>
      </c>
      <c r="L238" s="6">
        <f t="shared" si="13"/>
        <v>30472</v>
      </c>
      <c r="M238" s="6">
        <f t="shared" si="14"/>
        <v>10426</v>
      </c>
      <c r="N238" s="6" t="str">
        <f t="shared" si="15"/>
        <v>profit</v>
      </c>
    </row>
    <row r="239" spans="1:14" ht="16.5" thickTop="1" thickBot="1" x14ac:dyDescent="0.3">
      <c r="A239" s="4">
        <v>45485</v>
      </c>
      <c r="B239" s="4" t="s">
        <v>40</v>
      </c>
      <c r="C239" s="5" t="s">
        <v>181</v>
      </c>
      <c r="D239" s="5" t="s">
        <v>46</v>
      </c>
      <c r="E239" s="5" t="s">
        <v>118</v>
      </c>
      <c r="F239" s="5" t="s">
        <v>64</v>
      </c>
      <c r="G239" s="5" t="s">
        <v>28</v>
      </c>
      <c r="H239" s="5">
        <v>30</v>
      </c>
      <c r="I239" s="5">
        <v>859</v>
      </c>
      <c r="J239" s="5">
        <v>1123</v>
      </c>
      <c r="K239" s="6">
        <f t="shared" si="12"/>
        <v>25770</v>
      </c>
      <c r="L239" s="6">
        <f t="shared" si="13"/>
        <v>33690</v>
      </c>
      <c r="M239" s="6">
        <f t="shared" si="14"/>
        <v>7920</v>
      </c>
      <c r="N239" s="6" t="str">
        <f t="shared" si="15"/>
        <v>profit</v>
      </c>
    </row>
    <row r="240" spans="1:14" ht="16.5" thickTop="1" thickBot="1" x14ac:dyDescent="0.3">
      <c r="A240" s="4">
        <v>45486</v>
      </c>
      <c r="B240" s="4" t="s">
        <v>40</v>
      </c>
      <c r="C240" s="5" t="s">
        <v>182</v>
      </c>
      <c r="D240" s="5" t="s">
        <v>46</v>
      </c>
      <c r="E240" s="5" t="s">
        <v>118</v>
      </c>
      <c r="F240" s="5" t="s">
        <v>64</v>
      </c>
      <c r="G240" s="5" t="s">
        <v>28</v>
      </c>
      <c r="H240" s="5">
        <v>30</v>
      </c>
      <c r="I240" s="5">
        <v>726</v>
      </c>
      <c r="J240" s="5">
        <v>964</v>
      </c>
      <c r="K240" s="6">
        <f t="shared" si="12"/>
        <v>21780</v>
      </c>
      <c r="L240" s="6">
        <f t="shared" si="13"/>
        <v>28920</v>
      </c>
      <c r="M240" s="6">
        <f t="shared" si="14"/>
        <v>7140</v>
      </c>
      <c r="N240" s="6" t="str">
        <f t="shared" si="15"/>
        <v>profit</v>
      </c>
    </row>
    <row r="241" spans="1:14" ht="16.5" thickTop="1" thickBot="1" x14ac:dyDescent="0.3">
      <c r="A241" s="4">
        <v>45487</v>
      </c>
      <c r="B241" s="4" t="s">
        <v>40</v>
      </c>
      <c r="C241" s="5" t="s">
        <v>183</v>
      </c>
      <c r="D241" s="5" t="s">
        <v>46</v>
      </c>
      <c r="E241" s="5" t="s">
        <v>118</v>
      </c>
      <c r="F241" s="5" t="s">
        <v>60</v>
      </c>
      <c r="G241" s="5" t="s">
        <v>28</v>
      </c>
      <c r="H241" s="5">
        <v>29</v>
      </c>
      <c r="I241" s="5">
        <v>861</v>
      </c>
      <c r="J241" s="5">
        <v>820</v>
      </c>
      <c r="K241" s="6">
        <f t="shared" si="12"/>
        <v>24969</v>
      </c>
      <c r="L241" s="6">
        <f t="shared" si="13"/>
        <v>23780</v>
      </c>
      <c r="M241" s="6">
        <f t="shared" si="14"/>
        <v>-1189</v>
      </c>
      <c r="N241" s="6" t="str">
        <f t="shared" si="15"/>
        <v>loss</v>
      </c>
    </row>
    <row r="242" spans="1:14" ht="16.5" thickTop="1" thickBot="1" x14ac:dyDescent="0.3">
      <c r="A242" s="4">
        <v>45489</v>
      </c>
      <c r="B242" s="4" t="s">
        <v>40</v>
      </c>
      <c r="C242" s="5" t="s">
        <v>184</v>
      </c>
      <c r="D242" s="5" t="s">
        <v>46</v>
      </c>
      <c r="E242" s="5" t="s">
        <v>118</v>
      </c>
      <c r="F242" s="5" t="s">
        <v>30</v>
      </c>
      <c r="G242" s="5" t="s">
        <v>19</v>
      </c>
      <c r="H242" s="5">
        <v>24</v>
      </c>
      <c r="I242" s="5">
        <v>978</v>
      </c>
      <c r="J242" s="5">
        <v>773</v>
      </c>
      <c r="K242" s="6">
        <f t="shared" si="12"/>
        <v>23472</v>
      </c>
      <c r="L242" s="6">
        <f t="shared" si="13"/>
        <v>18552</v>
      </c>
      <c r="M242" s="6">
        <f t="shared" si="14"/>
        <v>-4920</v>
      </c>
      <c r="N242" s="6" t="str">
        <f t="shared" si="15"/>
        <v>loss</v>
      </c>
    </row>
    <row r="243" spans="1:14" ht="16.5" thickTop="1" thickBot="1" x14ac:dyDescent="0.3">
      <c r="A243" s="4">
        <v>45490</v>
      </c>
      <c r="B243" s="4" t="s">
        <v>40</v>
      </c>
      <c r="C243" s="5" t="s">
        <v>185</v>
      </c>
      <c r="D243" s="5" t="s">
        <v>46</v>
      </c>
      <c r="E243" s="5" t="s">
        <v>118</v>
      </c>
      <c r="F243" s="5" t="s">
        <v>113</v>
      </c>
      <c r="G243" s="5" t="s">
        <v>19</v>
      </c>
      <c r="H243" s="5">
        <v>30</v>
      </c>
      <c r="I243" s="5">
        <v>514</v>
      </c>
      <c r="J243" s="5">
        <v>1333</v>
      </c>
      <c r="K243" s="6">
        <f t="shared" si="12"/>
        <v>15420</v>
      </c>
      <c r="L243" s="6">
        <f t="shared" si="13"/>
        <v>39990</v>
      </c>
      <c r="M243" s="6">
        <f t="shared" si="14"/>
        <v>24570</v>
      </c>
      <c r="N243" s="6" t="str">
        <f t="shared" si="15"/>
        <v>profit</v>
      </c>
    </row>
    <row r="244" spans="1:14" ht="16.5" thickTop="1" thickBot="1" x14ac:dyDescent="0.3">
      <c r="A244" s="4">
        <v>45491</v>
      </c>
      <c r="B244" s="4" t="s">
        <v>40</v>
      </c>
      <c r="C244" s="5" t="s">
        <v>186</v>
      </c>
      <c r="D244" s="5" t="s">
        <v>46</v>
      </c>
      <c r="E244" s="5" t="s">
        <v>118</v>
      </c>
      <c r="F244" s="5" t="s">
        <v>44</v>
      </c>
      <c r="G244" s="5" t="s">
        <v>19</v>
      </c>
      <c r="H244" s="5">
        <v>26</v>
      </c>
      <c r="I244" s="5">
        <v>656</v>
      </c>
      <c r="J244" s="5">
        <v>908</v>
      </c>
      <c r="K244" s="6">
        <f t="shared" si="12"/>
        <v>17056</v>
      </c>
      <c r="L244" s="6">
        <f t="shared" si="13"/>
        <v>23608</v>
      </c>
      <c r="M244" s="6">
        <f t="shared" si="14"/>
        <v>6552</v>
      </c>
      <c r="N244" s="6" t="str">
        <f t="shared" si="15"/>
        <v>profit</v>
      </c>
    </row>
    <row r="245" spans="1:14" ht="16.5" thickTop="1" thickBot="1" x14ac:dyDescent="0.3">
      <c r="A245" s="4">
        <v>45626</v>
      </c>
      <c r="B245" s="4" t="s">
        <v>161</v>
      </c>
      <c r="C245" s="5" t="s">
        <v>187</v>
      </c>
      <c r="D245" s="5" t="s">
        <v>46</v>
      </c>
      <c r="E245" s="5" t="s">
        <v>118</v>
      </c>
      <c r="F245" s="5" t="s">
        <v>39</v>
      </c>
      <c r="G245" s="5" t="s">
        <v>19</v>
      </c>
      <c r="H245" s="5">
        <v>28</v>
      </c>
      <c r="I245" s="5">
        <v>866</v>
      </c>
      <c r="J245" s="5">
        <v>1102</v>
      </c>
      <c r="K245" s="6">
        <f t="shared" si="12"/>
        <v>24248</v>
      </c>
      <c r="L245" s="6">
        <f t="shared" si="13"/>
        <v>30856</v>
      </c>
      <c r="M245" s="6">
        <f t="shared" si="14"/>
        <v>6608</v>
      </c>
      <c r="N245" s="6" t="str">
        <f t="shared" si="15"/>
        <v>profit</v>
      </c>
    </row>
    <row r="246" spans="1:14" ht="16.5" thickTop="1" thickBot="1" x14ac:dyDescent="0.3">
      <c r="A246" s="4">
        <v>45492</v>
      </c>
      <c r="B246" s="4" t="s">
        <v>40</v>
      </c>
      <c r="C246" s="5" t="s">
        <v>188</v>
      </c>
      <c r="D246" s="5" t="s">
        <v>46</v>
      </c>
      <c r="E246" s="5" t="s">
        <v>118</v>
      </c>
      <c r="F246" s="5" t="s">
        <v>153</v>
      </c>
      <c r="G246" s="5" t="s">
        <v>19</v>
      </c>
      <c r="H246" s="5">
        <v>28</v>
      </c>
      <c r="I246" s="5">
        <v>866</v>
      </c>
      <c r="J246" s="5">
        <v>1080</v>
      </c>
      <c r="K246" s="6">
        <f t="shared" si="12"/>
        <v>24248</v>
      </c>
      <c r="L246" s="6">
        <f t="shared" si="13"/>
        <v>30240</v>
      </c>
      <c r="M246" s="6">
        <f t="shared" si="14"/>
        <v>5992</v>
      </c>
      <c r="N246" s="6" t="str">
        <f t="shared" si="15"/>
        <v>profit</v>
      </c>
    </row>
    <row r="247" spans="1:14" ht="16.5" thickTop="1" thickBot="1" x14ac:dyDescent="0.3">
      <c r="A247" s="4">
        <v>45493</v>
      </c>
      <c r="B247" s="4" t="s">
        <v>40</v>
      </c>
      <c r="C247" s="5" t="s">
        <v>189</v>
      </c>
      <c r="D247" s="5" t="s">
        <v>46</v>
      </c>
      <c r="E247" s="5" t="s">
        <v>118</v>
      </c>
      <c r="F247" s="5" t="s">
        <v>155</v>
      </c>
      <c r="G247" s="5" t="s">
        <v>19</v>
      </c>
      <c r="H247" s="5">
        <v>23</v>
      </c>
      <c r="I247" s="5">
        <v>969</v>
      </c>
      <c r="J247" s="5">
        <v>1075</v>
      </c>
      <c r="K247" s="6">
        <f t="shared" si="12"/>
        <v>22287</v>
      </c>
      <c r="L247" s="6">
        <f t="shared" si="13"/>
        <v>24725</v>
      </c>
      <c r="M247" s="6">
        <f t="shared" si="14"/>
        <v>2438</v>
      </c>
      <c r="N247" s="6" t="str">
        <f t="shared" si="15"/>
        <v>profit</v>
      </c>
    </row>
    <row r="248" spans="1:14" ht="16.5" thickTop="1" thickBot="1" x14ac:dyDescent="0.3">
      <c r="A248" s="4">
        <v>45629</v>
      </c>
      <c r="B248" s="4" t="s">
        <v>190</v>
      </c>
      <c r="C248" s="5" t="s">
        <v>191</v>
      </c>
      <c r="D248" s="5" t="s">
        <v>46</v>
      </c>
      <c r="E248" s="5" t="s">
        <v>118</v>
      </c>
      <c r="F248" s="5" t="s">
        <v>60</v>
      </c>
      <c r="G248" s="5" t="s">
        <v>28</v>
      </c>
      <c r="H248" s="5">
        <v>29</v>
      </c>
      <c r="I248" s="5">
        <v>639</v>
      </c>
      <c r="J248" s="5">
        <v>1257</v>
      </c>
      <c r="K248" s="6">
        <f t="shared" si="12"/>
        <v>18531</v>
      </c>
      <c r="L248" s="6">
        <f t="shared" si="13"/>
        <v>36453</v>
      </c>
      <c r="M248" s="6">
        <f t="shared" si="14"/>
        <v>17922</v>
      </c>
      <c r="N248" s="6" t="str">
        <f t="shared" si="15"/>
        <v>profit</v>
      </c>
    </row>
    <row r="249" spans="1:14" ht="16.5" thickTop="1" thickBot="1" x14ac:dyDescent="0.3">
      <c r="A249" s="4">
        <v>45494</v>
      </c>
      <c r="B249" s="4" t="s">
        <v>40</v>
      </c>
      <c r="C249" s="5" t="s">
        <v>192</v>
      </c>
      <c r="D249" s="5" t="s">
        <v>46</v>
      </c>
      <c r="E249" s="5" t="s">
        <v>118</v>
      </c>
      <c r="F249" s="5" t="s">
        <v>18</v>
      </c>
      <c r="G249" s="5" t="s">
        <v>19</v>
      </c>
      <c r="H249" s="5">
        <v>21</v>
      </c>
      <c r="I249" s="5">
        <v>626</v>
      </c>
      <c r="J249" s="5">
        <v>772</v>
      </c>
      <c r="K249" s="6">
        <f t="shared" si="12"/>
        <v>13146</v>
      </c>
      <c r="L249" s="6">
        <f t="shared" si="13"/>
        <v>16212</v>
      </c>
      <c r="M249" s="6">
        <f t="shared" si="14"/>
        <v>3066</v>
      </c>
      <c r="N249" s="6" t="str">
        <f t="shared" si="15"/>
        <v>profit</v>
      </c>
    </row>
    <row r="250" spans="1:14" ht="16.5" thickTop="1" thickBot="1" x14ac:dyDescent="0.3">
      <c r="A250" s="4">
        <v>45517</v>
      </c>
      <c r="B250" s="4" t="s">
        <v>57</v>
      </c>
      <c r="C250" s="5" t="s">
        <v>193</v>
      </c>
      <c r="D250" s="5" t="s">
        <v>46</v>
      </c>
      <c r="E250" s="5" t="s">
        <v>118</v>
      </c>
      <c r="F250" s="5" t="s">
        <v>44</v>
      </c>
      <c r="G250" s="5" t="s">
        <v>28</v>
      </c>
      <c r="H250" s="5">
        <v>26</v>
      </c>
      <c r="I250" s="5">
        <v>715</v>
      </c>
      <c r="J250" s="5">
        <v>1113</v>
      </c>
      <c r="K250" s="6">
        <f t="shared" si="12"/>
        <v>18590</v>
      </c>
      <c r="L250" s="6">
        <f t="shared" si="13"/>
        <v>28938</v>
      </c>
      <c r="M250" s="6">
        <f t="shared" si="14"/>
        <v>10348</v>
      </c>
      <c r="N250" s="6" t="str">
        <f t="shared" si="15"/>
        <v>profit</v>
      </c>
    </row>
    <row r="251" spans="1:14" ht="16.5" thickTop="1" thickBot="1" x14ac:dyDescent="0.3">
      <c r="A251" s="4">
        <v>45518</v>
      </c>
      <c r="B251" s="4" t="s">
        <v>57</v>
      </c>
      <c r="C251" s="5" t="s">
        <v>194</v>
      </c>
      <c r="D251" s="5" t="s">
        <v>46</v>
      </c>
      <c r="E251" s="5" t="s">
        <v>118</v>
      </c>
      <c r="F251" s="5" t="s">
        <v>49</v>
      </c>
      <c r="G251" s="5" t="s">
        <v>28</v>
      </c>
      <c r="H251" s="5">
        <v>27</v>
      </c>
      <c r="I251" s="5">
        <v>611</v>
      </c>
      <c r="J251" s="5">
        <v>1309</v>
      </c>
      <c r="K251" s="6">
        <f t="shared" si="12"/>
        <v>16497</v>
      </c>
      <c r="L251" s="6">
        <f t="shared" si="13"/>
        <v>35343</v>
      </c>
      <c r="M251" s="6">
        <f t="shared" si="14"/>
        <v>18846</v>
      </c>
      <c r="N251" s="6" t="str">
        <f t="shared" si="15"/>
        <v>profit</v>
      </c>
    </row>
    <row r="252" spans="1:14" ht="16.5" thickTop="1" thickBot="1" x14ac:dyDescent="0.3">
      <c r="A252" s="4">
        <v>45519</v>
      </c>
      <c r="B252" s="4" t="s">
        <v>57</v>
      </c>
      <c r="C252" s="5" t="s">
        <v>195</v>
      </c>
      <c r="D252" s="5" t="s">
        <v>46</v>
      </c>
      <c r="E252" s="5" t="s">
        <v>118</v>
      </c>
      <c r="F252" s="5" t="s">
        <v>27</v>
      </c>
      <c r="G252" s="5" t="s">
        <v>19</v>
      </c>
      <c r="H252" s="5">
        <v>29</v>
      </c>
      <c r="I252" s="5">
        <v>544</v>
      </c>
      <c r="J252" s="5">
        <v>1436</v>
      </c>
      <c r="K252" s="6">
        <f t="shared" si="12"/>
        <v>15776</v>
      </c>
      <c r="L252" s="6">
        <f t="shared" si="13"/>
        <v>41644</v>
      </c>
      <c r="M252" s="6">
        <f t="shared" si="14"/>
        <v>25868</v>
      </c>
      <c r="N252" s="6" t="str">
        <f t="shared" si="15"/>
        <v>profit</v>
      </c>
    </row>
    <row r="253" spans="1:14" ht="16.5" thickTop="1" thickBot="1" x14ac:dyDescent="0.3">
      <c r="A253" s="4">
        <v>45634</v>
      </c>
      <c r="B253" s="4" t="s">
        <v>190</v>
      </c>
      <c r="C253" s="5" t="s">
        <v>196</v>
      </c>
      <c r="D253" s="5" t="s">
        <v>46</v>
      </c>
      <c r="E253" s="5" t="s">
        <v>118</v>
      </c>
      <c r="F253" s="5" t="s">
        <v>153</v>
      </c>
      <c r="G253" s="5" t="s">
        <v>28</v>
      </c>
      <c r="H253" s="5">
        <v>23</v>
      </c>
      <c r="I253" s="5">
        <v>771</v>
      </c>
      <c r="J253" s="5">
        <v>1430</v>
      </c>
      <c r="K253" s="6">
        <f t="shared" si="12"/>
        <v>17733</v>
      </c>
      <c r="L253" s="6">
        <f t="shared" si="13"/>
        <v>32890</v>
      </c>
      <c r="M253" s="6">
        <f t="shared" si="14"/>
        <v>15157</v>
      </c>
      <c r="N253" s="6" t="str">
        <f t="shared" si="15"/>
        <v>profit</v>
      </c>
    </row>
    <row r="254" spans="1:14" ht="16.5" thickTop="1" thickBot="1" x14ac:dyDescent="0.3">
      <c r="A254" s="4">
        <v>45521</v>
      </c>
      <c r="B254" s="4" t="s">
        <v>57</v>
      </c>
      <c r="C254" s="5" t="s">
        <v>197</v>
      </c>
      <c r="D254" s="5" t="s">
        <v>46</v>
      </c>
      <c r="E254" s="5" t="s">
        <v>118</v>
      </c>
      <c r="F254" s="5" t="s">
        <v>54</v>
      </c>
      <c r="G254" s="5" t="s">
        <v>28</v>
      </c>
      <c r="H254" s="5">
        <v>30</v>
      </c>
      <c r="I254" s="5">
        <v>652</v>
      </c>
      <c r="J254" s="5">
        <v>1151</v>
      </c>
      <c r="K254" s="6">
        <f t="shared" si="12"/>
        <v>19560</v>
      </c>
      <c r="L254" s="6">
        <f t="shared" si="13"/>
        <v>34530</v>
      </c>
      <c r="M254" s="6">
        <f t="shared" si="14"/>
        <v>14970</v>
      </c>
      <c r="N254" s="6" t="str">
        <f t="shared" si="15"/>
        <v>profit</v>
      </c>
    </row>
    <row r="255" spans="1:14" ht="16.5" thickTop="1" thickBot="1" x14ac:dyDescent="0.3">
      <c r="A255" s="4">
        <v>45522</v>
      </c>
      <c r="B255" s="4" t="s">
        <v>57</v>
      </c>
      <c r="C255" s="5" t="s">
        <v>107</v>
      </c>
      <c r="D255" s="5" t="s">
        <v>46</v>
      </c>
      <c r="E255" s="5" t="s">
        <v>118</v>
      </c>
      <c r="F255" s="5" t="s">
        <v>35</v>
      </c>
      <c r="G255" s="5" t="s">
        <v>28</v>
      </c>
      <c r="H255" s="5">
        <v>22</v>
      </c>
      <c r="I255" s="5">
        <v>681</v>
      </c>
      <c r="J255" s="5">
        <v>1087</v>
      </c>
      <c r="K255" s="6">
        <f t="shared" si="12"/>
        <v>14982</v>
      </c>
      <c r="L255" s="6">
        <f t="shared" si="13"/>
        <v>23914</v>
      </c>
      <c r="M255" s="6">
        <f t="shared" si="14"/>
        <v>8932</v>
      </c>
      <c r="N255" s="6" t="str">
        <f t="shared" si="15"/>
        <v>profit</v>
      </c>
    </row>
    <row r="256" spans="1:14" ht="16.5" thickTop="1" thickBot="1" x14ac:dyDescent="0.3">
      <c r="A256" s="4">
        <v>45637</v>
      </c>
      <c r="B256" s="4" t="s">
        <v>190</v>
      </c>
      <c r="C256" s="5" t="s">
        <v>198</v>
      </c>
      <c r="D256" s="5" t="s">
        <v>33</v>
      </c>
      <c r="E256" s="5" t="s">
        <v>99</v>
      </c>
      <c r="F256" s="5" t="s">
        <v>21</v>
      </c>
      <c r="G256" s="5" t="s">
        <v>28</v>
      </c>
      <c r="H256" s="5">
        <v>66</v>
      </c>
      <c r="I256" s="5">
        <v>888</v>
      </c>
      <c r="J256" s="5">
        <v>809</v>
      </c>
      <c r="K256" s="6">
        <f t="shared" si="12"/>
        <v>58608</v>
      </c>
      <c r="L256" s="6">
        <f t="shared" si="13"/>
        <v>53394</v>
      </c>
      <c r="M256" s="6">
        <f t="shared" si="14"/>
        <v>-5214</v>
      </c>
      <c r="N256" s="6" t="str">
        <f t="shared" si="15"/>
        <v>loss</v>
      </c>
    </row>
    <row r="257" spans="1:14" ht="16.5" thickTop="1" thickBot="1" x14ac:dyDescent="0.3">
      <c r="A257" s="4">
        <v>45523</v>
      </c>
      <c r="B257" s="4" t="s">
        <v>57</v>
      </c>
      <c r="C257" s="5" t="s">
        <v>199</v>
      </c>
      <c r="D257" s="5" t="s">
        <v>46</v>
      </c>
      <c r="E257" s="5" t="s">
        <v>118</v>
      </c>
      <c r="F257" s="5" t="s">
        <v>39</v>
      </c>
      <c r="G257" s="5" t="s">
        <v>28</v>
      </c>
      <c r="H257" s="5">
        <v>28</v>
      </c>
      <c r="I257" s="5">
        <v>923</v>
      </c>
      <c r="J257" s="5">
        <v>1395</v>
      </c>
      <c r="K257" s="6">
        <f t="shared" si="12"/>
        <v>25844</v>
      </c>
      <c r="L257" s="6">
        <f t="shared" si="13"/>
        <v>39060</v>
      </c>
      <c r="M257" s="6">
        <f t="shared" si="14"/>
        <v>13216</v>
      </c>
      <c r="N257" s="6" t="str">
        <f t="shared" si="15"/>
        <v>profit</v>
      </c>
    </row>
    <row r="258" spans="1:14" ht="16.5" thickTop="1" thickBot="1" x14ac:dyDescent="0.3">
      <c r="A258" s="4">
        <v>45524</v>
      </c>
      <c r="B258" s="4" t="s">
        <v>57</v>
      </c>
      <c r="C258" s="5" t="s">
        <v>105</v>
      </c>
      <c r="D258" s="5" t="s">
        <v>46</v>
      </c>
      <c r="E258" s="5" t="s">
        <v>118</v>
      </c>
      <c r="F258" s="5" t="s">
        <v>39</v>
      </c>
      <c r="G258" s="5" t="s">
        <v>19</v>
      </c>
      <c r="H258" s="5">
        <v>26</v>
      </c>
      <c r="I258" s="5">
        <v>999</v>
      </c>
      <c r="J258" s="5">
        <v>1112</v>
      </c>
      <c r="K258" s="6">
        <f t="shared" ref="K258:K321" si="16">H258*I258</f>
        <v>25974</v>
      </c>
      <c r="L258" s="6">
        <f t="shared" ref="L258:L321" si="17">H258*J258</f>
        <v>28912</v>
      </c>
      <c r="M258" s="6">
        <f t="shared" ref="M258:M321" si="18">L258-K258</f>
        <v>2938</v>
      </c>
      <c r="N258" s="6" t="str">
        <f t="shared" ref="N258:N321" si="19">IF(M258&gt;0,"profit","loss")</f>
        <v>profit</v>
      </c>
    </row>
    <row r="259" spans="1:14" ht="16.5" thickTop="1" thickBot="1" x14ac:dyDescent="0.3">
      <c r="A259" s="4">
        <v>45525</v>
      </c>
      <c r="B259" s="4" t="s">
        <v>57</v>
      </c>
      <c r="C259" s="5" t="s">
        <v>200</v>
      </c>
      <c r="D259" s="5" t="s">
        <v>46</v>
      </c>
      <c r="E259" s="5" t="s">
        <v>118</v>
      </c>
      <c r="F259" s="5" t="s">
        <v>64</v>
      </c>
      <c r="G259" s="5" t="s">
        <v>19</v>
      </c>
      <c r="H259" s="5">
        <v>30</v>
      </c>
      <c r="I259" s="5">
        <v>792</v>
      </c>
      <c r="J259" s="5">
        <v>1010</v>
      </c>
      <c r="K259" s="6">
        <f t="shared" si="16"/>
        <v>23760</v>
      </c>
      <c r="L259" s="6">
        <f t="shared" si="17"/>
        <v>30300</v>
      </c>
      <c r="M259" s="6">
        <f t="shared" si="18"/>
        <v>6540</v>
      </c>
      <c r="N259" s="6" t="str">
        <f t="shared" si="19"/>
        <v>profit</v>
      </c>
    </row>
    <row r="260" spans="1:14" ht="16.5" thickTop="1" thickBot="1" x14ac:dyDescent="0.3">
      <c r="A260" s="4">
        <v>45527</v>
      </c>
      <c r="B260" s="4" t="s">
        <v>57</v>
      </c>
      <c r="C260" s="5" t="s">
        <v>201</v>
      </c>
      <c r="D260" s="5" t="s">
        <v>46</v>
      </c>
      <c r="E260" s="5" t="s">
        <v>118</v>
      </c>
      <c r="F260" s="5" t="s">
        <v>60</v>
      </c>
      <c r="G260" s="5" t="s">
        <v>19</v>
      </c>
      <c r="H260" s="5">
        <v>22</v>
      </c>
      <c r="I260" s="5">
        <v>774</v>
      </c>
      <c r="J260" s="5">
        <v>1387</v>
      </c>
      <c r="K260" s="6">
        <f t="shared" si="16"/>
        <v>17028</v>
      </c>
      <c r="L260" s="6">
        <f t="shared" si="17"/>
        <v>30514</v>
      </c>
      <c r="M260" s="6">
        <f t="shared" si="18"/>
        <v>13486</v>
      </c>
      <c r="N260" s="6" t="str">
        <f t="shared" si="19"/>
        <v>profit</v>
      </c>
    </row>
    <row r="261" spans="1:14" ht="16.5" thickTop="1" thickBot="1" x14ac:dyDescent="0.3">
      <c r="A261" s="4">
        <v>45642</v>
      </c>
      <c r="B261" s="4" t="s">
        <v>190</v>
      </c>
      <c r="C261" s="5" t="s">
        <v>202</v>
      </c>
      <c r="D261" s="5" t="s">
        <v>33</v>
      </c>
      <c r="E261" s="5" t="s">
        <v>99</v>
      </c>
      <c r="F261" s="5" t="s">
        <v>39</v>
      </c>
      <c r="G261" s="5" t="s">
        <v>19</v>
      </c>
      <c r="H261" s="5">
        <v>56</v>
      </c>
      <c r="I261" s="5">
        <v>516</v>
      </c>
      <c r="J261" s="5">
        <v>1316</v>
      </c>
      <c r="K261" s="6">
        <f t="shared" si="16"/>
        <v>28896</v>
      </c>
      <c r="L261" s="6">
        <f t="shared" si="17"/>
        <v>73696</v>
      </c>
      <c r="M261" s="6">
        <f t="shared" si="18"/>
        <v>44800</v>
      </c>
      <c r="N261" s="6" t="str">
        <f t="shared" si="19"/>
        <v>profit</v>
      </c>
    </row>
    <row r="262" spans="1:14" ht="16.5" thickTop="1" thickBot="1" x14ac:dyDescent="0.3">
      <c r="A262" s="4">
        <v>45589</v>
      </c>
      <c r="B262" s="4" t="s">
        <v>85</v>
      </c>
      <c r="C262" s="5" t="s">
        <v>203</v>
      </c>
      <c r="D262" s="5" t="s">
        <v>46</v>
      </c>
      <c r="E262" s="5" t="s">
        <v>133</v>
      </c>
      <c r="F262" s="5" t="s">
        <v>60</v>
      </c>
      <c r="G262" s="5" t="s">
        <v>19</v>
      </c>
      <c r="H262" s="5">
        <v>20</v>
      </c>
      <c r="I262" s="5">
        <v>999</v>
      </c>
      <c r="J262" s="5">
        <v>1191</v>
      </c>
      <c r="K262" s="6">
        <f t="shared" si="16"/>
        <v>19980</v>
      </c>
      <c r="L262" s="6">
        <f t="shared" si="17"/>
        <v>23820</v>
      </c>
      <c r="M262" s="6">
        <f t="shared" si="18"/>
        <v>3840</v>
      </c>
      <c r="N262" s="6" t="str">
        <f t="shared" si="19"/>
        <v>profit</v>
      </c>
    </row>
    <row r="263" spans="1:14" ht="16.5" thickTop="1" thickBot="1" x14ac:dyDescent="0.3">
      <c r="A263" s="4">
        <v>45591</v>
      </c>
      <c r="B263" s="4" t="s">
        <v>85</v>
      </c>
      <c r="C263" s="5" t="s">
        <v>204</v>
      </c>
      <c r="D263" s="5" t="s">
        <v>46</v>
      </c>
      <c r="E263" s="5" t="s">
        <v>133</v>
      </c>
      <c r="F263" s="5" t="s">
        <v>30</v>
      </c>
      <c r="G263" s="5" t="s">
        <v>28</v>
      </c>
      <c r="H263" s="5">
        <v>29</v>
      </c>
      <c r="I263" s="5">
        <v>661</v>
      </c>
      <c r="J263" s="5">
        <v>1400</v>
      </c>
      <c r="K263" s="6">
        <f t="shared" si="16"/>
        <v>19169</v>
      </c>
      <c r="L263" s="6">
        <f t="shared" si="17"/>
        <v>40600</v>
      </c>
      <c r="M263" s="6">
        <f t="shared" si="18"/>
        <v>21431</v>
      </c>
      <c r="N263" s="6" t="str">
        <f t="shared" si="19"/>
        <v>profit</v>
      </c>
    </row>
    <row r="264" spans="1:14" ht="16.5" thickTop="1" thickBot="1" x14ac:dyDescent="0.3">
      <c r="A264" s="4">
        <v>45596</v>
      </c>
      <c r="B264" s="4" t="s">
        <v>85</v>
      </c>
      <c r="C264" s="5" t="s">
        <v>205</v>
      </c>
      <c r="D264" s="5" t="s">
        <v>46</v>
      </c>
      <c r="E264" s="5" t="s">
        <v>47</v>
      </c>
      <c r="F264" s="5" t="s">
        <v>18</v>
      </c>
      <c r="G264" s="5" t="s">
        <v>28</v>
      </c>
      <c r="H264" s="5">
        <v>30</v>
      </c>
      <c r="I264" s="5">
        <v>539</v>
      </c>
      <c r="J264" s="5">
        <v>1364</v>
      </c>
      <c r="K264" s="6">
        <f t="shared" si="16"/>
        <v>16170</v>
      </c>
      <c r="L264" s="6">
        <f t="shared" si="17"/>
        <v>40920</v>
      </c>
      <c r="M264" s="6">
        <f t="shared" si="18"/>
        <v>24750</v>
      </c>
      <c r="N264" s="6" t="str">
        <f t="shared" si="19"/>
        <v>profit</v>
      </c>
    </row>
    <row r="265" spans="1:14" ht="16.5" thickTop="1" thickBot="1" x14ac:dyDescent="0.3">
      <c r="A265" s="4">
        <v>45646</v>
      </c>
      <c r="B265" s="4" t="s">
        <v>190</v>
      </c>
      <c r="C265" s="5" t="s">
        <v>206</v>
      </c>
      <c r="D265" s="5" t="s">
        <v>33</v>
      </c>
      <c r="E265" s="5" t="s">
        <v>99</v>
      </c>
      <c r="F265" s="5" t="s">
        <v>39</v>
      </c>
      <c r="G265" s="5" t="s">
        <v>19</v>
      </c>
      <c r="H265" s="5">
        <v>60</v>
      </c>
      <c r="I265" s="5">
        <v>901</v>
      </c>
      <c r="J265" s="5">
        <v>1148</v>
      </c>
      <c r="K265" s="6">
        <f t="shared" si="16"/>
        <v>54060</v>
      </c>
      <c r="L265" s="6">
        <f t="shared" si="17"/>
        <v>68880</v>
      </c>
      <c r="M265" s="6">
        <f t="shared" si="18"/>
        <v>14820</v>
      </c>
      <c r="N265" s="6" t="str">
        <f t="shared" si="19"/>
        <v>profit</v>
      </c>
    </row>
    <row r="266" spans="1:14" ht="16.5" thickTop="1" thickBot="1" x14ac:dyDescent="0.3">
      <c r="A266" s="4">
        <v>45597</v>
      </c>
      <c r="B266" s="4" t="s">
        <v>161</v>
      </c>
      <c r="C266" s="5" t="s">
        <v>207</v>
      </c>
      <c r="D266" s="5" t="s">
        <v>46</v>
      </c>
      <c r="E266" s="5" t="s">
        <v>47</v>
      </c>
      <c r="F266" s="5" t="s">
        <v>21</v>
      </c>
      <c r="G266" s="5" t="s">
        <v>28</v>
      </c>
      <c r="H266" s="5">
        <v>26</v>
      </c>
      <c r="I266" s="5">
        <v>726</v>
      </c>
      <c r="J266" s="5">
        <v>1335</v>
      </c>
      <c r="K266" s="6">
        <f t="shared" si="16"/>
        <v>18876</v>
      </c>
      <c r="L266" s="6">
        <f t="shared" si="17"/>
        <v>34710</v>
      </c>
      <c r="M266" s="6">
        <f t="shared" si="18"/>
        <v>15834</v>
      </c>
      <c r="N266" s="6" t="str">
        <f t="shared" si="19"/>
        <v>profit</v>
      </c>
    </row>
    <row r="267" spans="1:14" ht="16.5" thickTop="1" thickBot="1" x14ac:dyDescent="0.3">
      <c r="A267" s="4">
        <v>45648</v>
      </c>
      <c r="B267" s="4" t="s">
        <v>190</v>
      </c>
      <c r="C267" s="5" t="s">
        <v>208</v>
      </c>
      <c r="D267" s="5" t="s">
        <v>33</v>
      </c>
      <c r="E267" s="5" t="s">
        <v>120</v>
      </c>
      <c r="F267" s="5" t="s">
        <v>113</v>
      </c>
      <c r="G267" s="5" t="s">
        <v>19</v>
      </c>
      <c r="H267" s="5">
        <v>50</v>
      </c>
      <c r="I267" s="5">
        <v>749</v>
      </c>
      <c r="J267" s="5">
        <v>1269</v>
      </c>
      <c r="K267" s="6">
        <f t="shared" si="16"/>
        <v>37450</v>
      </c>
      <c r="L267" s="6">
        <f t="shared" si="17"/>
        <v>63450</v>
      </c>
      <c r="M267" s="6">
        <f t="shared" si="18"/>
        <v>26000</v>
      </c>
      <c r="N267" s="6" t="str">
        <f t="shared" si="19"/>
        <v>profit</v>
      </c>
    </row>
    <row r="268" spans="1:14" ht="16.5" thickTop="1" thickBot="1" x14ac:dyDescent="0.3">
      <c r="A268" s="4">
        <v>45598</v>
      </c>
      <c r="B268" s="4" t="s">
        <v>161</v>
      </c>
      <c r="C268" s="5" t="s">
        <v>209</v>
      </c>
      <c r="D268" s="5" t="s">
        <v>46</v>
      </c>
      <c r="E268" s="5" t="s">
        <v>47</v>
      </c>
      <c r="F268" s="5" t="s">
        <v>23</v>
      </c>
      <c r="G268" s="5" t="s">
        <v>28</v>
      </c>
      <c r="H268" s="5">
        <v>29</v>
      </c>
      <c r="I268" s="5">
        <v>510</v>
      </c>
      <c r="J268" s="5">
        <v>1131</v>
      </c>
      <c r="K268" s="6">
        <f t="shared" si="16"/>
        <v>14790</v>
      </c>
      <c r="L268" s="6">
        <f t="shared" si="17"/>
        <v>32799</v>
      </c>
      <c r="M268" s="6">
        <f t="shared" si="18"/>
        <v>18009</v>
      </c>
      <c r="N268" s="6" t="str">
        <f t="shared" si="19"/>
        <v>profit</v>
      </c>
    </row>
    <row r="269" spans="1:14" ht="16.5" thickTop="1" thickBot="1" x14ac:dyDescent="0.3">
      <c r="A269" s="4">
        <v>45599</v>
      </c>
      <c r="B269" s="4" t="s">
        <v>161</v>
      </c>
      <c r="C269" s="5" t="s">
        <v>210</v>
      </c>
      <c r="D269" s="5" t="s">
        <v>46</v>
      </c>
      <c r="E269" s="5" t="s">
        <v>47</v>
      </c>
      <c r="F269" s="5" t="s">
        <v>25</v>
      </c>
      <c r="G269" s="5" t="s">
        <v>19</v>
      </c>
      <c r="H269" s="5">
        <v>27</v>
      </c>
      <c r="I269" s="5">
        <v>752</v>
      </c>
      <c r="J269" s="5">
        <v>1258</v>
      </c>
      <c r="K269" s="6">
        <f t="shared" si="16"/>
        <v>20304</v>
      </c>
      <c r="L269" s="6">
        <f t="shared" si="17"/>
        <v>33966</v>
      </c>
      <c r="M269" s="6">
        <f t="shared" si="18"/>
        <v>13662</v>
      </c>
      <c r="N269" s="6" t="str">
        <f t="shared" si="19"/>
        <v>profit</v>
      </c>
    </row>
    <row r="270" spans="1:14" ht="16.5" thickTop="1" thickBot="1" x14ac:dyDescent="0.3">
      <c r="A270" s="4">
        <v>45600</v>
      </c>
      <c r="B270" s="4" t="s">
        <v>161</v>
      </c>
      <c r="C270" s="5" t="s">
        <v>211</v>
      </c>
      <c r="D270" s="5" t="s">
        <v>46</v>
      </c>
      <c r="E270" s="5" t="s">
        <v>47</v>
      </c>
      <c r="F270" s="5" t="s">
        <v>25</v>
      </c>
      <c r="G270" s="5" t="s">
        <v>19</v>
      </c>
      <c r="H270" s="5">
        <v>28</v>
      </c>
      <c r="I270" s="5">
        <v>924</v>
      </c>
      <c r="J270" s="5">
        <v>847</v>
      </c>
      <c r="K270" s="6">
        <f t="shared" si="16"/>
        <v>25872</v>
      </c>
      <c r="L270" s="6">
        <f t="shared" si="17"/>
        <v>23716</v>
      </c>
      <c r="M270" s="6">
        <f t="shared" si="18"/>
        <v>-2156</v>
      </c>
      <c r="N270" s="6" t="str">
        <f t="shared" si="19"/>
        <v>loss</v>
      </c>
    </row>
    <row r="271" spans="1:14" ht="16.5" thickTop="1" thickBot="1" x14ac:dyDescent="0.3">
      <c r="A271" s="4">
        <v>45601</v>
      </c>
      <c r="B271" s="4" t="s">
        <v>161</v>
      </c>
      <c r="C271" s="5" t="s">
        <v>212</v>
      </c>
      <c r="D271" s="5" t="s">
        <v>46</v>
      </c>
      <c r="E271" s="5" t="s">
        <v>47</v>
      </c>
      <c r="F271" s="5" t="s">
        <v>27</v>
      </c>
      <c r="G271" s="5" t="s">
        <v>19</v>
      </c>
      <c r="H271" s="5">
        <v>26</v>
      </c>
      <c r="I271" s="5">
        <v>643</v>
      </c>
      <c r="J271" s="5">
        <v>1341</v>
      </c>
      <c r="K271" s="6">
        <f t="shared" si="16"/>
        <v>16718</v>
      </c>
      <c r="L271" s="6">
        <f t="shared" si="17"/>
        <v>34866</v>
      </c>
      <c r="M271" s="6">
        <f t="shared" si="18"/>
        <v>18148</v>
      </c>
      <c r="N271" s="6" t="str">
        <f t="shared" si="19"/>
        <v>profit</v>
      </c>
    </row>
    <row r="272" spans="1:14" ht="16.5" thickTop="1" thickBot="1" x14ac:dyDescent="0.3">
      <c r="A272" s="4">
        <v>45653</v>
      </c>
      <c r="B272" s="4" t="s">
        <v>190</v>
      </c>
      <c r="C272" s="5" t="s">
        <v>213</v>
      </c>
      <c r="D272" s="5" t="s">
        <v>33</v>
      </c>
      <c r="E272" s="5" t="s">
        <v>120</v>
      </c>
      <c r="F272" s="5" t="s">
        <v>21</v>
      </c>
      <c r="G272" s="5" t="s">
        <v>28</v>
      </c>
      <c r="H272" s="5">
        <v>59</v>
      </c>
      <c r="I272" s="5">
        <v>774</v>
      </c>
      <c r="J272" s="5">
        <v>1374</v>
      </c>
      <c r="K272" s="6">
        <f t="shared" si="16"/>
        <v>45666</v>
      </c>
      <c r="L272" s="6">
        <f t="shared" si="17"/>
        <v>81066</v>
      </c>
      <c r="M272" s="6">
        <f t="shared" si="18"/>
        <v>35400</v>
      </c>
      <c r="N272" s="6" t="str">
        <f t="shared" si="19"/>
        <v>profit</v>
      </c>
    </row>
    <row r="273" spans="1:14" ht="16.5" thickTop="1" thickBot="1" x14ac:dyDescent="0.3">
      <c r="A273" s="4">
        <v>45609</v>
      </c>
      <c r="B273" s="4" t="s">
        <v>161</v>
      </c>
      <c r="C273" s="5" t="s">
        <v>214</v>
      </c>
      <c r="D273" s="5" t="s">
        <v>46</v>
      </c>
      <c r="E273" s="5" t="s">
        <v>63</v>
      </c>
      <c r="F273" s="5" t="s">
        <v>76</v>
      </c>
      <c r="G273" s="5" t="s">
        <v>28</v>
      </c>
      <c r="H273" s="5">
        <v>23</v>
      </c>
      <c r="I273" s="5">
        <v>584</v>
      </c>
      <c r="J273" s="5">
        <v>1140</v>
      </c>
      <c r="K273" s="6">
        <f t="shared" si="16"/>
        <v>13432</v>
      </c>
      <c r="L273" s="6">
        <f t="shared" si="17"/>
        <v>26220</v>
      </c>
      <c r="M273" s="6">
        <f t="shared" si="18"/>
        <v>12788</v>
      </c>
      <c r="N273" s="6" t="str">
        <f t="shared" si="19"/>
        <v>profit</v>
      </c>
    </row>
    <row r="274" spans="1:14" ht="16.5" thickTop="1" thickBot="1" x14ac:dyDescent="0.3">
      <c r="A274" s="4">
        <v>45611</v>
      </c>
      <c r="B274" s="4" t="s">
        <v>161</v>
      </c>
      <c r="C274" s="5" t="s">
        <v>215</v>
      </c>
      <c r="D274" s="5" t="s">
        <v>46</v>
      </c>
      <c r="E274" s="5" t="s">
        <v>63</v>
      </c>
      <c r="F274" s="5" t="s">
        <v>35</v>
      </c>
      <c r="G274" s="5" t="s">
        <v>28</v>
      </c>
      <c r="H274" s="5">
        <v>21</v>
      </c>
      <c r="I274" s="5">
        <v>608</v>
      </c>
      <c r="J274" s="5">
        <v>983</v>
      </c>
      <c r="K274" s="6">
        <f t="shared" si="16"/>
        <v>12768</v>
      </c>
      <c r="L274" s="6">
        <f t="shared" si="17"/>
        <v>20643</v>
      </c>
      <c r="M274" s="6">
        <f t="shared" si="18"/>
        <v>7875</v>
      </c>
      <c r="N274" s="6" t="str">
        <f t="shared" si="19"/>
        <v>profit</v>
      </c>
    </row>
    <row r="275" spans="1:14" ht="16.5" thickTop="1" thickBot="1" x14ac:dyDescent="0.3">
      <c r="A275" s="4">
        <v>45612</v>
      </c>
      <c r="B275" s="4" t="s">
        <v>161</v>
      </c>
      <c r="C275" s="5" t="s">
        <v>216</v>
      </c>
      <c r="D275" s="5" t="s">
        <v>46</v>
      </c>
      <c r="E275" s="5" t="s">
        <v>63</v>
      </c>
      <c r="F275" s="5" t="s">
        <v>44</v>
      </c>
      <c r="G275" s="5" t="s">
        <v>28</v>
      </c>
      <c r="H275" s="5">
        <v>30</v>
      </c>
      <c r="I275" s="5">
        <v>712</v>
      </c>
      <c r="J275" s="5">
        <v>1311</v>
      </c>
      <c r="K275" s="6">
        <f t="shared" si="16"/>
        <v>21360</v>
      </c>
      <c r="L275" s="6">
        <f t="shared" si="17"/>
        <v>39330</v>
      </c>
      <c r="M275" s="6">
        <f t="shared" si="18"/>
        <v>17970</v>
      </c>
      <c r="N275" s="6" t="str">
        <f t="shared" si="19"/>
        <v>profit</v>
      </c>
    </row>
    <row r="276" spans="1:14" ht="16.5" thickTop="1" thickBot="1" x14ac:dyDescent="0.3">
      <c r="A276" s="4">
        <v>45613</v>
      </c>
      <c r="B276" s="4" t="s">
        <v>161</v>
      </c>
      <c r="C276" s="5" t="s">
        <v>217</v>
      </c>
      <c r="D276" s="5" t="s">
        <v>46</v>
      </c>
      <c r="E276" s="5" t="s">
        <v>63</v>
      </c>
      <c r="F276" s="5" t="s">
        <v>60</v>
      </c>
      <c r="G276" s="5" t="s">
        <v>28</v>
      </c>
      <c r="H276" s="5">
        <v>24</v>
      </c>
      <c r="I276" s="5">
        <v>672</v>
      </c>
      <c r="J276" s="5">
        <v>878</v>
      </c>
      <c r="K276" s="6">
        <f t="shared" si="16"/>
        <v>16128</v>
      </c>
      <c r="L276" s="6">
        <f t="shared" si="17"/>
        <v>21072</v>
      </c>
      <c r="M276" s="6">
        <f t="shared" si="18"/>
        <v>4944</v>
      </c>
      <c r="N276" s="6" t="str">
        <f t="shared" si="19"/>
        <v>profit</v>
      </c>
    </row>
    <row r="277" spans="1:14" ht="16.5" thickTop="1" thickBot="1" x14ac:dyDescent="0.3">
      <c r="A277" s="4">
        <v>45615</v>
      </c>
      <c r="B277" s="4" t="s">
        <v>161</v>
      </c>
      <c r="C277" s="5" t="s">
        <v>218</v>
      </c>
      <c r="D277" s="5" t="s">
        <v>46</v>
      </c>
      <c r="E277" s="5" t="s">
        <v>63</v>
      </c>
      <c r="F277" s="5" t="s">
        <v>39</v>
      </c>
      <c r="G277" s="5" t="s">
        <v>19</v>
      </c>
      <c r="H277" s="5">
        <v>29</v>
      </c>
      <c r="I277" s="5">
        <v>520</v>
      </c>
      <c r="J277" s="5">
        <v>770</v>
      </c>
      <c r="K277" s="6">
        <f t="shared" si="16"/>
        <v>15080</v>
      </c>
      <c r="L277" s="6">
        <f t="shared" si="17"/>
        <v>22330</v>
      </c>
      <c r="M277" s="6">
        <f t="shared" si="18"/>
        <v>7250</v>
      </c>
      <c r="N277" s="6" t="str">
        <f t="shared" si="19"/>
        <v>profit</v>
      </c>
    </row>
    <row r="278" spans="1:14" ht="16.5" thickTop="1" thickBot="1" x14ac:dyDescent="0.3">
      <c r="A278" s="4">
        <v>45617</v>
      </c>
      <c r="B278" s="4" t="s">
        <v>161</v>
      </c>
      <c r="C278" s="5" t="s">
        <v>219</v>
      </c>
      <c r="D278" s="5" t="s">
        <v>46</v>
      </c>
      <c r="E278" s="5" t="s">
        <v>63</v>
      </c>
      <c r="F278" s="5" t="s">
        <v>44</v>
      </c>
      <c r="G278" s="5" t="s">
        <v>28</v>
      </c>
      <c r="H278" s="5">
        <v>28</v>
      </c>
      <c r="I278" s="5">
        <v>884</v>
      </c>
      <c r="J278" s="5">
        <v>1165</v>
      </c>
      <c r="K278" s="6">
        <f t="shared" si="16"/>
        <v>24752</v>
      </c>
      <c r="L278" s="6">
        <f t="shared" si="17"/>
        <v>32620</v>
      </c>
      <c r="M278" s="6">
        <f t="shared" si="18"/>
        <v>7868</v>
      </c>
      <c r="N278" s="6" t="str">
        <f t="shared" si="19"/>
        <v>profit</v>
      </c>
    </row>
    <row r="279" spans="1:14" ht="16.5" thickTop="1" thickBot="1" x14ac:dyDescent="0.3">
      <c r="A279" s="4">
        <v>45660</v>
      </c>
      <c r="B279" s="4" t="s">
        <v>95</v>
      </c>
      <c r="C279" s="5" t="s">
        <v>220</v>
      </c>
      <c r="D279" s="5" t="s">
        <v>16</v>
      </c>
      <c r="E279" s="5" t="s">
        <v>17</v>
      </c>
      <c r="F279" s="5" t="s">
        <v>76</v>
      </c>
      <c r="G279" s="5" t="s">
        <v>19</v>
      </c>
      <c r="H279" s="5">
        <v>11</v>
      </c>
      <c r="I279" s="5">
        <v>562</v>
      </c>
      <c r="J279" s="5">
        <v>800</v>
      </c>
      <c r="K279" s="6">
        <f t="shared" si="16"/>
        <v>6182</v>
      </c>
      <c r="L279" s="6">
        <f t="shared" si="17"/>
        <v>8800</v>
      </c>
      <c r="M279" s="6">
        <f t="shared" si="18"/>
        <v>2618</v>
      </c>
      <c r="N279" s="6" t="str">
        <f t="shared" si="19"/>
        <v>profit</v>
      </c>
    </row>
    <row r="280" spans="1:14" ht="16.5" thickTop="1" thickBot="1" x14ac:dyDescent="0.3">
      <c r="A280" s="4">
        <v>45618</v>
      </c>
      <c r="B280" s="4" t="s">
        <v>161</v>
      </c>
      <c r="C280" s="5" t="s">
        <v>221</v>
      </c>
      <c r="D280" s="5" t="s">
        <v>46</v>
      </c>
      <c r="E280" s="5" t="s">
        <v>63</v>
      </c>
      <c r="F280" s="5" t="s">
        <v>27</v>
      </c>
      <c r="G280" s="5" t="s">
        <v>28</v>
      </c>
      <c r="H280" s="5">
        <v>25</v>
      </c>
      <c r="I280" s="5">
        <v>990</v>
      </c>
      <c r="J280" s="5">
        <v>868</v>
      </c>
      <c r="K280" s="6">
        <f t="shared" si="16"/>
        <v>24750</v>
      </c>
      <c r="L280" s="6">
        <f t="shared" si="17"/>
        <v>21700</v>
      </c>
      <c r="M280" s="6">
        <f t="shared" si="18"/>
        <v>-3050</v>
      </c>
      <c r="N280" s="6" t="str">
        <f t="shared" si="19"/>
        <v>loss</v>
      </c>
    </row>
    <row r="281" spans="1:14" ht="16.5" thickTop="1" thickBot="1" x14ac:dyDescent="0.3">
      <c r="A281" s="4">
        <v>45662</v>
      </c>
      <c r="B281" s="4" t="s">
        <v>95</v>
      </c>
      <c r="C281" s="5" t="s">
        <v>222</v>
      </c>
      <c r="D281" s="5" t="s">
        <v>16</v>
      </c>
      <c r="E281" s="5" t="s">
        <v>17</v>
      </c>
      <c r="F281" s="5" t="s">
        <v>44</v>
      </c>
      <c r="G281" s="5" t="s">
        <v>19</v>
      </c>
      <c r="H281" s="5">
        <v>15</v>
      </c>
      <c r="I281" s="5">
        <v>992</v>
      </c>
      <c r="J281" s="5">
        <v>1404</v>
      </c>
      <c r="K281" s="6">
        <f t="shared" si="16"/>
        <v>14880</v>
      </c>
      <c r="L281" s="6">
        <f t="shared" si="17"/>
        <v>21060</v>
      </c>
      <c r="M281" s="6">
        <f t="shared" si="18"/>
        <v>6180</v>
      </c>
      <c r="N281" s="6" t="str">
        <f t="shared" si="19"/>
        <v>profit</v>
      </c>
    </row>
    <row r="282" spans="1:14" ht="16.5" thickTop="1" thickBot="1" x14ac:dyDescent="0.3">
      <c r="A282" s="4">
        <v>45619</v>
      </c>
      <c r="B282" s="4" t="s">
        <v>161</v>
      </c>
      <c r="C282" s="5" t="s">
        <v>223</v>
      </c>
      <c r="D282" s="5" t="s">
        <v>46</v>
      </c>
      <c r="E282" s="5" t="s">
        <v>63</v>
      </c>
      <c r="F282" s="5" t="s">
        <v>44</v>
      </c>
      <c r="G282" s="5" t="s">
        <v>28</v>
      </c>
      <c r="H282" s="5">
        <v>22</v>
      </c>
      <c r="I282" s="5">
        <v>524</v>
      </c>
      <c r="J282" s="5">
        <v>1156</v>
      </c>
      <c r="K282" s="6">
        <f t="shared" si="16"/>
        <v>11528</v>
      </c>
      <c r="L282" s="6">
        <f t="shared" si="17"/>
        <v>25432</v>
      </c>
      <c r="M282" s="6">
        <f t="shared" si="18"/>
        <v>13904</v>
      </c>
      <c r="N282" s="6" t="str">
        <f t="shared" si="19"/>
        <v>profit</v>
      </c>
    </row>
    <row r="283" spans="1:14" ht="16.5" thickTop="1" thickBot="1" x14ac:dyDescent="0.3">
      <c r="A283" s="4">
        <v>45664</v>
      </c>
      <c r="B283" s="4" t="s">
        <v>95</v>
      </c>
      <c r="C283" s="5" t="s">
        <v>224</v>
      </c>
      <c r="D283" s="5" t="s">
        <v>16</v>
      </c>
      <c r="E283" s="5" t="s">
        <v>17</v>
      </c>
      <c r="F283" s="5" t="s">
        <v>23</v>
      </c>
      <c r="G283" s="5" t="s">
        <v>19</v>
      </c>
      <c r="H283" s="5">
        <v>11</v>
      </c>
      <c r="I283" s="5">
        <v>668</v>
      </c>
      <c r="J283" s="5">
        <v>1096</v>
      </c>
      <c r="K283" s="6">
        <f t="shared" si="16"/>
        <v>7348</v>
      </c>
      <c r="L283" s="6">
        <f t="shared" si="17"/>
        <v>12056</v>
      </c>
      <c r="M283" s="6">
        <f t="shared" si="18"/>
        <v>4708</v>
      </c>
      <c r="N283" s="6" t="str">
        <f t="shared" si="19"/>
        <v>profit</v>
      </c>
    </row>
    <row r="284" spans="1:14" ht="16.5" thickTop="1" thickBot="1" x14ac:dyDescent="0.3">
      <c r="A284" s="4">
        <v>45620</v>
      </c>
      <c r="B284" s="4" t="s">
        <v>161</v>
      </c>
      <c r="C284" s="5" t="s">
        <v>225</v>
      </c>
      <c r="D284" s="5" t="s">
        <v>46</v>
      </c>
      <c r="E284" s="5" t="s">
        <v>63</v>
      </c>
      <c r="F284" s="5" t="s">
        <v>49</v>
      </c>
      <c r="G284" s="5" t="s">
        <v>28</v>
      </c>
      <c r="H284" s="5">
        <v>26</v>
      </c>
      <c r="I284" s="5">
        <v>997</v>
      </c>
      <c r="J284" s="5">
        <v>982</v>
      </c>
      <c r="K284" s="6">
        <f t="shared" si="16"/>
        <v>25922</v>
      </c>
      <c r="L284" s="6">
        <f t="shared" si="17"/>
        <v>25532</v>
      </c>
      <c r="M284" s="6">
        <f t="shared" si="18"/>
        <v>-390</v>
      </c>
      <c r="N284" s="6" t="str">
        <f t="shared" si="19"/>
        <v>loss</v>
      </c>
    </row>
    <row r="285" spans="1:14" ht="16.5" thickTop="1" thickBot="1" x14ac:dyDescent="0.3">
      <c r="A285" s="4">
        <v>45621</v>
      </c>
      <c r="B285" s="4" t="s">
        <v>161</v>
      </c>
      <c r="C285" s="5" t="s">
        <v>226</v>
      </c>
      <c r="D285" s="5" t="s">
        <v>46</v>
      </c>
      <c r="E285" s="5" t="s">
        <v>63</v>
      </c>
      <c r="F285" s="5" t="s">
        <v>27</v>
      </c>
      <c r="G285" s="5" t="s">
        <v>28</v>
      </c>
      <c r="H285" s="5">
        <v>27</v>
      </c>
      <c r="I285" s="5">
        <v>922</v>
      </c>
      <c r="J285" s="5">
        <v>1284</v>
      </c>
      <c r="K285" s="6">
        <f t="shared" si="16"/>
        <v>24894</v>
      </c>
      <c r="L285" s="6">
        <f t="shared" si="17"/>
        <v>34668</v>
      </c>
      <c r="M285" s="6">
        <f t="shared" si="18"/>
        <v>9774</v>
      </c>
      <c r="N285" s="6" t="str">
        <f t="shared" si="19"/>
        <v>profit</v>
      </c>
    </row>
    <row r="286" spans="1:14" ht="16.5" thickTop="1" thickBot="1" x14ac:dyDescent="0.3">
      <c r="A286" s="4">
        <v>45622</v>
      </c>
      <c r="B286" s="4" t="s">
        <v>161</v>
      </c>
      <c r="C286" s="5" t="s">
        <v>227</v>
      </c>
      <c r="D286" s="5" t="s">
        <v>46</v>
      </c>
      <c r="E286" s="5" t="s">
        <v>63</v>
      </c>
      <c r="F286" s="5" t="s">
        <v>52</v>
      </c>
      <c r="G286" s="5" t="s">
        <v>19</v>
      </c>
      <c r="H286" s="5">
        <v>21</v>
      </c>
      <c r="I286" s="5">
        <v>978</v>
      </c>
      <c r="J286" s="5">
        <v>1139</v>
      </c>
      <c r="K286" s="6">
        <f t="shared" si="16"/>
        <v>20538</v>
      </c>
      <c r="L286" s="6">
        <f t="shared" si="17"/>
        <v>23919</v>
      </c>
      <c r="M286" s="6">
        <f t="shared" si="18"/>
        <v>3381</v>
      </c>
      <c r="N286" s="6" t="str">
        <f t="shared" si="19"/>
        <v>profit</v>
      </c>
    </row>
    <row r="287" spans="1:14" ht="16.5" thickTop="1" thickBot="1" x14ac:dyDescent="0.3">
      <c r="A287" s="4">
        <v>45623</v>
      </c>
      <c r="B287" s="4" t="s">
        <v>161</v>
      </c>
      <c r="C287" s="5" t="s">
        <v>228</v>
      </c>
      <c r="D287" s="5" t="s">
        <v>46</v>
      </c>
      <c r="E287" s="5" t="s">
        <v>63</v>
      </c>
      <c r="F287" s="5" t="s">
        <v>54</v>
      </c>
      <c r="G287" s="5" t="s">
        <v>19</v>
      </c>
      <c r="H287" s="5">
        <v>24</v>
      </c>
      <c r="I287" s="5">
        <v>830</v>
      </c>
      <c r="J287" s="5">
        <v>1355</v>
      </c>
      <c r="K287" s="6">
        <f t="shared" si="16"/>
        <v>19920</v>
      </c>
      <c r="L287" s="6">
        <f t="shared" si="17"/>
        <v>32520</v>
      </c>
      <c r="M287" s="6">
        <f t="shared" si="18"/>
        <v>12600</v>
      </c>
      <c r="N287" s="6" t="str">
        <f t="shared" si="19"/>
        <v>profit</v>
      </c>
    </row>
    <row r="288" spans="1:14" ht="16.5" thickTop="1" thickBot="1" x14ac:dyDescent="0.3">
      <c r="A288" s="4">
        <v>45624</v>
      </c>
      <c r="B288" s="4" t="s">
        <v>161</v>
      </c>
      <c r="C288" s="5" t="s">
        <v>229</v>
      </c>
      <c r="D288" s="5" t="s">
        <v>46</v>
      </c>
      <c r="E288" s="5" t="s">
        <v>118</v>
      </c>
      <c r="F288" s="5" t="s">
        <v>35</v>
      </c>
      <c r="G288" s="5" t="s">
        <v>19</v>
      </c>
      <c r="H288" s="5">
        <v>21</v>
      </c>
      <c r="I288" s="5">
        <v>751</v>
      </c>
      <c r="J288" s="5">
        <v>1498</v>
      </c>
      <c r="K288" s="6">
        <f t="shared" si="16"/>
        <v>15771</v>
      </c>
      <c r="L288" s="6">
        <f t="shared" si="17"/>
        <v>31458</v>
      </c>
      <c r="M288" s="6">
        <f t="shared" si="18"/>
        <v>15687</v>
      </c>
      <c r="N288" s="6" t="str">
        <f t="shared" si="19"/>
        <v>profit</v>
      </c>
    </row>
    <row r="289" spans="1:14" ht="16.5" thickTop="1" thickBot="1" x14ac:dyDescent="0.3">
      <c r="A289" s="4">
        <v>45625</v>
      </c>
      <c r="B289" s="4" t="s">
        <v>161</v>
      </c>
      <c r="C289" s="5" t="s">
        <v>230</v>
      </c>
      <c r="D289" s="5" t="s">
        <v>46</v>
      </c>
      <c r="E289" s="5" t="s">
        <v>118</v>
      </c>
      <c r="F289" s="5" t="s">
        <v>39</v>
      </c>
      <c r="G289" s="5" t="s">
        <v>19</v>
      </c>
      <c r="H289" s="5">
        <v>26</v>
      </c>
      <c r="I289" s="5">
        <v>520</v>
      </c>
      <c r="J289" s="5">
        <v>1261</v>
      </c>
      <c r="K289" s="6">
        <f t="shared" si="16"/>
        <v>13520</v>
      </c>
      <c r="L289" s="6">
        <f t="shared" si="17"/>
        <v>32786</v>
      </c>
      <c r="M289" s="6">
        <f t="shared" si="18"/>
        <v>19266</v>
      </c>
      <c r="N289" s="6" t="str">
        <f t="shared" si="19"/>
        <v>profit</v>
      </c>
    </row>
    <row r="290" spans="1:14" ht="16.5" thickTop="1" thickBot="1" x14ac:dyDescent="0.3">
      <c r="A290" s="4">
        <v>45671</v>
      </c>
      <c r="B290" s="4" t="s">
        <v>95</v>
      </c>
      <c r="C290" s="5" t="s">
        <v>231</v>
      </c>
      <c r="D290" s="5" t="s">
        <v>33</v>
      </c>
      <c r="E290" s="5" t="s">
        <v>120</v>
      </c>
      <c r="F290" s="5" t="s">
        <v>60</v>
      </c>
      <c r="G290" s="5" t="s">
        <v>28</v>
      </c>
      <c r="H290" s="5">
        <v>56</v>
      </c>
      <c r="I290" s="5">
        <v>685</v>
      </c>
      <c r="J290" s="5">
        <v>771</v>
      </c>
      <c r="K290" s="6">
        <f t="shared" si="16"/>
        <v>38360</v>
      </c>
      <c r="L290" s="6">
        <f t="shared" si="17"/>
        <v>43176</v>
      </c>
      <c r="M290" s="6">
        <f t="shared" si="18"/>
        <v>4816</v>
      </c>
      <c r="N290" s="6" t="str">
        <f t="shared" si="19"/>
        <v>profit</v>
      </c>
    </row>
    <row r="291" spans="1:14" ht="16.5" thickTop="1" thickBot="1" x14ac:dyDescent="0.3">
      <c r="A291" s="4">
        <v>45627</v>
      </c>
      <c r="B291" s="4" t="s">
        <v>190</v>
      </c>
      <c r="C291" s="5" t="s">
        <v>232</v>
      </c>
      <c r="D291" s="5" t="s">
        <v>46</v>
      </c>
      <c r="E291" s="5" t="s">
        <v>118</v>
      </c>
      <c r="F291" s="5" t="s">
        <v>64</v>
      </c>
      <c r="G291" s="5" t="s">
        <v>19</v>
      </c>
      <c r="H291" s="5">
        <v>21</v>
      </c>
      <c r="I291" s="5">
        <v>605</v>
      </c>
      <c r="J291" s="5">
        <v>1264</v>
      </c>
      <c r="K291" s="6">
        <f t="shared" si="16"/>
        <v>12705</v>
      </c>
      <c r="L291" s="6">
        <f t="shared" si="17"/>
        <v>26544</v>
      </c>
      <c r="M291" s="6">
        <f t="shared" si="18"/>
        <v>13839</v>
      </c>
      <c r="N291" s="6" t="str">
        <f t="shared" si="19"/>
        <v>profit</v>
      </c>
    </row>
    <row r="292" spans="1:14" ht="16.5" thickTop="1" thickBot="1" x14ac:dyDescent="0.3">
      <c r="A292" s="4">
        <v>45628</v>
      </c>
      <c r="B292" s="4" t="s">
        <v>190</v>
      </c>
      <c r="C292" s="5" t="s">
        <v>233</v>
      </c>
      <c r="D292" s="5" t="s">
        <v>46</v>
      </c>
      <c r="E292" s="5" t="s">
        <v>118</v>
      </c>
      <c r="F292" s="5" t="s">
        <v>64</v>
      </c>
      <c r="G292" s="5" t="s">
        <v>19</v>
      </c>
      <c r="H292" s="5">
        <v>20</v>
      </c>
      <c r="I292" s="5">
        <v>666</v>
      </c>
      <c r="J292" s="5">
        <v>1087</v>
      </c>
      <c r="K292" s="6">
        <f t="shared" si="16"/>
        <v>13320</v>
      </c>
      <c r="L292" s="6">
        <f t="shared" si="17"/>
        <v>21740</v>
      </c>
      <c r="M292" s="6">
        <f t="shared" si="18"/>
        <v>8420</v>
      </c>
      <c r="N292" s="6" t="str">
        <f t="shared" si="19"/>
        <v>profit</v>
      </c>
    </row>
    <row r="293" spans="1:14" ht="16.5" thickTop="1" thickBot="1" x14ac:dyDescent="0.3">
      <c r="A293" s="4">
        <v>45630</v>
      </c>
      <c r="B293" s="4" t="s">
        <v>190</v>
      </c>
      <c r="C293" s="5" t="s">
        <v>234</v>
      </c>
      <c r="D293" s="5" t="s">
        <v>46</v>
      </c>
      <c r="E293" s="5" t="s">
        <v>118</v>
      </c>
      <c r="F293" s="5" t="s">
        <v>39</v>
      </c>
      <c r="G293" s="5" t="s">
        <v>28</v>
      </c>
      <c r="H293" s="5">
        <v>23</v>
      </c>
      <c r="I293" s="5">
        <v>632</v>
      </c>
      <c r="J293" s="5">
        <v>762</v>
      </c>
      <c r="K293" s="6">
        <f t="shared" si="16"/>
        <v>14536</v>
      </c>
      <c r="L293" s="6">
        <f t="shared" si="17"/>
        <v>17526</v>
      </c>
      <c r="M293" s="6">
        <f t="shared" si="18"/>
        <v>2990</v>
      </c>
      <c r="N293" s="6" t="str">
        <f t="shared" si="19"/>
        <v>profit</v>
      </c>
    </row>
    <row r="294" spans="1:14" ht="16.5" thickTop="1" thickBot="1" x14ac:dyDescent="0.3">
      <c r="A294" s="4">
        <v>45631</v>
      </c>
      <c r="B294" s="4" t="s">
        <v>190</v>
      </c>
      <c r="C294" s="5" t="s">
        <v>235</v>
      </c>
      <c r="D294" s="5" t="s">
        <v>46</v>
      </c>
      <c r="E294" s="5" t="s">
        <v>118</v>
      </c>
      <c r="F294" s="5" t="s">
        <v>30</v>
      </c>
      <c r="G294" s="5" t="s">
        <v>28</v>
      </c>
      <c r="H294" s="5">
        <v>21</v>
      </c>
      <c r="I294" s="5">
        <v>540</v>
      </c>
      <c r="J294" s="5">
        <v>812</v>
      </c>
      <c r="K294" s="6">
        <f t="shared" si="16"/>
        <v>11340</v>
      </c>
      <c r="L294" s="6">
        <f t="shared" si="17"/>
        <v>17052</v>
      </c>
      <c r="M294" s="6">
        <f t="shared" si="18"/>
        <v>5712</v>
      </c>
      <c r="N294" s="6" t="str">
        <f t="shared" si="19"/>
        <v>profit</v>
      </c>
    </row>
    <row r="295" spans="1:14" ht="16.5" thickTop="1" thickBot="1" x14ac:dyDescent="0.3">
      <c r="A295" s="4">
        <v>45632</v>
      </c>
      <c r="B295" s="4" t="s">
        <v>190</v>
      </c>
      <c r="C295" s="5" t="s">
        <v>236</v>
      </c>
      <c r="D295" s="5" t="s">
        <v>46</v>
      </c>
      <c r="E295" s="5" t="s">
        <v>118</v>
      </c>
      <c r="F295" s="5" t="s">
        <v>113</v>
      </c>
      <c r="G295" s="5" t="s">
        <v>28</v>
      </c>
      <c r="H295" s="5">
        <v>30</v>
      </c>
      <c r="I295" s="5">
        <v>557</v>
      </c>
      <c r="J295" s="5">
        <v>886</v>
      </c>
      <c r="K295" s="6">
        <f t="shared" si="16"/>
        <v>16710</v>
      </c>
      <c r="L295" s="6">
        <f t="shared" si="17"/>
        <v>26580</v>
      </c>
      <c r="M295" s="6">
        <f t="shared" si="18"/>
        <v>9870</v>
      </c>
      <c r="N295" s="6" t="str">
        <f t="shared" si="19"/>
        <v>profit</v>
      </c>
    </row>
    <row r="296" spans="1:14" ht="16.5" thickTop="1" thickBot="1" x14ac:dyDescent="0.3">
      <c r="A296" s="4">
        <v>45677</v>
      </c>
      <c r="B296" s="4" t="s">
        <v>95</v>
      </c>
      <c r="C296" s="5" t="s">
        <v>129</v>
      </c>
      <c r="D296" s="5" t="s">
        <v>16</v>
      </c>
      <c r="E296" s="5" t="s">
        <v>37</v>
      </c>
      <c r="F296" s="5" t="s">
        <v>155</v>
      </c>
      <c r="G296" s="5" t="s">
        <v>19</v>
      </c>
      <c r="H296" s="5">
        <v>20</v>
      </c>
      <c r="I296" s="5">
        <v>803</v>
      </c>
      <c r="J296" s="5">
        <v>941</v>
      </c>
      <c r="K296" s="6">
        <f t="shared" si="16"/>
        <v>16060</v>
      </c>
      <c r="L296" s="6">
        <f t="shared" si="17"/>
        <v>18820</v>
      </c>
      <c r="M296" s="6">
        <f t="shared" si="18"/>
        <v>2760</v>
      </c>
      <c r="N296" s="6" t="str">
        <f t="shared" si="19"/>
        <v>profit</v>
      </c>
    </row>
    <row r="297" spans="1:14" ht="16.5" thickTop="1" thickBot="1" x14ac:dyDescent="0.3">
      <c r="A297" s="4">
        <v>45633</v>
      </c>
      <c r="B297" s="4" t="s">
        <v>190</v>
      </c>
      <c r="C297" s="5" t="s">
        <v>237</v>
      </c>
      <c r="D297" s="5" t="s">
        <v>46</v>
      </c>
      <c r="E297" s="5" t="s">
        <v>118</v>
      </c>
      <c r="F297" s="5" t="s">
        <v>44</v>
      </c>
      <c r="G297" s="5" t="s">
        <v>19</v>
      </c>
      <c r="H297" s="5">
        <v>24</v>
      </c>
      <c r="I297" s="5">
        <v>651</v>
      </c>
      <c r="J297" s="5">
        <v>1386</v>
      </c>
      <c r="K297" s="6">
        <f t="shared" si="16"/>
        <v>15624</v>
      </c>
      <c r="L297" s="6">
        <f t="shared" si="17"/>
        <v>33264</v>
      </c>
      <c r="M297" s="6">
        <f t="shared" si="18"/>
        <v>17640</v>
      </c>
      <c r="N297" s="6" t="str">
        <f t="shared" si="19"/>
        <v>profit</v>
      </c>
    </row>
    <row r="298" spans="1:14" ht="16.5" thickTop="1" thickBot="1" x14ac:dyDescent="0.3">
      <c r="A298" s="4">
        <v>45635</v>
      </c>
      <c r="B298" s="4" t="s">
        <v>190</v>
      </c>
      <c r="C298" s="5" t="s">
        <v>238</v>
      </c>
      <c r="D298" s="5" t="s">
        <v>46</v>
      </c>
      <c r="E298" s="5" t="s">
        <v>118</v>
      </c>
      <c r="F298" s="5" t="s">
        <v>155</v>
      </c>
      <c r="G298" s="5" t="s">
        <v>28</v>
      </c>
      <c r="H298" s="5">
        <v>20</v>
      </c>
      <c r="I298" s="5">
        <v>565</v>
      </c>
      <c r="J298" s="5">
        <v>943</v>
      </c>
      <c r="K298" s="6">
        <f t="shared" si="16"/>
        <v>11300</v>
      </c>
      <c r="L298" s="6">
        <f t="shared" si="17"/>
        <v>18860</v>
      </c>
      <c r="M298" s="6">
        <f t="shared" si="18"/>
        <v>7560</v>
      </c>
      <c r="N298" s="6" t="str">
        <f t="shared" si="19"/>
        <v>profit</v>
      </c>
    </row>
    <row r="299" spans="1:14" ht="16.5" thickTop="1" thickBot="1" x14ac:dyDescent="0.3">
      <c r="A299" s="4">
        <v>45689</v>
      </c>
      <c r="B299" s="4" t="s">
        <v>239</v>
      </c>
      <c r="C299" s="5" t="s">
        <v>240</v>
      </c>
      <c r="D299" s="5" t="s">
        <v>46</v>
      </c>
      <c r="E299" s="5" t="s">
        <v>118</v>
      </c>
      <c r="F299" s="5" t="s">
        <v>44</v>
      </c>
      <c r="G299" s="5" t="s">
        <v>19</v>
      </c>
      <c r="H299" s="5">
        <v>22</v>
      </c>
      <c r="I299" s="5">
        <v>810</v>
      </c>
      <c r="J299" s="5">
        <v>1201</v>
      </c>
      <c r="K299" s="6">
        <f t="shared" si="16"/>
        <v>17820</v>
      </c>
      <c r="L299" s="6">
        <f t="shared" si="17"/>
        <v>26422</v>
      </c>
      <c r="M299" s="6">
        <f t="shared" si="18"/>
        <v>8602</v>
      </c>
      <c r="N299" s="6" t="str">
        <f t="shared" si="19"/>
        <v>profit</v>
      </c>
    </row>
    <row r="300" spans="1:14" ht="16.5" thickTop="1" thickBot="1" x14ac:dyDescent="0.3">
      <c r="A300" s="4">
        <v>45690</v>
      </c>
      <c r="B300" s="4" t="s">
        <v>239</v>
      </c>
      <c r="C300" s="5" t="s">
        <v>241</v>
      </c>
      <c r="D300" s="5" t="s">
        <v>46</v>
      </c>
      <c r="E300" s="5" t="s">
        <v>118</v>
      </c>
      <c r="F300" s="5" t="s">
        <v>153</v>
      </c>
      <c r="G300" s="5" t="s">
        <v>19</v>
      </c>
      <c r="H300" s="5">
        <v>23</v>
      </c>
      <c r="I300" s="5">
        <v>827</v>
      </c>
      <c r="J300" s="5">
        <v>1185</v>
      </c>
      <c r="K300" s="6">
        <f t="shared" si="16"/>
        <v>19021</v>
      </c>
      <c r="L300" s="6">
        <f t="shared" si="17"/>
        <v>27255</v>
      </c>
      <c r="M300" s="6">
        <f t="shared" si="18"/>
        <v>8234</v>
      </c>
      <c r="N300" s="6" t="str">
        <f t="shared" si="19"/>
        <v>profit</v>
      </c>
    </row>
    <row r="301" spans="1:14" ht="16.5" thickTop="1" thickBot="1" x14ac:dyDescent="0.3">
      <c r="A301" s="4">
        <v>45691</v>
      </c>
      <c r="B301" s="4" t="s">
        <v>239</v>
      </c>
      <c r="C301" s="5" t="s">
        <v>242</v>
      </c>
      <c r="D301" s="5" t="s">
        <v>46</v>
      </c>
      <c r="E301" s="5" t="s">
        <v>118</v>
      </c>
      <c r="F301" s="5" t="s">
        <v>155</v>
      </c>
      <c r="G301" s="5" t="s">
        <v>19</v>
      </c>
      <c r="H301" s="5">
        <v>23</v>
      </c>
      <c r="I301" s="5">
        <v>570</v>
      </c>
      <c r="J301" s="5">
        <v>1230</v>
      </c>
      <c r="K301" s="6">
        <f t="shared" si="16"/>
        <v>13110</v>
      </c>
      <c r="L301" s="6">
        <f t="shared" si="17"/>
        <v>28290</v>
      </c>
      <c r="M301" s="6">
        <f t="shared" si="18"/>
        <v>15180</v>
      </c>
      <c r="N301" s="6" t="str">
        <f t="shared" si="19"/>
        <v>profit</v>
      </c>
    </row>
    <row r="302" spans="1:14" ht="16.5" thickTop="1" thickBot="1" x14ac:dyDescent="0.3">
      <c r="A302" s="4">
        <v>45683</v>
      </c>
      <c r="B302" s="4" t="s">
        <v>95</v>
      </c>
      <c r="C302" s="5" t="s">
        <v>243</v>
      </c>
      <c r="D302" s="5" t="s">
        <v>16</v>
      </c>
      <c r="E302" s="5" t="s">
        <v>37</v>
      </c>
      <c r="F302" s="5" t="s">
        <v>27</v>
      </c>
      <c r="G302" s="5" t="s">
        <v>19</v>
      </c>
      <c r="H302" s="5">
        <v>19</v>
      </c>
      <c r="I302" s="5">
        <v>911</v>
      </c>
      <c r="J302" s="5">
        <v>1116</v>
      </c>
      <c r="K302" s="6">
        <f t="shared" si="16"/>
        <v>17309</v>
      </c>
      <c r="L302" s="6">
        <f t="shared" si="17"/>
        <v>21204</v>
      </c>
      <c r="M302" s="6">
        <f t="shared" si="18"/>
        <v>3895</v>
      </c>
      <c r="N302" s="6" t="str">
        <f t="shared" si="19"/>
        <v>profit</v>
      </c>
    </row>
    <row r="303" spans="1:14" ht="16.5" thickTop="1" thickBot="1" x14ac:dyDescent="0.3">
      <c r="A303" s="4">
        <v>45692</v>
      </c>
      <c r="B303" s="4" t="s">
        <v>239</v>
      </c>
      <c r="C303" s="5" t="s">
        <v>244</v>
      </c>
      <c r="D303" s="5" t="s">
        <v>46</v>
      </c>
      <c r="E303" s="5" t="s">
        <v>118</v>
      </c>
      <c r="F303" s="5" t="s">
        <v>18</v>
      </c>
      <c r="G303" s="5" t="s">
        <v>28</v>
      </c>
      <c r="H303" s="5">
        <v>21</v>
      </c>
      <c r="I303" s="5">
        <v>938</v>
      </c>
      <c r="J303" s="5">
        <v>1275</v>
      </c>
      <c r="K303" s="6">
        <f t="shared" si="16"/>
        <v>19698</v>
      </c>
      <c r="L303" s="6">
        <f t="shared" si="17"/>
        <v>26775</v>
      </c>
      <c r="M303" s="6">
        <f t="shared" si="18"/>
        <v>7077</v>
      </c>
      <c r="N303" s="6" t="str">
        <f t="shared" si="19"/>
        <v>profit</v>
      </c>
    </row>
    <row r="304" spans="1:14" ht="16.5" thickTop="1" thickBot="1" x14ac:dyDescent="0.3">
      <c r="A304" s="4">
        <v>45693</v>
      </c>
      <c r="B304" s="4" t="s">
        <v>239</v>
      </c>
      <c r="C304" s="5" t="s">
        <v>245</v>
      </c>
      <c r="D304" s="5" t="s">
        <v>46</v>
      </c>
      <c r="E304" s="5" t="s">
        <v>118</v>
      </c>
      <c r="F304" s="5" t="s">
        <v>21</v>
      </c>
      <c r="G304" s="5" t="s">
        <v>28</v>
      </c>
      <c r="H304" s="5">
        <v>24</v>
      </c>
      <c r="I304" s="5">
        <v>993</v>
      </c>
      <c r="J304" s="5">
        <v>987</v>
      </c>
      <c r="K304" s="6">
        <f t="shared" si="16"/>
        <v>23832</v>
      </c>
      <c r="L304" s="6">
        <f t="shared" si="17"/>
        <v>23688</v>
      </c>
      <c r="M304" s="6">
        <f t="shared" si="18"/>
        <v>-144</v>
      </c>
      <c r="N304" s="6" t="str">
        <f t="shared" si="19"/>
        <v>loss</v>
      </c>
    </row>
    <row r="305" spans="1:14" ht="16.5" thickTop="1" thickBot="1" x14ac:dyDescent="0.3">
      <c r="A305" s="4">
        <v>45694</v>
      </c>
      <c r="B305" s="4" t="s">
        <v>239</v>
      </c>
      <c r="C305" s="5" t="s">
        <v>246</v>
      </c>
      <c r="D305" s="5" t="s">
        <v>46</v>
      </c>
      <c r="E305" s="5" t="s">
        <v>118</v>
      </c>
      <c r="F305" s="5" t="s">
        <v>23</v>
      </c>
      <c r="G305" s="5" t="s">
        <v>28</v>
      </c>
      <c r="H305" s="5">
        <v>20</v>
      </c>
      <c r="I305" s="5">
        <v>534</v>
      </c>
      <c r="J305" s="5">
        <v>1233</v>
      </c>
      <c r="K305" s="6">
        <f t="shared" si="16"/>
        <v>10680</v>
      </c>
      <c r="L305" s="6">
        <f t="shared" si="17"/>
        <v>24660</v>
      </c>
      <c r="M305" s="6">
        <f t="shared" si="18"/>
        <v>13980</v>
      </c>
      <c r="N305" s="6" t="str">
        <f t="shared" si="19"/>
        <v>profit</v>
      </c>
    </row>
    <row r="306" spans="1:14" ht="16.5" thickTop="1" thickBot="1" x14ac:dyDescent="0.3">
      <c r="A306" s="4">
        <v>45687</v>
      </c>
      <c r="B306" s="4" t="s">
        <v>95</v>
      </c>
      <c r="C306" s="5" t="s">
        <v>247</v>
      </c>
      <c r="D306" s="5" t="s">
        <v>16</v>
      </c>
      <c r="E306" s="5" t="s">
        <v>37</v>
      </c>
      <c r="F306" s="5" t="s">
        <v>30</v>
      </c>
      <c r="G306" s="5" t="s">
        <v>28</v>
      </c>
      <c r="H306" s="5">
        <v>10</v>
      </c>
      <c r="I306" s="5">
        <v>911</v>
      </c>
      <c r="J306" s="5">
        <v>1097</v>
      </c>
      <c r="K306" s="6">
        <f t="shared" si="16"/>
        <v>9110</v>
      </c>
      <c r="L306" s="6">
        <f t="shared" si="17"/>
        <v>10970</v>
      </c>
      <c r="M306" s="6">
        <f t="shared" si="18"/>
        <v>1860</v>
      </c>
      <c r="N306" s="6" t="str">
        <f t="shared" si="19"/>
        <v>profit</v>
      </c>
    </row>
    <row r="307" spans="1:14" ht="16.5" thickTop="1" thickBot="1" x14ac:dyDescent="0.3">
      <c r="A307" s="4">
        <v>45695</v>
      </c>
      <c r="B307" s="4" t="s">
        <v>239</v>
      </c>
      <c r="C307" s="5" t="s">
        <v>248</v>
      </c>
      <c r="D307" s="5" t="s">
        <v>46</v>
      </c>
      <c r="E307" s="5" t="s">
        <v>118</v>
      </c>
      <c r="F307" s="5" t="s">
        <v>25</v>
      </c>
      <c r="G307" s="5" t="s">
        <v>28</v>
      </c>
      <c r="H307" s="5">
        <v>23</v>
      </c>
      <c r="I307" s="5">
        <v>761</v>
      </c>
      <c r="J307" s="5">
        <v>901</v>
      </c>
      <c r="K307" s="6">
        <f t="shared" si="16"/>
        <v>17503</v>
      </c>
      <c r="L307" s="6">
        <f t="shared" si="17"/>
        <v>20723</v>
      </c>
      <c r="M307" s="6">
        <f t="shared" si="18"/>
        <v>3220</v>
      </c>
      <c r="N307" s="6" t="str">
        <f t="shared" si="19"/>
        <v>profit</v>
      </c>
    </row>
    <row r="308" spans="1:14" ht="16.5" thickTop="1" thickBot="1" x14ac:dyDescent="0.3">
      <c r="A308" s="4">
        <v>45696</v>
      </c>
      <c r="B308" s="4" t="s">
        <v>239</v>
      </c>
      <c r="C308" s="5" t="s">
        <v>249</v>
      </c>
      <c r="D308" s="5" t="s">
        <v>46</v>
      </c>
      <c r="E308" s="5" t="s">
        <v>118</v>
      </c>
      <c r="F308" s="5" t="s">
        <v>25</v>
      </c>
      <c r="G308" s="5" t="s">
        <v>28</v>
      </c>
      <c r="H308" s="5">
        <v>23</v>
      </c>
      <c r="I308" s="5">
        <v>701</v>
      </c>
      <c r="J308" s="5">
        <v>1322</v>
      </c>
      <c r="K308" s="6">
        <f t="shared" si="16"/>
        <v>16123</v>
      </c>
      <c r="L308" s="6">
        <f t="shared" si="17"/>
        <v>30406</v>
      </c>
      <c r="M308" s="6">
        <f t="shared" si="18"/>
        <v>14283</v>
      </c>
      <c r="N308" s="6" t="str">
        <f t="shared" si="19"/>
        <v>profit</v>
      </c>
    </row>
    <row r="309" spans="1:14" ht="16.5" thickTop="1" thickBot="1" x14ac:dyDescent="0.3">
      <c r="A309" s="4">
        <v>45697</v>
      </c>
      <c r="B309" s="4" t="s">
        <v>239</v>
      </c>
      <c r="C309" s="5" t="s">
        <v>250</v>
      </c>
      <c r="D309" s="5" t="s">
        <v>46</v>
      </c>
      <c r="E309" s="5" t="s">
        <v>118</v>
      </c>
      <c r="F309" s="5" t="s">
        <v>27</v>
      </c>
      <c r="G309" s="5" t="s">
        <v>19</v>
      </c>
      <c r="H309" s="5">
        <v>25</v>
      </c>
      <c r="I309" s="5">
        <v>541</v>
      </c>
      <c r="J309" s="5">
        <v>1090</v>
      </c>
      <c r="K309" s="6">
        <f t="shared" si="16"/>
        <v>13525</v>
      </c>
      <c r="L309" s="6">
        <f t="shared" si="17"/>
        <v>27250</v>
      </c>
      <c r="M309" s="6">
        <f t="shared" si="18"/>
        <v>13725</v>
      </c>
      <c r="N309" s="6" t="str">
        <f t="shared" si="19"/>
        <v>profit</v>
      </c>
    </row>
    <row r="310" spans="1:14" ht="16.5" thickTop="1" thickBot="1" x14ac:dyDescent="0.3">
      <c r="A310" s="4">
        <v>45699</v>
      </c>
      <c r="B310" s="4" t="s">
        <v>239</v>
      </c>
      <c r="C310" s="5" t="s">
        <v>251</v>
      </c>
      <c r="D310" s="5" t="s">
        <v>46</v>
      </c>
      <c r="E310" s="5" t="s">
        <v>118</v>
      </c>
      <c r="F310" s="5" t="s">
        <v>35</v>
      </c>
      <c r="G310" s="5" t="s">
        <v>19</v>
      </c>
      <c r="H310" s="5">
        <v>28</v>
      </c>
      <c r="I310" s="5">
        <v>708</v>
      </c>
      <c r="J310" s="5">
        <v>1358</v>
      </c>
      <c r="K310" s="6">
        <f t="shared" si="16"/>
        <v>19824</v>
      </c>
      <c r="L310" s="6">
        <f t="shared" si="17"/>
        <v>38024</v>
      </c>
      <c r="M310" s="6">
        <f t="shared" si="18"/>
        <v>18200</v>
      </c>
      <c r="N310" s="6" t="str">
        <f t="shared" si="19"/>
        <v>profit</v>
      </c>
    </row>
    <row r="311" spans="1:14" ht="16.5" thickTop="1" thickBot="1" x14ac:dyDescent="0.3">
      <c r="A311" s="4">
        <v>45383</v>
      </c>
      <c r="B311" s="4" t="s">
        <v>31</v>
      </c>
      <c r="C311" s="5" t="s">
        <v>131</v>
      </c>
      <c r="D311" s="5" t="s">
        <v>46</v>
      </c>
      <c r="E311" s="5" t="s">
        <v>47</v>
      </c>
      <c r="F311" s="5" t="s">
        <v>71</v>
      </c>
      <c r="G311" s="5" t="s">
        <v>28</v>
      </c>
      <c r="H311" s="5">
        <v>28</v>
      </c>
      <c r="I311" s="5">
        <v>826</v>
      </c>
      <c r="J311" s="5">
        <v>929</v>
      </c>
      <c r="K311" s="6">
        <f t="shared" si="16"/>
        <v>23128</v>
      </c>
      <c r="L311" s="6">
        <f t="shared" si="17"/>
        <v>26012</v>
      </c>
      <c r="M311" s="6">
        <f t="shared" si="18"/>
        <v>2884</v>
      </c>
      <c r="N311" s="6" t="str">
        <f t="shared" si="19"/>
        <v>profit</v>
      </c>
    </row>
    <row r="312" spans="1:14" ht="16.5" thickTop="1" thickBot="1" x14ac:dyDescent="0.3">
      <c r="A312" s="4">
        <v>45384</v>
      </c>
      <c r="B312" s="4" t="s">
        <v>31</v>
      </c>
      <c r="C312" s="5" t="s">
        <v>132</v>
      </c>
      <c r="D312" s="5" t="s">
        <v>46</v>
      </c>
      <c r="E312" s="5" t="s">
        <v>133</v>
      </c>
      <c r="F312" s="5" t="s">
        <v>44</v>
      </c>
      <c r="G312" s="5" t="s">
        <v>28</v>
      </c>
      <c r="H312" s="5">
        <v>25</v>
      </c>
      <c r="I312" s="5">
        <v>952</v>
      </c>
      <c r="J312" s="5">
        <v>1261</v>
      </c>
      <c r="K312" s="6">
        <f t="shared" si="16"/>
        <v>23800</v>
      </c>
      <c r="L312" s="6">
        <f t="shared" si="17"/>
        <v>31525</v>
      </c>
      <c r="M312" s="6">
        <f t="shared" si="18"/>
        <v>7725</v>
      </c>
      <c r="N312" s="6" t="str">
        <f t="shared" si="19"/>
        <v>profit</v>
      </c>
    </row>
    <row r="313" spans="1:14" ht="16.5" thickTop="1" thickBot="1" x14ac:dyDescent="0.3">
      <c r="A313" s="4">
        <v>45385</v>
      </c>
      <c r="B313" s="4" t="s">
        <v>31</v>
      </c>
      <c r="C313" s="5" t="s">
        <v>134</v>
      </c>
      <c r="D313" s="5" t="s">
        <v>46</v>
      </c>
      <c r="E313" s="5" t="s">
        <v>133</v>
      </c>
      <c r="F313" s="5" t="s">
        <v>25</v>
      </c>
      <c r="G313" s="5" t="s">
        <v>28</v>
      </c>
      <c r="H313" s="5">
        <v>20</v>
      </c>
      <c r="I313" s="5">
        <v>940</v>
      </c>
      <c r="J313" s="5">
        <v>1259</v>
      </c>
      <c r="K313" s="6">
        <f t="shared" si="16"/>
        <v>18800</v>
      </c>
      <c r="L313" s="6">
        <f t="shared" si="17"/>
        <v>25180</v>
      </c>
      <c r="M313" s="6">
        <f t="shared" si="18"/>
        <v>6380</v>
      </c>
      <c r="N313" s="6" t="str">
        <f t="shared" si="19"/>
        <v>profit</v>
      </c>
    </row>
    <row r="314" spans="1:14" ht="16.5" thickTop="1" thickBot="1" x14ac:dyDescent="0.3">
      <c r="A314" s="4">
        <v>45386</v>
      </c>
      <c r="B314" s="4" t="s">
        <v>31</v>
      </c>
      <c r="C314" s="5" t="s">
        <v>136</v>
      </c>
      <c r="D314" s="5" t="s">
        <v>46</v>
      </c>
      <c r="E314" s="5" t="s">
        <v>133</v>
      </c>
      <c r="F314" s="5" t="s">
        <v>64</v>
      </c>
      <c r="G314" s="5" t="s">
        <v>28</v>
      </c>
      <c r="H314" s="5">
        <v>22</v>
      </c>
      <c r="I314" s="5">
        <v>785</v>
      </c>
      <c r="J314" s="5">
        <v>1292</v>
      </c>
      <c r="K314" s="6">
        <f t="shared" si="16"/>
        <v>17270</v>
      </c>
      <c r="L314" s="6">
        <f t="shared" si="17"/>
        <v>28424</v>
      </c>
      <c r="M314" s="6">
        <f t="shared" si="18"/>
        <v>11154</v>
      </c>
      <c r="N314" s="6" t="str">
        <f t="shared" si="19"/>
        <v>profit</v>
      </c>
    </row>
    <row r="315" spans="1:14" ht="16.5" thickTop="1" thickBot="1" x14ac:dyDescent="0.3">
      <c r="A315" s="4">
        <v>45391</v>
      </c>
      <c r="B315" s="4" t="s">
        <v>31</v>
      </c>
      <c r="C315" s="5" t="s">
        <v>137</v>
      </c>
      <c r="D315" s="5" t="s">
        <v>46</v>
      </c>
      <c r="E315" s="5" t="s">
        <v>47</v>
      </c>
      <c r="F315" s="5" t="s">
        <v>60</v>
      </c>
      <c r="G315" s="5" t="s">
        <v>19</v>
      </c>
      <c r="H315" s="5">
        <v>21</v>
      </c>
      <c r="I315" s="5">
        <v>879</v>
      </c>
      <c r="J315" s="5">
        <v>1019</v>
      </c>
      <c r="K315" s="6">
        <f t="shared" si="16"/>
        <v>18459</v>
      </c>
      <c r="L315" s="6">
        <f t="shared" si="17"/>
        <v>21399</v>
      </c>
      <c r="M315" s="6">
        <f t="shared" si="18"/>
        <v>2940</v>
      </c>
      <c r="N315" s="6" t="str">
        <f t="shared" si="19"/>
        <v>profit</v>
      </c>
    </row>
    <row r="316" spans="1:14" ht="16.5" thickTop="1" thickBot="1" x14ac:dyDescent="0.3">
      <c r="A316" s="4">
        <v>45392</v>
      </c>
      <c r="B316" s="4" t="s">
        <v>31</v>
      </c>
      <c r="C316" s="5" t="s">
        <v>138</v>
      </c>
      <c r="D316" s="5" t="s">
        <v>46</v>
      </c>
      <c r="E316" s="5" t="s">
        <v>47</v>
      </c>
      <c r="F316" s="5" t="s">
        <v>35</v>
      </c>
      <c r="G316" s="5" t="s">
        <v>19</v>
      </c>
      <c r="H316" s="5">
        <v>28</v>
      </c>
      <c r="I316" s="5">
        <v>937</v>
      </c>
      <c r="J316" s="5">
        <v>872</v>
      </c>
      <c r="K316" s="6">
        <f t="shared" si="16"/>
        <v>26236</v>
      </c>
      <c r="L316" s="6">
        <f t="shared" si="17"/>
        <v>24416</v>
      </c>
      <c r="M316" s="6">
        <f t="shared" si="18"/>
        <v>-1820</v>
      </c>
      <c r="N316" s="6" t="str">
        <f t="shared" si="19"/>
        <v>loss</v>
      </c>
    </row>
    <row r="317" spans="1:14" ht="16.5" thickTop="1" thickBot="1" x14ac:dyDescent="0.3">
      <c r="A317" s="4">
        <v>45698</v>
      </c>
      <c r="B317" s="4" t="s">
        <v>239</v>
      </c>
      <c r="C317" s="5" t="s">
        <v>252</v>
      </c>
      <c r="D317" s="5" t="s">
        <v>46</v>
      </c>
      <c r="E317" s="5" t="s">
        <v>118</v>
      </c>
      <c r="F317" s="5" t="s">
        <v>30</v>
      </c>
      <c r="G317" s="5" t="s">
        <v>19</v>
      </c>
      <c r="H317" s="5">
        <v>26</v>
      </c>
      <c r="I317" s="5">
        <v>751</v>
      </c>
      <c r="J317" s="5">
        <v>1292</v>
      </c>
      <c r="K317" s="6">
        <f t="shared" si="16"/>
        <v>19526</v>
      </c>
      <c r="L317" s="6">
        <f t="shared" si="17"/>
        <v>33592</v>
      </c>
      <c r="M317" s="6">
        <f t="shared" si="18"/>
        <v>14066</v>
      </c>
      <c r="N317" s="6" t="str">
        <f t="shared" si="19"/>
        <v>profit</v>
      </c>
    </row>
    <row r="318" spans="1:14" ht="16.5" thickTop="1" thickBot="1" x14ac:dyDescent="0.3">
      <c r="A318" s="4">
        <v>45393</v>
      </c>
      <c r="B318" s="4" t="s">
        <v>31</v>
      </c>
      <c r="C318" s="5" t="s">
        <v>139</v>
      </c>
      <c r="D318" s="5" t="s">
        <v>46</v>
      </c>
      <c r="E318" s="5" t="s">
        <v>47</v>
      </c>
      <c r="F318" s="5" t="s">
        <v>39</v>
      </c>
      <c r="G318" s="5" t="s">
        <v>19</v>
      </c>
      <c r="H318" s="5">
        <v>22</v>
      </c>
      <c r="I318" s="5">
        <v>832</v>
      </c>
      <c r="J318" s="5">
        <v>769</v>
      </c>
      <c r="K318" s="6">
        <f t="shared" si="16"/>
        <v>18304</v>
      </c>
      <c r="L318" s="6">
        <f t="shared" si="17"/>
        <v>16918</v>
      </c>
      <c r="M318" s="6">
        <f t="shared" si="18"/>
        <v>-1386</v>
      </c>
      <c r="N318" s="6" t="str">
        <f t="shared" si="19"/>
        <v>loss</v>
      </c>
    </row>
    <row r="319" spans="1:14" ht="16.5" thickTop="1" thickBot="1" x14ac:dyDescent="0.3">
      <c r="A319" s="4">
        <v>45394</v>
      </c>
      <c r="B319" s="4" t="s">
        <v>31</v>
      </c>
      <c r="C319" s="5" t="s">
        <v>141</v>
      </c>
      <c r="D319" s="5" t="s">
        <v>46</v>
      </c>
      <c r="E319" s="5" t="s">
        <v>47</v>
      </c>
      <c r="F319" s="5" t="s">
        <v>39</v>
      </c>
      <c r="G319" s="5" t="s">
        <v>19</v>
      </c>
      <c r="H319" s="5">
        <v>28</v>
      </c>
      <c r="I319" s="5">
        <v>832</v>
      </c>
      <c r="J319" s="5">
        <v>1028</v>
      </c>
      <c r="K319" s="6">
        <f t="shared" si="16"/>
        <v>23296</v>
      </c>
      <c r="L319" s="6">
        <f t="shared" si="17"/>
        <v>28784</v>
      </c>
      <c r="M319" s="6">
        <f t="shared" si="18"/>
        <v>5488</v>
      </c>
      <c r="N319" s="6" t="str">
        <f t="shared" si="19"/>
        <v>profit</v>
      </c>
    </row>
    <row r="320" spans="1:14" ht="16.5" thickTop="1" thickBot="1" x14ac:dyDescent="0.3">
      <c r="A320" s="4">
        <v>45396</v>
      </c>
      <c r="B320" s="4" t="s">
        <v>31</v>
      </c>
      <c r="C320" s="5" t="s">
        <v>142</v>
      </c>
      <c r="D320" s="5" t="s">
        <v>46</v>
      </c>
      <c r="E320" s="5" t="s">
        <v>47</v>
      </c>
      <c r="F320" s="5" t="s">
        <v>27</v>
      </c>
      <c r="G320" s="5" t="s">
        <v>19</v>
      </c>
      <c r="H320" s="5">
        <v>22</v>
      </c>
      <c r="I320" s="5">
        <v>622</v>
      </c>
      <c r="J320" s="5">
        <v>822</v>
      </c>
      <c r="K320" s="6">
        <f t="shared" si="16"/>
        <v>13684</v>
      </c>
      <c r="L320" s="6">
        <f t="shared" si="17"/>
        <v>18084</v>
      </c>
      <c r="M320" s="6">
        <f t="shared" si="18"/>
        <v>4400</v>
      </c>
      <c r="N320" s="6" t="str">
        <f t="shared" si="19"/>
        <v>profit</v>
      </c>
    </row>
    <row r="321" spans="1:14" ht="16.5" thickTop="1" thickBot="1" x14ac:dyDescent="0.3">
      <c r="A321" s="4">
        <v>45702</v>
      </c>
      <c r="B321" s="4" t="s">
        <v>239</v>
      </c>
      <c r="C321" s="5" t="s">
        <v>253</v>
      </c>
      <c r="D321" s="5" t="s">
        <v>33</v>
      </c>
      <c r="E321" s="5" t="s">
        <v>99</v>
      </c>
      <c r="F321" s="5" t="s">
        <v>64</v>
      </c>
      <c r="G321" s="5" t="s">
        <v>19</v>
      </c>
      <c r="H321" s="5">
        <v>55</v>
      </c>
      <c r="I321" s="5">
        <v>856</v>
      </c>
      <c r="J321" s="5">
        <v>756</v>
      </c>
      <c r="K321" s="6">
        <f t="shared" si="16"/>
        <v>47080</v>
      </c>
      <c r="L321" s="6">
        <f t="shared" si="17"/>
        <v>41580</v>
      </c>
      <c r="M321" s="6">
        <f t="shared" si="18"/>
        <v>-5500</v>
      </c>
      <c r="N321" s="6" t="str">
        <f t="shared" si="19"/>
        <v>loss</v>
      </c>
    </row>
    <row r="322" spans="1:14" ht="16.5" thickTop="1" thickBot="1" x14ac:dyDescent="0.3">
      <c r="A322" s="4">
        <v>45404</v>
      </c>
      <c r="B322" s="4" t="s">
        <v>31</v>
      </c>
      <c r="C322" s="5" t="s">
        <v>144</v>
      </c>
      <c r="D322" s="5" t="s">
        <v>46</v>
      </c>
      <c r="E322" s="5" t="s">
        <v>63</v>
      </c>
      <c r="F322" s="5" t="s">
        <v>39</v>
      </c>
      <c r="G322" s="5" t="s">
        <v>28</v>
      </c>
      <c r="H322" s="5">
        <v>23</v>
      </c>
      <c r="I322" s="5">
        <v>663</v>
      </c>
      <c r="J322" s="5">
        <v>1153</v>
      </c>
      <c r="K322" s="6">
        <f t="shared" ref="K322:K385" si="20">H322*I322</f>
        <v>15249</v>
      </c>
      <c r="L322" s="6">
        <f t="shared" ref="L322:L385" si="21">H322*J322</f>
        <v>26519</v>
      </c>
      <c r="M322" s="6">
        <f t="shared" ref="M322:M385" si="22">L322-K322</f>
        <v>11270</v>
      </c>
      <c r="N322" s="6" t="str">
        <f t="shared" ref="N322:N385" si="23">IF(M322&gt;0,"profit","loss")</f>
        <v>profit</v>
      </c>
    </row>
    <row r="323" spans="1:14" ht="16.5" thickTop="1" thickBot="1" x14ac:dyDescent="0.3">
      <c r="A323" s="4">
        <v>45406</v>
      </c>
      <c r="B323" s="4" t="s">
        <v>31</v>
      </c>
      <c r="C323" s="5" t="s">
        <v>146</v>
      </c>
      <c r="D323" s="5" t="s">
        <v>46</v>
      </c>
      <c r="E323" s="5" t="s">
        <v>63</v>
      </c>
      <c r="F323" s="5" t="s">
        <v>64</v>
      </c>
      <c r="G323" s="5" t="s">
        <v>28</v>
      </c>
      <c r="H323" s="5">
        <v>23</v>
      </c>
      <c r="I323" s="5">
        <v>779</v>
      </c>
      <c r="J323" s="5">
        <v>1415</v>
      </c>
      <c r="K323" s="6">
        <f t="shared" si="20"/>
        <v>17917</v>
      </c>
      <c r="L323" s="6">
        <f t="shared" si="21"/>
        <v>32545</v>
      </c>
      <c r="M323" s="6">
        <f t="shared" si="22"/>
        <v>14628</v>
      </c>
      <c r="N323" s="6" t="str">
        <f t="shared" si="23"/>
        <v>profit</v>
      </c>
    </row>
    <row r="324" spans="1:14" ht="16.5" thickTop="1" thickBot="1" x14ac:dyDescent="0.3">
      <c r="A324" s="4">
        <v>45408</v>
      </c>
      <c r="B324" s="4" t="s">
        <v>31</v>
      </c>
      <c r="C324" s="5" t="s">
        <v>148</v>
      </c>
      <c r="D324" s="5" t="s">
        <v>46</v>
      </c>
      <c r="E324" s="5" t="s">
        <v>63</v>
      </c>
      <c r="F324" s="5" t="s">
        <v>39</v>
      </c>
      <c r="G324" s="5" t="s">
        <v>19</v>
      </c>
      <c r="H324" s="5">
        <v>29</v>
      </c>
      <c r="I324" s="5">
        <v>952</v>
      </c>
      <c r="J324" s="5">
        <v>1428</v>
      </c>
      <c r="K324" s="6">
        <f t="shared" si="20"/>
        <v>27608</v>
      </c>
      <c r="L324" s="6">
        <f t="shared" si="21"/>
        <v>41412</v>
      </c>
      <c r="M324" s="6">
        <f t="shared" si="22"/>
        <v>13804</v>
      </c>
      <c r="N324" s="6" t="str">
        <f t="shared" si="23"/>
        <v>profit</v>
      </c>
    </row>
    <row r="325" spans="1:14" ht="16.5" thickTop="1" thickBot="1" x14ac:dyDescent="0.3">
      <c r="A325" s="4">
        <v>45409</v>
      </c>
      <c r="B325" s="4" t="s">
        <v>31</v>
      </c>
      <c r="C325" s="5" t="s">
        <v>149</v>
      </c>
      <c r="D325" s="5" t="s">
        <v>46</v>
      </c>
      <c r="E325" s="5" t="s">
        <v>63</v>
      </c>
      <c r="F325" s="5" t="s">
        <v>30</v>
      </c>
      <c r="G325" s="5" t="s">
        <v>19</v>
      </c>
      <c r="H325" s="5">
        <v>26</v>
      </c>
      <c r="I325" s="5">
        <v>983</v>
      </c>
      <c r="J325" s="5">
        <v>1270</v>
      </c>
      <c r="K325" s="6">
        <f t="shared" si="20"/>
        <v>25558</v>
      </c>
      <c r="L325" s="6">
        <f t="shared" si="21"/>
        <v>33020</v>
      </c>
      <c r="M325" s="6">
        <f t="shared" si="22"/>
        <v>7462</v>
      </c>
      <c r="N325" s="6" t="str">
        <f t="shared" si="23"/>
        <v>profit</v>
      </c>
    </row>
    <row r="326" spans="1:14" ht="16.5" thickTop="1" thickBot="1" x14ac:dyDescent="0.3">
      <c r="A326" s="4">
        <v>45410</v>
      </c>
      <c r="B326" s="4" t="s">
        <v>31</v>
      </c>
      <c r="C326" s="5" t="s">
        <v>150</v>
      </c>
      <c r="D326" s="5" t="s">
        <v>46</v>
      </c>
      <c r="E326" s="5" t="s">
        <v>63</v>
      </c>
      <c r="F326" s="5" t="s">
        <v>113</v>
      </c>
      <c r="G326" s="5" t="s">
        <v>19</v>
      </c>
      <c r="H326" s="5">
        <v>28</v>
      </c>
      <c r="I326" s="5">
        <v>814</v>
      </c>
      <c r="J326" s="5">
        <v>1343</v>
      </c>
      <c r="K326" s="6">
        <f t="shared" si="20"/>
        <v>22792</v>
      </c>
      <c r="L326" s="6">
        <f t="shared" si="21"/>
        <v>37604</v>
      </c>
      <c r="M326" s="6">
        <f t="shared" si="22"/>
        <v>14812</v>
      </c>
      <c r="N326" s="6" t="str">
        <f t="shared" si="23"/>
        <v>profit</v>
      </c>
    </row>
    <row r="327" spans="1:14" ht="16.5" thickTop="1" thickBot="1" x14ac:dyDescent="0.3">
      <c r="A327" s="4">
        <v>45411</v>
      </c>
      <c r="B327" s="4" t="s">
        <v>31</v>
      </c>
      <c r="C327" s="5" t="s">
        <v>151</v>
      </c>
      <c r="D327" s="5" t="s">
        <v>46</v>
      </c>
      <c r="E327" s="5" t="s">
        <v>63</v>
      </c>
      <c r="F327" s="5" t="s">
        <v>44</v>
      </c>
      <c r="G327" s="5" t="s">
        <v>19</v>
      </c>
      <c r="H327" s="5">
        <v>26</v>
      </c>
      <c r="I327" s="5">
        <v>835</v>
      </c>
      <c r="J327" s="5">
        <v>973</v>
      </c>
      <c r="K327" s="6">
        <f t="shared" si="20"/>
        <v>21710</v>
      </c>
      <c r="L327" s="6">
        <f t="shared" si="21"/>
        <v>25298</v>
      </c>
      <c r="M327" s="6">
        <f t="shared" si="22"/>
        <v>3588</v>
      </c>
      <c r="N327" s="6" t="str">
        <f t="shared" si="23"/>
        <v>profit</v>
      </c>
    </row>
    <row r="328" spans="1:14" ht="16.5" thickTop="1" thickBot="1" x14ac:dyDescent="0.3">
      <c r="A328" s="4">
        <v>45709</v>
      </c>
      <c r="B328" s="4" t="s">
        <v>239</v>
      </c>
      <c r="C328" s="5" t="s">
        <v>254</v>
      </c>
      <c r="D328" s="5" t="s">
        <v>33</v>
      </c>
      <c r="E328" s="5" t="s">
        <v>99</v>
      </c>
      <c r="F328" s="5" t="s">
        <v>153</v>
      </c>
      <c r="G328" s="5" t="s">
        <v>28</v>
      </c>
      <c r="H328" s="5">
        <v>88</v>
      </c>
      <c r="I328" s="5">
        <v>635</v>
      </c>
      <c r="J328" s="5">
        <v>1370</v>
      </c>
      <c r="K328" s="6">
        <f t="shared" si="20"/>
        <v>55880</v>
      </c>
      <c r="L328" s="6">
        <f t="shared" si="21"/>
        <v>120560</v>
      </c>
      <c r="M328" s="6">
        <f t="shared" si="22"/>
        <v>64680</v>
      </c>
      <c r="N328" s="6" t="str">
        <f t="shared" si="23"/>
        <v>profit</v>
      </c>
    </row>
    <row r="329" spans="1:14" ht="16.5" thickTop="1" thickBot="1" x14ac:dyDescent="0.3">
      <c r="A329" s="4">
        <v>45412</v>
      </c>
      <c r="B329" s="4" t="s">
        <v>31</v>
      </c>
      <c r="C329" s="5" t="s">
        <v>152</v>
      </c>
      <c r="D329" s="5" t="s">
        <v>46</v>
      </c>
      <c r="E329" s="5" t="s">
        <v>63</v>
      </c>
      <c r="F329" s="5" t="s">
        <v>153</v>
      </c>
      <c r="G329" s="5" t="s">
        <v>19</v>
      </c>
      <c r="H329" s="5">
        <v>24</v>
      </c>
      <c r="I329" s="5">
        <v>631</v>
      </c>
      <c r="J329" s="5">
        <v>1304</v>
      </c>
      <c r="K329" s="6">
        <f t="shared" si="20"/>
        <v>15144</v>
      </c>
      <c r="L329" s="6">
        <f t="shared" si="21"/>
        <v>31296</v>
      </c>
      <c r="M329" s="6">
        <f t="shared" si="22"/>
        <v>16152</v>
      </c>
      <c r="N329" s="6" t="str">
        <f t="shared" si="23"/>
        <v>profit</v>
      </c>
    </row>
    <row r="330" spans="1:14" ht="16.5" thickTop="1" thickBot="1" x14ac:dyDescent="0.3">
      <c r="A330" s="4">
        <v>45413</v>
      </c>
      <c r="B330" s="4" t="s">
        <v>97</v>
      </c>
      <c r="C330" s="5" t="s">
        <v>154</v>
      </c>
      <c r="D330" s="5" t="s">
        <v>46</v>
      </c>
      <c r="E330" s="5" t="s">
        <v>63</v>
      </c>
      <c r="F330" s="5" t="s">
        <v>155</v>
      </c>
      <c r="G330" s="5" t="s">
        <v>19</v>
      </c>
      <c r="H330" s="5">
        <v>24</v>
      </c>
      <c r="I330" s="5">
        <v>833</v>
      </c>
      <c r="J330" s="5">
        <v>1280</v>
      </c>
      <c r="K330" s="6">
        <f t="shared" si="20"/>
        <v>19992</v>
      </c>
      <c r="L330" s="6">
        <f t="shared" si="21"/>
        <v>30720</v>
      </c>
      <c r="M330" s="6">
        <f t="shared" si="22"/>
        <v>10728</v>
      </c>
      <c r="N330" s="6" t="str">
        <f t="shared" si="23"/>
        <v>profit</v>
      </c>
    </row>
    <row r="331" spans="1:14" ht="16.5" thickTop="1" thickBot="1" x14ac:dyDescent="0.3">
      <c r="A331" s="4">
        <v>45414</v>
      </c>
      <c r="B331" s="7" t="s">
        <v>97</v>
      </c>
      <c r="C331" s="8" t="s">
        <v>156</v>
      </c>
      <c r="D331" s="8" t="s">
        <v>46</v>
      </c>
      <c r="E331" s="8" t="s">
        <v>63</v>
      </c>
      <c r="F331" s="8" t="s">
        <v>18</v>
      </c>
      <c r="G331" s="5" t="s">
        <v>28</v>
      </c>
      <c r="H331" s="5">
        <v>21</v>
      </c>
      <c r="I331" s="5">
        <v>680</v>
      </c>
      <c r="J331" s="5">
        <v>1049</v>
      </c>
      <c r="K331" s="6">
        <f t="shared" si="20"/>
        <v>14280</v>
      </c>
      <c r="L331" s="6">
        <f t="shared" si="21"/>
        <v>22029</v>
      </c>
      <c r="M331" s="6">
        <f t="shared" si="22"/>
        <v>7749</v>
      </c>
      <c r="N331" s="6" t="str">
        <f t="shared" si="23"/>
        <v>profit</v>
      </c>
    </row>
    <row r="332" spans="1:14" ht="16.5" thickTop="1" thickBot="1" x14ac:dyDescent="0.3">
      <c r="A332" s="4">
        <v>45415</v>
      </c>
      <c r="B332" s="9" t="s">
        <v>97</v>
      </c>
      <c r="C332" s="10" t="s">
        <v>157</v>
      </c>
      <c r="D332" s="8" t="s">
        <v>46</v>
      </c>
      <c r="E332" s="10" t="s">
        <v>63</v>
      </c>
      <c r="F332" s="8" t="s">
        <v>21</v>
      </c>
      <c r="G332" s="5" t="s">
        <v>28</v>
      </c>
      <c r="H332" s="5">
        <v>23</v>
      </c>
      <c r="I332" s="5">
        <v>667</v>
      </c>
      <c r="J332" s="5">
        <v>962</v>
      </c>
      <c r="K332" s="6">
        <f t="shared" si="20"/>
        <v>15341</v>
      </c>
      <c r="L332" s="6">
        <f t="shared" si="21"/>
        <v>22126</v>
      </c>
      <c r="M332" s="6">
        <f t="shared" si="22"/>
        <v>6785</v>
      </c>
      <c r="N332" s="6" t="str">
        <f t="shared" si="23"/>
        <v>profit</v>
      </c>
    </row>
    <row r="333" spans="1:14" ht="16.5" thickTop="1" thickBot="1" x14ac:dyDescent="0.3">
      <c r="A333" s="4">
        <v>45416</v>
      </c>
      <c r="B333" s="4" t="s">
        <v>97</v>
      </c>
      <c r="C333" s="5" t="s">
        <v>158</v>
      </c>
      <c r="D333" s="5" t="s">
        <v>46</v>
      </c>
      <c r="E333" s="5" t="s">
        <v>63</v>
      </c>
      <c r="F333" s="5" t="s">
        <v>23</v>
      </c>
      <c r="G333" s="5" t="s">
        <v>28</v>
      </c>
      <c r="H333" s="5">
        <v>24</v>
      </c>
      <c r="I333" s="5">
        <v>504</v>
      </c>
      <c r="J333" s="5">
        <v>1283</v>
      </c>
      <c r="K333" s="6">
        <f t="shared" si="20"/>
        <v>12096</v>
      </c>
      <c r="L333" s="6">
        <f t="shared" si="21"/>
        <v>30792</v>
      </c>
      <c r="M333" s="6">
        <f t="shared" si="22"/>
        <v>18696</v>
      </c>
      <c r="N333" s="6" t="str">
        <f t="shared" si="23"/>
        <v>profit</v>
      </c>
    </row>
    <row r="334" spans="1:14" ht="16.5" thickTop="1" thickBot="1" x14ac:dyDescent="0.3">
      <c r="A334" s="4">
        <v>45417</v>
      </c>
      <c r="B334" s="4" t="s">
        <v>97</v>
      </c>
      <c r="C334" s="5" t="s">
        <v>159</v>
      </c>
      <c r="D334" s="5" t="s">
        <v>46</v>
      </c>
      <c r="E334" s="5" t="s">
        <v>63</v>
      </c>
      <c r="F334" s="5" t="s">
        <v>25</v>
      </c>
      <c r="G334" s="5" t="s">
        <v>28</v>
      </c>
      <c r="H334" s="5">
        <v>26</v>
      </c>
      <c r="I334" s="5">
        <v>985</v>
      </c>
      <c r="J334" s="5">
        <v>1407</v>
      </c>
      <c r="K334" s="6">
        <f t="shared" si="20"/>
        <v>25610</v>
      </c>
      <c r="L334" s="6">
        <f t="shared" si="21"/>
        <v>36582</v>
      </c>
      <c r="M334" s="6">
        <f t="shared" si="22"/>
        <v>10972</v>
      </c>
      <c r="N334" s="6" t="str">
        <f t="shared" si="23"/>
        <v>profit</v>
      </c>
    </row>
    <row r="335" spans="1:14" ht="16.5" thickTop="1" thickBot="1" x14ac:dyDescent="0.3">
      <c r="A335" s="4">
        <v>45418</v>
      </c>
      <c r="B335" s="4" t="s">
        <v>97</v>
      </c>
      <c r="C335" s="5" t="s">
        <v>160</v>
      </c>
      <c r="D335" s="5" t="s">
        <v>46</v>
      </c>
      <c r="E335" s="5" t="s">
        <v>63</v>
      </c>
      <c r="F335" s="5" t="s">
        <v>25</v>
      </c>
      <c r="G335" s="5" t="s">
        <v>19</v>
      </c>
      <c r="H335" s="5">
        <v>27</v>
      </c>
      <c r="I335" s="5">
        <v>890</v>
      </c>
      <c r="J335" s="5">
        <v>853</v>
      </c>
      <c r="K335" s="6">
        <f t="shared" si="20"/>
        <v>24030</v>
      </c>
      <c r="L335" s="6">
        <f t="shared" si="21"/>
        <v>23031</v>
      </c>
      <c r="M335" s="6">
        <f t="shared" si="22"/>
        <v>-999</v>
      </c>
      <c r="N335" s="6" t="str">
        <f t="shared" si="23"/>
        <v>loss</v>
      </c>
    </row>
    <row r="336" spans="1:14" ht="16.5" thickTop="1" thickBot="1" x14ac:dyDescent="0.3">
      <c r="A336" s="4">
        <v>45419</v>
      </c>
      <c r="B336" s="4" t="s">
        <v>97</v>
      </c>
      <c r="C336" s="5" t="s">
        <v>164</v>
      </c>
      <c r="D336" s="5" t="s">
        <v>46</v>
      </c>
      <c r="E336" s="5" t="s">
        <v>118</v>
      </c>
      <c r="F336" s="5" t="s">
        <v>27</v>
      </c>
      <c r="G336" s="5" t="s">
        <v>19</v>
      </c>
      <c r="H336" s="5">
        <v>21</v>
      </c>
      <c r="I336" s="5">
        <v>722</v>
      </c>
      <c r="J336" s="5">
        <v>1247</v>
      </c>
      <c r="K336" s="6">
        <f t="shared" si="20"/>
        <v>15162</v>
      </c>
      <c r="L336" s="6">
        <f t="shared" si="21"/>
        <v>26187</v>
      </c>
      <c r="M336" s="6">
        <f t="shared" si="22"/>
        <v>11025</v>
      </c>
      <c r="N336" s="6" t="str">
        <f t="shared" si="23"/>
        <v>profit</v>
      </c>
    </row>
    <row r="337" spans="1:14" ht="16.5" thickTop="1" thickBot="1" x14ac:dyDescent="0.3">
      <c r="A337" s="4">
        <v>45420</v>
      </c>
      <c r="B337" s="4" t="s">
        <v>97</v>
      </c>
      <c r="C337" s="5" t="s">
        <v>165</v>
      </c>
      <c r="D337" s="5" t="s">
        <v>46</v>
      </c>
      <c r="E337" s="5" t="s">
        <v>118</v>
      </c>
      <c r="F337" s="5" t="s">
        <v>30</v>
      </c>
      <c r="G337" s="5" t="s">
        <v>19</v>
      </c>
      <c r="H337" s="5">
        <v>22</v>
      </c>
      <c r="I337" s="5">
        <v>725</v>
      </c>
      <c r="J337" s="5">
        <v>765</v>
      </c>
      <c r="K337" s="6">
        <f t="shared" si="20"/>
        <v>15950</v>
      </c>
      <c r="L337" s="6">
        <f t="shared" si="21"/>
        <v>16830</v>
      </c>
      <c r="M337" s="6">
        <f t="shared" si="22"/>
        <v>880</v>
      </c>
      <c r="N337" s="6" t="str">
        <f t="shared" si="23"/>
        <v>profit</v>
      </c>
    </row>
    <row r="338" spans="1:14" ht="16.5" thickTop="1" thickBot="1" x14ac:dyDescent="0.3">
      <c r="A338" s="4">
        <v>45421</v>
      </c>
      <c r="B338" s="4" t="s">
        <v>97</v>
      </c>
      <c r="C338" s="5" t="s">
        <v>167</v>
      </c>
      <c r="D338" s="5" t="s">
        <v>46</v>
      </c>
      <c r="E338" s="5" t="s">
        <v>118</v>
      </c>
      <c r="F338" s="5" t="s">
        <v>25</v>
      </c>
      <c r="G338" s="5" t="s">
        <v>19</v>
      </c>
      <c r="H338" s="5">
        <v>26</v>
      </c>
      <c r="I338" s="5">
        <v>509</v>
      </c>
      <c r="J338" s="5">
        <v>1120</v>
      </c>
      <c r="K338" s="6">
        <f t="shared" si="20"/>
        <v>13234</v>
      </c>
      <c r="L338" s="6">
        <f t="shared" si="21"/>
        <v>29120</v>
      </c>
      <c r="M338" s="6">
        <f t="shared" si="22"/>
        <v>15886</v>
      </c>
      <c r="N338" s="6" t="str">
        <f t="shared" si="23"/>
        <v>profit</v>
      </c>
    </row>
    <row r="339" spans="1:14" ht="16.5" thickTop="1" thickBot="1" x14ac:dyDescent="0.3">
      <c r="A339" s="4">
        <v>45389</v>
      </c>
      <c r="B339" s="4" t="s">
        <v>31</v>
      </c>
      <c r="C339" s="5" t="s">
        <v>32</v>
      </c>
      <c r="D339" s="5" t="s">
        <v>33</v>
      </c>
      <c r="E339" s="5" t="s">
        <v>34</v>
      </c>
      <c r="F339" s="5" t="s">
        <v>35</v>
      </c>
      <c r="G339" s="5" t="s">
        <v>28</v>
      </c>
      <c r="H339" s="5">
        <v>55</v>
      </c>
      <c r="I339" s="5">
        <v>906</v>
      </c>
      <c r="J339" s="5">
        <v>880</v>
      </c>
      <c r="K339" s="6">
        <f t="shared" si="20"/>
        <v>49830</v>
      </c>
      <c r="L339" s="6">
        <f t="shared" si="21"/>
        <v>48400</v>
      </c>
      <c r="M339" s="6">
        <f t="shared" si="22"/>
        <v>-1430</v>
      </c>
      <c r="N339" s="6" t="str">
        <f t="shared" si="23"/>
        <v>loss</v>
      </c>
    </row>
    <row r="340" spans="1:14" ht="16.5" thickTop="1" thickBot="1" x14ac:dyDescent="0.3">
      <c r="A340" s="4">
        <v>45422</v>
      </c>
      <c r="B340" s="4" t="s">
        <v>97</v>
      </c>
      <c r="C340" s="5" t="s">
        <v>168</v>
      </c>
      <c r="D340" s="5" t="s">
        <v>46</v>
      </c>
      <c r="E340" s="5" t="s">
        <v>118</v>
      </c>
      <c r="F340" s="5" t="s">
        <v>76</v>
      </c>
      <c r="G340" s="5" t="s">
        <v>19</v>
      </c>
      <c r="H340" s="5">
        <v>28</v>
      </c>
      <c r="I340" s="5">
        <v>905</v>
      </c>
      <c r="J340" s="5">
        <v>958</v>
      </c>
      <c r="K340" s="6">
        <f t="shared" si="20"/>
        <v>25340</v>
      </c>
      <c r="L340" s="6">
        <f t="shared" si="21"/>
        <v>26824</v>
      </c>
      <c r="M340" s="6">
        <f t="shared" si="22"/>
        <v>1484</v>
      </c>
      <c r="N340" s="6" t="str">
        <f t="shared" si="23"/>
        <v>profit</v>
      </c>
    </row>
    <row r="341" spans="1:14" ht="16.5" thickTop="1" thickBot="1" x14ac:dyDescent="0.3">
      <c r="A341" s="4">
        <v>45423</v>
      </c>
      <c r="B341" s="4" t="s">
        <v>97</v>
      </c>
      <c r="C341" s="5" t="s">
        <v>169</v>
      </c>
      <c r="D341" s="5" t="s">
        <v>46</v>
      </c>
      <c r="E341" s="5" t="s">
        <v>118</v>
      </c>
      <c r="F341" s="5" t="s">
        <v>71</v>
      </c>
      <c r="G341" s="5" t="s">
        <v>19</v>
      </c>
      <c r="H341" s="5">
        <v>22</v>
      </c>
      <c r="I341" s="5">
        <v>866</v>
      </c>
      <c r="J341" s="5">
        <v>1453</v>
      </c>
      <c r="K341" s="6">
        <f t="shared" si="20"/>
        <v>19052</v>
      </c>
      <c r="L341" s="6">
        <f t="shared" si="21"/>
        <v>31966</v>
      </c>
      <c r="M341" s="6">
        <f t="shared" si="22"/>
        <v>12914</v>
      </c>
      <c r="N341" s="6" t="str">
        <f t="shared" si="23"/>
        <v>profit</v>
      </c>
    </row>
    <row r="342" spans="1:14" ht="16.5" thickTop="1" thickBot="1" x14ac:dyDescent="0.3">
      <c r="A342" s="4">
        <v>45424</v>
      </c>
      <c r="B342" s="4" t="s">
        <v>97</v>
      </c>
      <c r="C342" s="5" t="s">
        <v>170</v>
      </c>
      <c r="D342" s="5" t="s">
        <v>46</v>
      </c>
      <c r="E342" s="5" t="s">
        <v>118</v>
      </c>
      <c r="F342" s="5" t="s">
        <v>44</v>
      </c>
      <c r="G342" s="5" t="s">
        <v>19</v>
      </c>
      <c r="H342" s="5">
        <v>23</v>
      </c>
      <c r="I342" s="5">
        <v>816</v>
      </c>
      <c r="J342" s="5">
        <v>1273</v>
      </c>
      <c r="K342" s="6">
        <f t="shared" si="20"/>
        <v>18768</v>
      </c>
      <c r="L342" s="6">
        <f t="shared" si="21"/>
        <v>29279</v>
      </c>
      <c r="M342" s="6">
        <f t="shared" si="22"/>
        <v>10511</v>
      </c>
      <c r="N342" s="6" t="str">
        <f t="shared" si="23"/>
        <v>profit</v>
      </c>
    </row>
    <row r="343" spans="1:14" ht="16.5" thickTop="1" thickBot="1" x14ac:dyDescent="0.3">
      <c r="A343" s="4">
        <v>45425</v>
      </c>
      <c r="B343" s="4" t="s">
        <v>97</v>
      </c>
      <c r="C343" s="5" t="s">
        <v>172</v>
      </c>
      <c r="D343" s="5" t="s">
        <v>46</v>
      </c>
      <c r="E343" s="5" t="s">
        <v>118</v>
      </c>
      <c r="F343" s="5" t="s">
        <v>25</v>
      </c>
      <c r="G343" s="5" t="s">
        <v>19</v>
      </c>
      <c r="H343" s="5">
        <v>30</v>
      </c>
      <c r="I343" s="5">
        <v>738</v>
      </c>
      <c r="J343" s="5">
        <v>1216</v>
      </c>
      <c r="K343" s="6">
        <f t="shared" si="20"/>
        <v>22140</v>
      </c>
      <c r="L343" s="6">
        <f t="shared" si="21"/>
        <v>36480</v>
      </c>
      <c r="M343" s="6">
        <f t="shared" si="22"/>
        <v>14340</v>
      </c>
      <c r="N343" s="6" t="str">
        <f t="shared" si="23"/>
        <v>profit</v>
      </c>
    </row>
    <row r="344" spans="1:14" ht="16.5" thickTop="1" thickBot="1" x14ac:dyDescent="0.3">
      <c r="A344" s="4">
        <v>45426</v>
      </c>
      <c r="B344" s="4" t="s">
        <v>97</v>
      </c>
      <c r="C344" s="5" t="s">
        <v>173</v>
      </c>
      <c r="D344" s="5" t="s">
        <v>46</v>
      </c>
      <c r="E344" s="5" t="s">
        <v>118</v>
      </c>
      <c r="F344" s="5" t="s">
        <v>64</v>
      </c>
      <c r="G344" s="5" t="s">
        <v>19</v>
      </c>
      <c r="H344" s="5">
        <v>24</v>
      </c>
      <c r="I344" s="5">
        <v>653</v>
      </c>
      <c r="J344" s="5">
        <v>1293</v>
      </c>
      <c r="K344" s="6">
        <f t="shared" si="20"/>
        <v>15672</v>
      </c>
      <c r="L344" s="6">
        <f t="shared" si="21"/>
        <v>31032</v>
      </c>
      <c r="M344" s="6">
        <f t="shared" si="22"/>
        <v>15360</v>
      </c>
      <c r="N344" s="6" t="str">
        <f t="shared" si="23"/>
        <v>profit</v>
      </c>
    </row>
    <row r="345" spans="1:14" ht="16.5" thickTop="1" thickBot="1" x14ac:dyDescent="0.3">
      <c r="A345" s="4">
        <v>45395</v>
      </c>
      <c r="B345" s="4" t="s">
        <v>31</v>
      </c>
      <c r="C345" s="5" t="s">
        <v>45</v>
      </c>
      <c r="D345" s="5" t="s">
        <v>46</v>
      </c>
      <c r="E345" s="5" t="s">
        <v>47</v>
      </c>
      <c r="F345" s="5" t="s">
        <v>44</v>
      </c>
      <c r="G345" s="5" t="s">
        <v>19</v>
      </c>
      <c r="H345" s="5">
        <v>22</v>
      </c>
      <c r="I345" s="5">
        <v>692</v>
      </c>
      <c r="J345" s="5">
        <v>906</v>
      </c>
      <c r="K345" s="6">
        <f t="shared" si="20"/>
        <v>15224</v>
      </c>
      <c r="L345" s="6">
        <f t="shared" si="21"/>
        <v>19932</v>
      </c>
      <c r="M345" s="6">
        <f t="shared" si="22"/>
        <v>4708</v>
      </c>
      <c r="N345" s="6" t="str">
        <f t="shared" si="23"/>
        <v>profit</v>
      </c>
    </row>
    <row r="346" spans="1:14" ht="16.5" thickTop="1" thickBot="1" x14ac:dyDescent="0.3">
      <c r="A346" s="4">
        <v>45427</v>
      </c>
      <c r="B346" s="4" t="s">
        <v>97</v>
      </c>
      <c r="C346" s="5" t="s">
        <v>174</v>
      </c>
      <c r="D346" s="5" t="s">
        <v>46</v>
      </c>
      <c r="E346" s="5" t="s">
        <v>118</v>
      </c>
      <c r="F346" s="5" t="s">
        <v>76</v>
      </c>
      <c r="G346" s="5" t="s">
        <v>19</v>
      </c>
      <c r="H346" s="5">
        <v>30</v>
      </c>
      <c r="I346" s="5">
        <v>583</v>
      </c>
      <c r="J346" s="5">
        <v>1500</v>
      </c>
      <c r="K346" s="6">
        <f t="shared" si="20"/>
        <v>17490</v>
      </c>
      <c r="L346" s="6">
        <f t="shared" si="21"/>
        <v>45000</v>
      </c>
      <c r="M346" s="6">
        <f t="shared" si="22"/>
        <v>27510</v>
      </c>
      <c r="N346" s="6" t="str">
        <f t="shared" si="23"/>
        <v>profit</v>
      </c>
    </row>
    <row r="347" spans="1:14" ht="16.5" thickTop="1" thickBot="1" x14ac:dyDescent="0.3">
      <c r="A347" s="4">
        <v>45428</v>
      </c>
      <c r="B347" s="4" t="s">
        <v>97</v>
      </c>
      <c r="C347" s="5" t="s">
        <v>176</v>
      </c>
      <c r="D347" s="5" t="s">
        <v>46</v>
      </c>
      <c r="E347" s="5" t="s">
        <v>118</v>
      </c>
      <c r="F347" s="5" t="s">
        <v>78</v>
      </c>
      <c r="G347" s="5" t="s">
        <v>28</v>
      </c>
      <c r="H347" s="5">
        <v>26</v>
      </c>
      <c r="I347" s="5">
        <v>1000</v>
      </c>
      <c r="J347" s="5">
        <v>765</v>
      </c>
      <c r="K347" s="6">
        <f t="shared" si="20"/>
        <v>26000</v>
      </c>
      <c r="L347" s="6">
        <f t="shared" si="21"/>
        <v>19890</v>
      </c>
      <c r="M347" s="6">
        <f t="shared" si="22"/>
        <v>-6110</v>
      </c>
      <c r="N347" s="6" t="str">
        <f t="shared" si="23"/>
        <v>loss</v>
      </c>
    </row>
    <row r="348" spans="1:14" ht="16.5" thickTop="1" thickBot="1" x14ac:dyDescent="0.3">
      <c r="A348" s="4">
        <v>45429</v>
      </c>
      <c r="B348" s="4" t="s">
        <v>97</v>
      </c>
      <c r="C348" s="5" t="s">
        <v>178</v>
      </c>
      <c r="D348" s="5" t="s">
        <v>46</v>
      </c>
      <c r="E348" s="5" t="s">
        <v>118</v>
      </c>
      <c r="F348" s="5" t="s">
        <v>35</v>
      </c>
      <c r="G348" s="5" t="s">
        <v>28</v>
      </c>
      <c r="H348" s="5">
        <v>27</v>
      </c>
      <c r="I348" s="5">
        <v>913</v>
      </c>
      <c r="J348" s="5">
        <v>1197</v>
      </c>
      <c r="K348" s="6">
        <f t="shared" si="20"/>
        <v>24651</v>
      </c>
      <c r="L348" s="6">
        <f t="shared" si="21"/>
        <v>32319</v>
      </c>
      <c r="M348" s="6">
        <f t="shared" si="22"/>
        <v>7668</v>
      </c>
      <c r="N348" s="6" t="str">
        <f t="shared" si="23"/>
        <v>profit</v>
      </c>
    </row>
    <row r="349" spans="1:14" ht="16.5" thickTop="1" thickBot="1" x14ac:dyDescent="0.3">
      <c r="A349" s="4">
        <v>45430</v>
      </c>
      <c r="B349" s="4" t="s">
        <v>97</v>
      </c>
      <c r="C349" s="5" t="s">
        <v>179</v>
      </c>
      <c r="D349" s="5" t="s">
        <v>46</v>
      </c>
      <c r="E349" s="5" t="s">
        <v>118</v>
      </c>
      <c r="F349" s="5" t="s">
        <v>44</v>
      </c>
      <c r="G349" s="5" t="s">
        <v>28</v>
      </c>
      <c r="H349" s="5">
        <v>29</v>
      </c>
      <c r="I349" s="5">
        <v>735</v>
      </c>
      <c r="J349" s="5">
        <v>1388</v>
      </c>
      <c r="K349" s="6">
        <f t="shared" si="20"/>
        <v>21315</v>
      </c>
      <c r="L349" s="6">
        <f t="shared" si="21"/>
        <v>40252</v>
      </c>
      <c r="M349" s="6">
        <f t="shared" si="22"/>
        <v>18937</v>
      </c>
      <c r="N349" s="6" t="str">
        <f t="shared" si="23"/>
        <v>profit</v>
      </c>
    </row>
    <row r="350" spans="1:14" ht="16.5" thickTop="1" thickBot="1" x14ac:dyDescent="0.3">
      <c r="A350" s="4">
        <v>45484</v>
      </c>
      <c r="B350" s="4" t="s">
        <v>40</v>
      </c>
      <c r="C350" s="5" t="s">
        <v>180</v>
      </c>
      <c r="D350" s="5" t="s">
        <v>46</v>
      </c>
      <c r="E350" s="5" t="s">
        <v>118</v>
      </c>
      <c r="F350" s="5" t="s">
        <v>39</v>
      </c>
      <c r="G350" s="5" t="s">
        <v>28</v>
      </c>
      <c r="H350" s="5">
        <v>29</v>
      </c>
      <c r="I350" s="5">
        <v>965</v>
      </c>
      <c r="J350" s="5">
        <v>1195</v>
      </c>
      <c r="K350" s="6">
        <f t="shared" si="20"/>
        <v>27985</v>
      </c>
      <c r="L350" s="6">
        <f t="shared" si="21"/>
        <v>34655</v>
      </c>
      <c r="M350" s="6">
        <f t="shared" si="22"/>
        <v>6670</v>
      </c>
      <c r="N350" s="6" t="str">
        <f t="shared" si="23"/>
        <v>profit</v>
      </c>
    </row>
    <row r="351" spans="1:14" ht="16.5" thickTop="1" thickBot="1" x14ac:dyDescent="0.3">
      <c r="A351" s="4">
        <v>45485</v>
      </c>
      <c r="B351" s="4" t="s">
        <v>40</v>
      </c>
      <c r="C351" s="5" t="s">
        <v>181</v>
      </c>
      <c r="D351" s="5" t="s">
        <v>46</v>
      </c>
      <c r="E351" s="5" t="s">
        <v>118</v>
      </c>
      <c r="F351" s="5" t="s">
        <v>64</v>
      </c>
      <c r="G351" s="5" t="s">
        <v>28</v>
      </c>
      <c r="H351" s="5">
        <v>24</v>
      </c>
      <c r="I351" s="5">
        <v>970</v>
      </c>
      <c r="J351" s="5">
        <v>1256</v>
      </c>
      <c r="K351" s="6">
        <f t="shared" si="20"/>
        <v>23280</v>
      </c>
      <c r="L351" s="6">
        <f t="shared" si="21"/>
        <v>30144</v>
      </c>
      <c r="M351" s="6">
        <f t="shared" si="22"/>
        <v>6864</v>
      </c>
      <c r="N351" s="6" t="str">
        <f t="shared" si="23"/>
        <v>profit</v>
      </c>
    </row>
    <row r="352" spans="1:14" ht="16.5" thickTop="1" thickBot="1" x14ac:dyDescent="0.3">
      <c r="A352" s="4">
        <v>45486</v>
      </c>
      <c r="B352" s="4" t="s">
        <v>40</v>
      </c>
      <c r="C352" s="5" t="s">
        <v>182</v>
      </c>
      <c r="D352" s="5" t="s">
        <v>46</v>
      </c>
      <c r="E352" s="5" t="s">
        <v>118</v>
      </c>
      <c r="F352" s="5" t="s">
        <v>64</v>
      </c>
      <c r="G352" s="5" t="s">
        <v>28</v>
      </c>
      <c r="H352" s="5">
        <v>22</v>
      </c>
      <c r="I352" s="5">
        <v>974</v>
      </c>
      <c r="J352" s="5">
        <v>1329</v>
      </c>
      <c r="K352" s="6">
        <f t="shared" si="20"/>
        <v>21428</v>
      </c>
      <c r="L352" s="6">
        <f t="shared" si="21"/>
        <v>29238</v>
      </c>
      <c r="M352" s="6">
        <f t="shared" si="22"/>
        <v>7810</v>
      </c>
      <c r="N352" s="6" t="str">
        <f t="shared" si="23"/>
        <v>profit</v>
      </c>
    </row>
    <row r="353" spans="1:14" ht="16.5" thickTop="1" thickBot="1" x14ac:dyDescent="0.3">
      <c r="A353" s="4">
        <v>45487</v>
      </c>
      <c r="B353" s="4" t="s">
        <v>40</v>
      </c>
      <c r="C353" s="5" t="s">
        <v>183</v>
      </c>
      <c r="D353" s="5" t="s">
        <v>46</v>
      </c>
      <c r="E353" s="5" t="s">
        <v>118</v>
      </c>
      <c r="F353" s="5" t="s">
        <v>60</v>
      </c>
      <c r="G353" s="5" t="s">
        <v>28</v>
      </c>
      <c r="H353" s="5">
        <v>21</v>
      </c>
      <c r="I353" s="5">
        <v>915</v>
      </c>
      <c r="J353" s="5">
        <v>1442</v>
      </c>
      <c r="K353" s="6">
        <f t="shared" si="20"/>
        <v>19215</v>
      </c>
      <c r="L353" s="6">
        <f t="shared" si="21"/>
        <v>30282</v>
      </c>
      <c r="M353" s="6">
        <f t="shared" si="22"/>
        <v>11067</v>
      </c>
      <c r="N353" s="6" t="str">
        <f t="shared" si="23"/>
        <v>profit</v>
      </c>
    </row>
    <row r="354" spans="1:14" ht="16.5" thickTop="1" thickBot="1" x14ac:dyDescent="0.3">
      <c r="A354" s="4">
        <v>45489</v>
      </c>
      <c r="B354" s="4" t="s">
        <v>40</v>
      </c>
      <c r="C354" s="5" t="s">
        <v>184</v>
      </c>
      <c r="D354" s="5" t="s">
        <v>46</v>
      </c>
      <c r="E354" s="5" t="s">
        <v>118</v>
      </c>
      <c r="F354" s="5" t="s">
        <v>30</v>
      </c>
      <c r="G354" s="5" t="s">
        <v>19</v>
      </c>
      <c r="H354" s="5">
        <v>27</v>
      </c>
      <c r="I354" s="5">
        <v>605</v>
      </c>
      <c r="J354" s="5">
        <v>826</v>
      </c>
      <c r="K354" s="6">
        <f t="shared" si="20"/>
        <v>16335</v>
      </c>
      <c r="L354" s="6">
        <f t="shared" si="21"/>
        <v>22302</v>
      </c>
      <c r="M354" s="6">
        <f t="shared" si="22"/>
        <v>5967</v>
      </c>
      <c r="N354" s="6" t="str">
        <f t="shared" si="23"/>
        <v>profit</v>
      </c>
    </row>
    <row r="355" spans="1:14" ht="16.5" thickTop="1" thickBot="1" x14ac:dyDescent="0.3">
      <c r="A355" s="4">
        <v>45405</v>
      </c>
      <c r="B355" s="4" t="s">
        <v>31</v>
      </c>
      <c r="C355" s="5" t="s">
        <v>62</v>
      </c>
      <c r="D355" s="5" t="s">
        <v>46</v>
      </c>
      <c r="E355" s="5" t="s">
        <v>63</v>
      </c>
      <c r="F355" s="5" t="s">
        <v>64</v>
      </c>
      <c r="G355" s="5" t="s">
        <v>28</v>
      </c>
      <c r="H355" s="5">
        <v>29</v>
      </c>
      <c r="I355" s="5">
        <v>893</v>
      </c>
      <c r="J355" s="5">
        <v>865</v>
      </c>
      <c r="K355" s="6">
        <f t="shared" si="20"/>
        <v>25897</v>
      </c>
      <c r="L355" s="6">
        <f t="shared" si="21"/>
        <v>25085</v>
      </c>
      <c r="M355" s="6">
        <f t="shared" si="22"/>
        <v>-812</v>
      </c>
      <c r="N355" s="6" t="str">
        <f t="shared" si="23"/>
        <v>loss</v>
      </c>
    </row>
    <row r="356" spans="1:14" ht="16.5" thickTop="1" thickBot="1" x14ac:dyDescent="0.3">
      <c r="A356" s="4">
        <v>45490</v>
      </c>
      <c r="B356" s="4" t="s">
        <v>40</v>
      </c>
      <c r="C356" s="5" t="s">
        <v>185</v>
      </c>
      <c r="D356" s="5" t="s">
        <v>46</v>
      </c>
      <c r="E356" s="5" t="s">
        <v>118</v>
      </c>
      <c r="F356" s="5" t="s">
        <v>113</v>
      </c>
      <c r="G356" s="5" t="s">
        <v>19</v>
      </c>
      <c r="H356" s="5">
        <v>29</v>
      </c>
      <c r="I356" s="5">
        <v>689</v>
      </c>
      <c r="J356" s="5">
        <v>783</v>
      </c>
      <c r="K356" s="6">
        <f t="shared" si="20"/>
        <v>19981</v>
      </c>
      <c r="L356" s="6">
        <f t="shared" si="21"/>
        <v>22707</v>
      </c>
      <c r="M356" s="6">
        <f t="shared" si="22"/>
        <v>2726</v>
      </c>
      <c r="N356" s="6" t="str">
        <f t="shared" si="23"/>
        <v>profit</v>
      </c>
    </row>
    <row r="357" spans="1:14" ht="16.5" thickTop="1" thickBot="1" x14ac:dyDescent="0.3">
      <c r="A357" s="4">
        <v>45407</v>
      </c>
      <c r="B357" s="4" t="s">
        <v>31</v>
      </c>
      <c r="C357" s="5" t="s">
        <v>66</v>
      </c>
      <c r="D357" s="5" t="s">
        <v>46</v>
      </c>
      <c r="E357" s="5" t="s">
        <v>63</v>
      </c>
      <c r="F357" s="5" t="s">
        <v>60</v>
      </c>
      <c r="G357" s="5" t="s">
        <v>19</v>
      </c>
      <c r="H357" s="5">
        <v>24</v>
      </c>
      <c r="I357" s="5">
        <v>859</v>
      </c>
      <c r="J357" s="5">
        <v>1473</v>
      </c>
      <c r="K357" s="6">
        <f t="shared" si="20"/>
        <v>20616</v>
      </c>
      <c r="L357" s="6">
        <f t="shared" si="21"/>
        <v>35352</v>
      </c>
      <c r="M357" s="6">
        <f t="shared" si="22"/>
        <v>14736</v>
      </c>
      <c r="N357" s="6" t="str">
        <f t="shared" si="23"/>
        <v>profit</v>
      </c>
    </row>
    <row r="358" spans="1:14" ht="16.5" thickTop="1" thickBot="1" x14ac:dyDescent="0.3">
      <c r="A358" s="4">
        <v>45491</v>
      </c>
      <c r="B358" s="4" t="s">
        <v>40</v>
      </c>
      <c r="C358" s="5" t="s">
        <v>186</v>
      </c>
      <c r="D358" s="5" t="s">
        <v>46</v>
      </c>
      <c r="E358" s="5" t="s">
        <v>118</v>
      </c>
      <c r="F358" s="5" t="s">
        <v>44</v>
      </c>
      <c r="G358" s="5" t="s">
        <v>19</v>
      </c>
      <c r="H358" s="5">
        <v>25</v>
      </c>
      <c r="I358" s="5">
        <v>861</v>
      </c>
      <c r="J358" s="5">
        <v>843</v>
      </c>
      <c r="K358" s="6">
        <f t="shared" si="20"/>
        <v>21525</v>
      </c>
      <c r="L358" s="6">
        <f t="shared" si="21"/>
        <v>21075</v>
      </c>
      <c r="M358" s="6">
        <f t="shared" si="22"/>
        <v>-450</v>
      </c>
      <c r="N358" s="6" t="str">
        <f t="shared" si="23"/>
        <v>loss</v>
      </c>
    </row>
    <row r="359" spans="1:14" ht="16.5" thickTop="1" thickBot="1" x14ac:dyDescent="0.3">
      <c r="A359" s="4">
        <v>45492</v>
      </c>
      <c r="B359" s="4" t="s">
        <v>40</v>
      </c>
      <c r="C359" s="5" t="s">
        <v>188</v>
      </c>
      <c r="D359" s="5" t="s">
        <v>46</v>
      </c>
      <c r="E359" s="5" t="s">
        <v>118</v>
      </c>
      <c r="F359" s="5" t="s">
        <v>153</v>
      </c>
      <c r="G359" s="5" t="s">
        <v>19</v>
      </c>
      <c r="H359" s="5">
        <v>22</v>
      </c>
      <c r="I359" s="5">
        <v>629</v>
      </c>
      <c r="J359" s="5">
        <v>1263</v>
      </c>
      <c r="K359" s="6">
        <f t="shared" si="20"/>
        <v>13838</v>
      </c>
      <c r="L359" s="6">
        <f t="shared" si="21"/>
        <v>27786</v>
      </c>
      <c r="M359" s="6">
        <f t="shared" si="22"/>
        <v>13948</v>
      </c>
      <c r="N359" s="6" t="str">
        <f t="shared" si="23"/>
        <v>profit</v>
      </c>
    </row>
    <row r="360" spans="1:14" ht="16.5" thickTop="1" thickBot="1" x14ac:dyDescent="0.3">
      <c r="A360" s="4">
        <v>45493</v>
      </c>
      <c r="B360" s="4" t="s">
        <v>40</v>
      </c>
      <c r="C360" s="5" t="s">
        <v>189</v>
      </c>
      <c r="D360" s="5" t="s">
        <v>46</v>
      </c>
      <c r="E360" s="5" t="s">
        <v>118</v>
      </c>
      <c r="F360" s="5" t="s">
        <v>155</v>
      </c>
      <c r="G360" s="5" t="s">
        <v>19</v>
      </c>
      <c r="H360" s="5">
        <v>22</v>
      </c>
      <c r="I360" s="5">
        <v>779</v>
      </c>
      <c r="J360" s="5">
        <v>1301</v>
      </c>
      <c r="K360" s="6">
        <f t="shared" si="20"/>
        <v>17138</v>
      </c>
      <c r="L360" s="6">
        <f t="shared" si="21"/>
        <v>28622</v>
      </c>
      <c r="M360" s="6">
        <f t="shared" si="22"/>
        <v>11484</v>
      </c>
      <c r="N360" s="6" t="str">
        <f t="shared" si="23"/>
        <v>profit</v>
      </c>
    </row>
    <row r="361" spans="1:14" ht="16.5" thickTop="1" thickBot="1" x14ac:dyDescent="0.3">
      <c r="A361" s="4">
        <v>45494</v>
      </c>
      <c r="B361" s="4" t="s">
        <v>40</v>
      </c>
      <c r="C361" s="5" t="s">
        <v>192</v>
      </c>
      <c r="D361" s="5" t="s">
        <v>46</v>
      </c>
      <c r="E361" s="5" t="s">
        <v>118</v>
      </c>
      <c r="F361" s="5" t="s">
        <v>18</v>
      </c>
      <c r="G361" s="5" t="s">
        <v>19</v>
      </c>
      <c r="H361" s="5">
        <v>23</v>
      </c>
      <c r="I361" s="5">
        <v>730</v>
      </c>
      <c r="J361" s="5">
        <v>1189</v>
      </c>
      <c r="K361" s="6">
        <f t="shared" si="20"/>
        <v>16790</v>
      </c>
      <c r="L361" s="6">
        <f t="shared" si="21"/>
        <v>27347</v>
      </c>
      <c r="M361" s="6">
        <f t="shared" si="22"/>
        <v>10557</v>
      </c>
      <c r="N361" s="6" t="str">
        <f t="shared" si="23"/>
        <v>profit</v>
      </c>
    </row>
    <row r="362" spans="1:14" ht="16.5" thickTop="1" thickBot="1" x14ac:dyDescent="0.3">
      <c r="A362" s="4">
        <v>45517</v>
      </c>
      <c r="B362" s="4" t="s">
        <v>57</v>
      </c>
      <c r="C362" s="5" t="s">
        <v>193</v>
      </c>
      <c r="D362" s="5" t="s">
        <v>46</v>
      </c>
      <c r="E362" s="5" t="s">
        <v>118</v>
      </c>
      <c r="F362" s="5" t="s">
        <v>44</v>
      </c>
      <c r="G362" s="5" t="s">
        <v>28</v>
      </c>
      <c r="H362" s="5">
        <v>26</v>
      </c>
      <c r="I362" s="5">
        <v>847</v>
      </c>
      <c r="J362" s="5">
        <v>1116</v>
      </c>
      <c r="K362" s="6">
        <f t="shared" si="20"/>
        <v>22022</v>
      </c>
      <c r="L362" s="6">
        <f t="shared" si="21"/>
        <v>29016</v>
      </c>
      <c r="M362" s="6">
        <f t="shared" si="22"/>
        <v>6994</v>
      </c>
      <c r="N362" s="6" t="str">
        <f t="shared" si="23"/>
        <v>profit</v>
      </c>
    </row>
    <row r="363" spans="1:14" ht="16.5" thickTop="1" thickBot="1" x14ac:dyDescent="0.3">
      <c r="A363" s="4">
        <v>45518</v>
      </c>
      <c r="B363" s="4" t="s">
        <v>57</v>
      </c>
      <c r="C363" s="5" t="s">
        <v>194</v>
      </c>
      <c r="D363" s="5" t="s">
        <v>46</v>
      </c>
      <c r="E363" s="5" t="s">
        <v>118</v>
      </c>
      <c r="F363" s="5" t="s">
        <v>49</v>
      </c>
      <c r="G363" s="5" t="s">
        <v>28</v>
      </c>
      <c r="H363" s="5">
        <v>24</v>
      </c>
      <c r="I363" s="5">
        <v>942</v>
      </c>
      <c r="J363" s="5">
        <v>1313</v>
      </c>
      <c r="K363" s="6">
        <f t="shared" si="20"/>
        <v>22608</v>
      </c>
      <c r="L363" s="6">
        <f t="shared" si="21"/>
        <v>31512</v>
      </c>
      <c r="M363" s="6">
        <f t="shared" si="22"/>
        <v>8904</v>
      </c>
      <c r="N363" s="6" t="str">
        <f t="shared" si="23"/>
        <v>profit</v>
      </c>
    </row>
    <row r="364" spans="1:14" ht="16.5" thickTop="1" thickBot="1" x14ac:dyDescent="0.3">
      <c r="A364" s="4">
        <v>45519</v>
      </c>
      <c r="B364" s="4" t="s">
        <v>57</v>
      </c>
      <c r="C364" s="5" t="s">
        <v>195</v>
      </c>
      <c r="D364" s="5" t="s">
        <v>46</v>
      </c>
      <c r="E364" s="5" t="s">
        <v>118</v>
      </c>
      <c r="F364" s="5" t="s">
        <v>27</v>
      </c>
      <c r="G364" s="5" t="s">
        <v>19</v>
      </c>
      <c r="H364" s="5">
        <v>20</v>
      </c>
      <c r="I364" s="5">
        <v>751</v>
      </c>
      <c r="J364" s="5">
        <v>861</v>
      </c>
      <c r="K364" s="6">
        <f t="shared" si="20"/>
        <v>15020</v>
      </c>
      <c r="L364" s="6">
        <f t="shared" si="21"/>
        <v>17220</v>
      </c>
      <c r="M364" s="6">
        <f t="shared" si="22"/>
        <v>2200</v>
      </c>
      <c r="N364" s="6" t="str">
        <f t="shared" si="23"/>
        <v>profit</v>
      </c>
    </row>
    <row r="365" spans="1:14" ht="16.5" thickTop="1" thickBot="1" x14ac:dyDescent="0.3">
      <c r="A365" s="4">
        <v>45521</v>
      </c>
      <c r="B365" s="4" t="s">
        <v>57</v>
      </c>
      <c r="C365" s="5" t="s">
        <v>197</v>
      </c>
      <c r="D365" s="5" t="s">
        <v>46</v>
      </c>
      <c r="E365" s="5" t="s">
        <v>118</v>
      </c>
      <c r="F365" s="5" t="s">
        <v>54</v>
      </c>
      <c r="G365" s="5" t="s">
        <v>28</v>
      </c>
      <c r="H365" s="5">
        <v>28</v>
      </c>
      <c r="I365" s="5">
        <v>855</v>
      </c>
      <c r="J365" s="5">
        <v>930</v>
      </c>
      <c r="K365" s="6">
        <f t="shared" si="20"/>
        <v>23940</v>
      </c>
      <c r="L365" s="6">
        <f t="shared" si="21"/>
        <v>26040</v>
      </c>
      <c r="M365" s="6">
        <f t="shared" si="22"/>
        <v>2100</v>
      </c>
      <c r="N365" s="6" t="str">
        <f t="shared" si="23"/>
        <v>profit</v>
      </c>
    </row>
    <row r="366" spans="1:14" ht="16.5" thickTop="1" thickBot="1" x14ac:dyDescent="0.3">
      <c r="A366" s="4">
        <v>45522</v>
      </c>
      <c r="B366" s="4" t="s">
        <v>57</v>
      </c>
      <c r="C366" s="5" t="s">
        <v>107</v>
      </c>
      <c r="D366" s="5" t="s">
        <v>46</v>
      </c>
      <c r="E366" s="5" t="s">
        <v>118</v>
      </c>
      <c r="F366" s="5" t="s">
        <v>35</v>
      </c>
      <c r="G366" s="5" t="s">
        <v>28</v>
      </c>
      <c r="H366" s="5">
        <v>22</v>
      </c>
      <c r="I366" s="5">
        <v>806</v>
      </c>
      <c r="J366" s="5">
        <v>1391</v>
      </c>
      <c r="K366" s="6">
        <f t="shared" si="20"/>
        <v>17732</v>
      </c>
      <c r="L366" s="6">
        <f t="shared" si="21"/>
        <v>30602</v>
      </c>
      <c r="M366" s="6">
        <f t="shared" si="22"/>
        <v>12870</v>
      </c>
      <c r="N366" s="6" t="str">
        <f t="shared" si="23"/>
        <v>profit</v>
      </c>
    </row>
    <row r="367" spans="1:14" ht="16.5" thickTop="1" thickBot="1" x14ac:dyDescent="0.3">
      <c r="A367" s="4">
        <v>45523</v>
      </c>
      <c r="B367" s="4" t="s">
        <v>57</v>
      </c>
      <c r="C367" s="5" t="s">
        <v>199</v>
      </c>
      <c r="D367" s="5" t="s">
        <v>46</v>
      </c>
      <c r="E367" s="5" t="s">
        <v>118</v>
      </c>
      <c r="F367" s="5" t="s">
        <v>39</v>
      </c>
      <c r="G367" s="5" t="s">
        <v>28</v>
      </c>
      <c r="H367" s="5">
        <v>30</v>
      </c>
      <c r="I367" s="5">
        <v>624</v>
      </c>
      <c r="J367" s="5">
        <v>999</v>
      </c>
      <c r="K367" s="6">
        <f t="shared" si="20"/>
        <v>18720</v>
      </c>
      <c r="L367" s="6">
        <f t="shared" si="21"/>
        <v>29970</v>
      </c>
      <c r="M367" s="6">
        <f t="shared" si="22"/>
        <v>11250</v>
      </c>
      <c r="N367" s="6" t="str">
        <f t="shared" si="23"/>
        <v>profit</v>
      </c>
    </row>
    <row r="368" spans="1:14" ht="16.5" thickTop="1" thickBot="1" x14ac:dyDescent="0.3">
      <c r="A368" s="4">
        <v>45524</v>
      </c>
      <c r="B368" s="4" t="s">
        <v>57</v>
      </c>
      <c r="C368" s="5" t="s">
        <v>105</v>
      </c>
      <c r="D368" s="5" t="s">
        <v>46</v>
      </c>
      <c r="E368" s="5" t="s">
        <v>118</v>
      </c>
      <c r="F368" s="5" t="s">
        <v>39</v>
      </c>
      <c r="G368" s="5" t="s">
        <v>19</v>
      </c>
      <c r="H368" s="5">
        <v>25</v>
      </c>
      <c r="I368" s="5">
        <v>533</v>
      </c>
      <c r="J368" s="5">
        <v>860</v>
      </c>
      <c r="K368" s="6">
        <f t="shared" si="20"/>
        <v>13325</v>
      </c>
      <c r="L368" s="6">
        <f t="shared" si="21"/>
        <v>21500</v>
      </c>
      <c r="M368" s="6">
        <f t="shared" si="22"/>
        <v>8175</v>
      </c>
      <c r="N368" s="6" t="str">
        <f t="shared" si="23"/>
        <v>profit</v>
      </c>
    </row>
    <row r="369" spans="1:14" ht="16.5" thickTop="1" thickBot="1" x14ac:dyDescent="0.3">
      <c r="A369" s="4">
        <v>45525</v>
      </c>
      <c r="B369" s="4" t="s">
        <v>57</v>
      </c>
      <c r="C369" s="5" t="s">
        <v>200</v>
      </c>
      <c r="D369" s="5" t="s">
        <v>46</v>
      </c>
      <c r="E369" s="5" t="s">
        <v>118</v>
      </c>
      <c r="F369" s="5" t="s">
        <v>64</v>
      </c>
      <c r="G369" s="5" t="s">
        <v>19</v>
      </c>
      <c r="H369" s="5">
        <v>20</v>
      </c>
      <c r="I369" s="5">
        <v>681</v>
      </c>
      <c r="J369" s="5">
        <v>823</v>
      </c>
      <c r="K369" s="6">
        <f t="shared" si="20"/>
        <v>13620</v>
      </c>
      <c r="L369" s="6">
        <f t="shared" si="21"/>
        <v>16460</v>
      </c>
      <c r="M369" s="6">
        <f t="shared" si="22"/>
        <v>2840</v>
      </c>
      <c r="N369" s="6" t="str">
        <f t="shared" si="23"/>
        <v>profit</v>
      </c>
    </row>
    <row r="370" spans="1:14" ht="16.5" thickTop="1" thickBot="1" x14ac:dyDescent="0.3">
      <c r="A370" s="4">
        <v>45527</v>
      </c>
      <c r="B370" s="4" t="s">
        <v>57</v>
      </c>
      <c r="C370" s="5" t="s">
        <v>201</v>
      </c>
      <c r="D370" s="5" t="s">
        <v>46</v>
      </c>
      <c r="E370" s="5" t="s">
        <v>118</v>
      </c>
      <c r="F370" s="5" t="s">
        <v>60</v>
      </c>
      <c r="G370" s="5" t="s">
        <v>19</v>
      </c>
      <c r="H370" s="5">
        <v>23</v>
      </c>
      <c r="I370" s="5">
        <v>577</v>
      </c>
      <c r="J370" s="5">
        <v>1125</v>
      </c>
      <c r="K370" s="6">
        <f t="shared" si="20"/>
        <v>13271</v>
      </c>
      <c r="L370" s="6">
        <f t="shared" si="21"/>
        <v>25875</v>
      </c>
      <c r="M370" s="6">
        <f t="shared" si="22"/>
        <v>12604</v>
      </c>
      <c r="N370" s="6" t="str">
        <f t="shared" si="23"/>
        <v>profit</v>
      </c>
    </row>
    <row r="371" spans="1:14" ht="16.5" thickTop="1" thickBot="1" x14ac:dyDescent="0.3">
      <c r="A371" s="4">
        <v>45589</v>
      </c>
      <c r="B371" s="4" t="s">
        <v>85</v>
      </c>
      <c r="C371" s="5" t="s">
        <v>203</v>
      </c>
      <c r="D371" s="5" t="s">
        <v>46</v>
      </c>
      <c r="E371" s="5" t="s">
        <v>133</v>
      </c>
      <c r="F371" s="5" t="s">
        <v>60</v>
      </c>
      <c r="G371" s="5" t="s">
        <v>19</v>
      </c>
      <c r="H371" s="5">
        <v>28</v>
      </c>
      <c r="I371" s="5">
        <v>537</v>
      </c>
      <c r="J371" s="5">
        <v>828</v>
      </c>
      <c r="K371" s="6">
        <f t="shared" si="20"/>
        <v>15036</v>
      </c>
      <c r="L371" s="6">
        <f t="shared" si="21"/>
        <v>23184</v>
      </c>
      <c r="M371" s="6">
        <f t="shared" si="22"/>
        <v>8148</v>
      </c>
      <c r="N371" s="6" t="str">
        <f t="shared" si="23"/>
        <v>profit</v>
      </c>
    </row>
    <row r="372" spans="1:14" ht="16.5" thickTop="1" thickBot="1" x14ac:dyDescent="0.3">
      <c r="A372" s="4">
        <v>45591</v>
      </c>
      <c r="B372" s="4" t="s">
        <v>85</v>
      </c>
      <c r="C372" s="5" t="s">
        <v>204</v>
      </c>
      <c r="D372" s="5" t="s">
        <v>46</v>
      </c>
      <c r="E372" s="5" t="s">
        <v>133</v>
      </c>
      <c r="F372" s="5" t="s">
        <v>30</v>
      </c>
      <c r="G372" s="5" t="s">
        <v>28</v>
      </c>
      <c r="H372" s="5">
        <v>23</v>
      </c>
      <c r="I372" s="5">
        <v>746</v>
      </c>
      <c r="J372" s="5">
        <v>1410</v>
      </c>
      <c r="K372" s="6">
        <f t="shared" si="20"/>
        <v>17158</v>
      </c>
      <c r="L372" s="6">
        <f t="shared" si="21"/>
        <v>32430</v>
      </c>
      <c r="M372" s="6">
        <f t="shared" si="22"/>
        <v>15272</v>
      </c>
      <c r="N372" s="6" t="str">
        <f t="shared" si="23"/>
        <v>profit</v>
      </c>
    </row>
    <row r="373" spans="1:14" ht="16.5" thickTop="1" thickBot="1" x14ac:dyDescent="0.3">
      <c r="A373" s="4">
        <v>45596</v>
      </c>
      <c r="B373" s="4" t="s">
        <v>85</v>
      </c>
      <c r="C373" s="5" t="s">
        <v>205</v>
      </c>
      <c r="D373" s="5" t="s">
        <v>46</v>
      </c>
      <c r="E373" s="5" t="s">
        <v>47</v>
      </c>
      <c r="F373" s="5" t="s">
        <v>18</v>
      </c>
      <c r="G373" s="5" t="s">
        <v>28</v>
      </c>
      <c r="H373" s="5">
        <v>29</v>
      </c>
      <c r="I373" s="5">
        <v>895</v>
      </c>
      <c r="J373" s="5">
        <v>882</v>
      </c>
      <c r="K373" s="6">
        <f t="shared" si="20"/>
        <v>25955</v>
      </c>
      <c r="L373" s="6">
        <f t="shared" si="21"/>
        <v>25578</v>
      </c>
      <c r="M373" s="6">
        <f t="shared" si="22"/>
        <v>-377</v>
      </c>
      <c r="N373" s="6" t="str">
        <f t="shared" si="23"/>
        <v>loss</v>
      </c>
    </row>
    <row r="374" spans="1:14" ht="16.5" thickTop="1" thickBot="1" x14ac:dyDescent="0.3">
      <c r="A374" s="4">
        <v>45597</v>
      </c>
      <c r="B374" s="4" t="s">
        <v>161</v>
      </c>
      <c r="C374" s="5" t="s">
        <v>207</v>
      </c>
      <c r="D374" s="5" t="s">
        <v>46</v>
      </c>
      <c r="E374" s="5" t="s">
        <v>47</v>
      </c>
      <c r="F374" s="5" t="s">
        <v>21</v>
      </c>
      <c r="G374" s="5" t="s">
        <v>28</v>
      </c>
      <c r="H374" s="5">
        <v>26</v>
      </c>
      <c r="I374" s="5">
        <v>728</v>
      </c>
      <c r="J374" s="5">
        <v>1466</v>
      </c>
      <c r="K374" s="6">
        <f t="shared" si="20"/>
        <v>18928</v>
      </c>
      <c r="L374" s="6">
        <f t="shared" si="21"/>
        <v>38116</v>
      </c>
      <c r="M374" s="6">
        <f t="shared" si="22"/>
        <v>19188</v>
      </c>
      <c r="N374" s="6" t="str">
        <f t="shared" si="23"/>
        <v>profit</v>
      </c>
    </row>
    <row r="375" spans="1:14" ht="16.5" thickTop="1" thickBot="1" x14ac:dyDescent="0.3">
      <c r="A375" s="4">
        <v>45598</v>
      </c>
      <c r="B375" s="4" t="s">
        <v>161</v>
      </c>
      <c r="C375" s="5" t="s">
        <v>209</v>
      </c>
      <c r="D375" s="5" t="s">
        <v>46</v>
      </c>
      <c r="E375" s="5" t="s">
        <v>47</v>
      </c>
      <c r="F375" s="5" t="s">
        <v>23</v>
      </c>
      <c r="G375" s="5" t="s">
        <v>28</v>
      </c>
      <c r="H375" s="5">
        <v>22</v>
      </c>
      <c r="I375" s="5">
        <v>586</v>
      </c>
      <c r="J375" s="5">
        <v>1206</v>
      </c>
      <c r="K375" s="6">
        <f t="shared" si="20"/>
        <v>12892</v>
      </c>
      <c r="L375" s="6">
        <f t="shared" si="21"/>
        <v>26532</v>
      </c>
      <c r="M375" s="6">
        <f t="shared" si="22"/>
        <v>13640</v>
      </c>
      <c r="N375" s="6" t="str">
        <f t="shared" si="23"/>
        <v>profit</v>
      </c>
    </row>
    <row r="376" spans="1:14" ht="16.5" thickTop="1" thickBot="1" x14ac:dyDescent="0.3">
      <c r="A376" s="4">
        <v>45599</v>
      </c>
      <c r="B376" s="4" t="s">
        <v>161</v>
      </c>
      <c r="C376" s="5" t="s">
        <v>210</v>
      </c>
      <c r="D376" s="5" t="s">
        <v>46</v>
      </c>
      <c r="E376" s="5" t="s">
        <v>47</v>
      </c>
      <c r="F376" s="5" t="s">
        <v>25</v>
      </c>
      <c r="G376" s="5" t="s">
        <v>19</v>
      </c>
      <c r="H376" s="5">
        <v>29</v>
      </c>
      <c r="I376" s="5">
        <v>724</v>
      </c>
      <c r="J376" s="5">
        <v>858</v>
      </c>
      <c r="K376" s="6">
        <f t="shared" si="20"/>
        <v>20996</v>
      </c>
      <c r="L376" s="6">
        <f t="shared" si="21"/>
        <v>24882</v>
      </c>
      <c r="M376" s="6">
        <f t="shared" si="22"/>
        <v>3886</v>
      </c>
      <c r="N376" s="6" t="str">
        <f t="shared" si="23"/>
        <v>profit</v>
      </c>
    </row>
    <row r="377" spans="1:14" ht="16.5" thickTop="1" thickBot="1" x14ac:dyDescent="0.3">
      <c r="A377" s="4">
        <v>45600</v>
      </c>
      <c r="B377" s="4" t="s">
        <v>161</v>
      </c>
      <c r="C377" s="5" t="s">
        <v>211</v>
      </c>
      <c r="D377" s="5" t="s">
        <v>46</v>
      </c>
      <c r="E377" s="5" t="s">
        <v>47</v>
      </c>
      <c r="F377" s="5" t="s">
        <v>25</v>
      </c>
      <c r="G377" s="5" t="s">
        <v>19</v>
      </c>
      <c r="H377" s="5">
        <v>20</v>
      </c>
      <c r="I377" s="5">
        <v>941</v>
      </c>
      <c r="J377" s="5">
        <v>1181</v>
      </c>
      <c r="K377" s="6">
        <f t="shared" si="20"/>
        <v>18820</v>
      </c>
      <c r="L377" s="6">
        <f t="shared" si="21"/>
        <v>23620</v>
      </c>
      <c r="M377" s="6">
        <f t="shared" si="22"/>
        <v>4800</v>
      </c>
      <c r="N377" s="6" t="str">
        <f t="shared" si="23"/>
        <v>profit</v>
      </c>
    </row>
    <row r="378" spans="1:14" ht="16.5" thickTop="1" thickBot="1" x14ac:dyDescent="0.3">
      <c r="A378" s="4">
        <v>45601</v>
      </c>
      <c r="B378" s="4" t="s">
        <v>161</v>
      </c>
      <c r="C378" s="5" t="s">
        <v>212</v>
      </c>
      <c r="D378" s="5" t="s">
        <v>46</v>
      </c>
      <c r="E378" s="5" t="s">
        <v>47</v>
      </c>
      <c r="F378" s="5" t="s">
        <v>27</v>
      </c>
      <c r="G378" s="5" t="s">
        <v>19</v>
      </c>
      <c r="H378" s="5">
        <v>22</v>
      </c>
      <c r="I378" s="5">
        <v>618</v>
      </c>
      <c r="J378" s="5">
        <v>1373</v>
      </c>
      <c r="K378" s="6">
        <f t="shared" si="20"/>
        <v>13596</v>
      </c>
      <c r="L378" s="6">
        <f t="shared" si="21"/>
        <v>30206</v>
      </c>
      <c r="M378" s="6">
        <f t="shared" si="22"/>
        <v>16610</v>
      </c>
      <c r="N378" s="6" t="str">
        <f t="shared" si="23"/>
        <v>profit</v>
      </c>
    </row>
    <row r="379" spans="1:14" ht="16.5" thickTop="1" thickBot="1" x14ac:dyDescent="0.3">
      <c r="A379" s="4">
        <v>45609</v>
      </c>
      <c r="B379" s="4" t="s">
        <v>161</v>
      </c>
      <c r="C379" s="5" t="s">
        <v>214</v>
      </c>
      <c r="D379" s="5" t="s">
        <v>46</v>
      </c>
      <c r="E379" s="5" t="s">
        <v>63</v>
      </c>
      <c r="F379" s="5" t="s">
        <v>76</v>
      </c>
      <c r="G379" s="5" t="s">
        <v>28</v>
      </c>
      <c r="H379" s="5">
        <v>28</v>
      </c>
      <c r="I379" s="5">
        <v>896</v>
      </c>
      <c r="J379" s="5">
        <v>1363</v>
      </c>
      <c r="K379" s="6">
        <f t="shared" si="20"/>
        <v>25088</v>
      </c>
      <c r="L379" s="6">
        <f t="shared" si="21"/>
        <v>38164</v>
      </c>
      <c r="M379" s="6">
        <f t="shared" si="22"/>
        <v>13076</v>
      </c>
      <c r="N379" s="6" t="str">
        <f t="shared" si="23"/>
        <v>profit</v>
      </c>
    </row>
    <row r="380" spans="1:14" ht="16.5" thickTop="1" thickBot="1" x14ac:dyDescent="0.3">
      <c r="A380" s="4">
        <v>45611</v>
      </c>
      <c r="B380" s="4" t="s">
        <v>161</v>
      </c>
      <c r="C380" s="5" t="s">
        <v>215</v>
      </c>
      <c r="D380" s="5" t="s">
        <v>46</v>
      </c>
      <c r="E380" s="5" t="s">
        <v>63</v>
      </c>
      <c r="F380" s="5" t="s">
        <v>35</v>
      </c>
      <c r="G380" s="5" t="s">
        <v>28</v>
      </c>
      <c r="H380" s="5">
        <v>28</v>
      </c>
      <c r="I380" s="5">
        <v>986</v>
      </c>
      <c r="J380" s="5">
        <v>866</v>
      </c>
      <c r="K380" s="6">
        <f t="shared" si="20"/>
        <v>27608</v>
      </c>
      <c r="L380" s="6">
        <f t="shared" si="21"/>
        <v>24248</v>
      </c>
      <c r="M380" s="6">
        <f t="shared" si="22"/>
        <v>-3360</v>
      </c>
      <c r="N380" s="6" t="str">
        <f t="shared" si="23"/>
        <v>loss</v>
      </c>
    </row>
    <row r="381" spans="1:14" ht="16.5" thickTop="1" thickBot="1" x14ac:dyDescent="0.3">
      <c r="A381" s="4">
        <v>45612</v>
      </c>
      <c r="B381" s="4" t="s">
        <v>161</v>
      </c>
      <c r="C381" s="5" t="s">
        <v>216</v>
      </c>
      <c r="D381" s="5" t="s">
        <v>46</v>
      </c>
      <c r="E381" s="5" t="s">
        <v>63</v>
      </c>
      <c r="F381" s="5" t="s">
        <v>44</v>
      </c>
      <c r="G381" s="5" t="s">
        <v>28</v>
      </c>
      <c r="H381" s="5">
        <v>27</v>
      </c>
      <c r="I381" s="5">
        <v>951</v>
      </c>
      <c r="J381" s="5">
        <v>1255</v>
      </c>
      <c r="K381" s="6">
        <f t="shared" si="20"/>
        <v>25677</v>
      </c>
      <c r="L381" s="6">
        <f t="shared" si="21"/>
        <v>33885</v>
      </c>
      <c r="M381" s="6">
        <f t="shared" si="22"/>
        <v>8208</v>
      </c>
      <c r="N381" s="6" t="str">
        <f t="shared" si="23"/>
        <v>profit</v>
      </c>
    </row>
    <row r="382" spans="1:14" ht="16.5" thickTop="1" thickBot="1" x14ac:dyDescent="0.3">
      <c r="A382" s="4">
        <v>45432</v>
      </c>
      <c r="B382" s="4" t="s">
        <v>97</v>
      </c>
      <c r="C382" s="5" t="s">
        <v>98</v>
      </c>
      <c r="D382" s="5" t="s">
        <v>33</v>
      </c>
      <c r="E382" s="5" t="s">
        <v>99</v>
      </c>
      <c r="F382" s="5" t="s">
        <v>35</v>
      </c>
      <c r="G382" s="5" t="s">
        <v>28</v>
      </c>
      <c r="H382" s="5">
        <v>63</v>
      </c>
      <c r="I382" s="5">
        <v>929</v>
      </c>
      <c r="J382" s="5">
        <v>1320</v>
      </c>
      <c r="K382" s="6">
        <f t="shared" si="20"/>
        <v>58527</v>
      </c>
      <c r="L382" s="6">
        <f t="shared" si="21"/>
        <v>83160</v>
      </c>
      <c r="M382" s="6">
        <f t="shared" si="22"/>
        <v>24633</v>
      </c>
      <c r="N382" s="6" t="str">
        <f t="shared" si="23"/>
        <v>profit</v>
      </c>
    </row>
    <row r="383" spans="1:14" ht="16.5" thickTop="1" thickBot="1" x14ac:dyDescent="0.3">
      <c r="A383" s="4">
        <v>45613</v>
      </c>
      <c r="B383" s="4" t="s">
        <v>161</v>
      </c>
      <c r="C383" s="5" t="s">
        <v>217</v>
      </c>
      <c r="D383" s="5" t="s">
        <v>46</v>
      </c>
      <c r="E383" s="5" t="s">
        <v>63</v>
      </c>
      <c r="F383" s="5" t="s">
        <v>60</v>
      </c>
      <c r="G383" s="5" t="s">
        <v>28</v>
      </c>
      <c r="H383" s="5">
        <v>22</v>
      </c>
      <c r="I383" s="5">
        <v>783</v>
      </c>
      <c r="J383" s="5">
        <v>886</v>
      </c>
      <c r="K383" s="6">
        <f t="shared" si="20"/>
        <v>17226</v>
      </c>
      <c r="L383" s="6">
        <f t="shared" si="21"/>
        <v>19492</v>
      </c>
      <c r="M383" s="6">
        <f t="shared" si="22"/>
        <v>2266</v>
      </c>
      <c r="N383" s="6" t="str">
        <f t="shared" si="23"/>
        <v>profit</v>
      </c>
    </row>
    <row r="384" spans="1:14" ht="16.5" thickTop="1" thickBot="1" x14ac:dyDescent="0.3">
      <c r="A384" s="4">
        <v>45615</v>
      </c>
      <c r="B384" s="4" t="s">
        <v>161</v>
      </c>
      <c r="C384" s="5" t="s">
        <v>218</v>
      </c>
      <c r="D384" s="5" t="s">
        <v>46</v>
      </c>
      <c r="E384" s="5" t="s">
        <v>63</v>
      </c>
      <c r="F384" s="5" t="s">
        <v>39</v>
      </c>
      <c r="G384" s="5" t="s">
        <v>19</v>
      </c>
      <c r="H384" s="5">
        <v>21</v>
      </c>
      <c r="I384" s="5">
        <v>547</v>
      </c>
      <c r="J384" s="5">
        <v>784</v>
      </c>
      <c r="K384" s="6">
        <f t="shared" si="20"/>
        <v>11487</v>
      </c>
      <c r="L384" s="6">
        <f t="shared" si="21"/>
        <v>16464</v>
      </c>
      <c r="M384" s="6">
        <f t="shared" si="22"/>
        <v>4977</v>
      </c>
      <c r="N384" s="6" t="str">
        <f t="shared" si="23"/>
        <v>profit</v>
      </c>
    </row>
    <row r="385" spans="1:14" ht="16.5" thickTop="1" thickBot="1" x14ac:dyDescent="0.3">
      <c r="A385" s="4">
        <v>45617</v>
      </c>
      <c r="B385" s="4" t="s">
        <v>161</v>
      </c>
      <c r="C385" s="5" t="s">
        <v>219</v>
      </c>
      <c r="D385" s="5" t="s">
        <v>46</v>
      </c>
      <c r="E385" s="5" t="s">
        <v>63</v>
      </c>
      <c r="F385" s="5" t="s">
        <v>44</v>
      </c>
      <c r="G385" s="5" t="s">
        <v>28</v>
      </c>
      <c r="H385" s="5">
        <v>20</v>
      </c>
      <c r="I385" s="5">
        <v>737</v>
      </c>
      <c r="J385" s="5">
        <v>932</v>
      </c>
      <c r="K385" s="6">
        <f t="shared" si="20"/>
        <v>14740</v>
      </c>
      <c r="L385" s="6">
        <f t="shared" si="21"/>
        <v>18640</v>
      </c>
      <c r="M385" s="6">
        <f t="shared" si="22"/>
        <v>3900</v>
      </c>
      <c r="N385" s="6" t="str">
        <f t="shared" si="23"/>
        <v>profit</v>
      </c>
    </row>
    <row r="386" spans="1:14" ht="16.5" thickTop="1" thickBot="1" x14ac:dyDescent="0.3">
      <c r="A386" s="4">
        <v>45618</v>
      </c>
      <c r="B386" s="4" t="s">
        <v>161</v>
      </c>
      <c r="C386" s="5" t="s">
        <v>221</v>
      </c>
      <c r="D386" s="5" t="s">
        <v>46</v>
      </c>
      <c r="E386" s="5" t="s">
        <v>63</v>
      </c>
      <c r="F386" s="5" t="s">
        <v>27</v>
      </c>
      <c r="G386" s="5" t="s">
        <v>28</v>
      </c>
      <c r="H386" s="5">
        <v>25</v>
      </c>
      <c r="I386" s="5">
        <v>924</v>
      </c>
      <c r="J386" s="5">
        <v>1062</v>
      </c>
      <c r="K386" s="6">
        <f t="shared" ref="K386:K449" si="24">H386*I386</f>
        <v>23100</v>
      </c>
      <c r="L386" s="6">
        <f t="shared" ref="L386:L449" si="25">H386*J386</f>
        <v>26550</v>
      </c>
      <c r="M386" s="6">
        <f t="shared" ref="M386:M449" si="26">L386-K386</f>
        <v>3450</v>
      </c>
      <c r="N386" s="6" t="str">
        <f t="shared" ref="N386:N449" si="27">IF(M386&gt;0,"profit","loss")</f>
        <v>profit</v>
      </c>
    </row>
    <row r="387" spans="1:14" ht="16.5" thickTop="1" thickBot="1" x14ac:dyDescent="0.3">
      <c r="A387" s="4">
        <v>45619</v>
      </c>
      <c r="B387" s="4" t="s">
        <v>161</v>
      </c>
      <c r="C387" s="5" t="s">
        <v>223</v>
      </c>
      <c r="D387" s="5" t="s">
        <v>46</v>
      </c>
      <c r="E387" s="5" t="s">
        <v>63</v>
      </c>
      <c r="F387" s="5" t="s">
        <v>44</v>
      </c>
      <c r="G387" s="5" t="s">
        <v>28</v>
      </c>
      <c r="H387" s="5">
        <v>28</v>
      </c>
      <c r="I387" s="5">
        <v>665</v>
      </c>
      <c r="J387" s="5">
        <v>1467</v>
      </c>
      <c r="K387" s="6">
        <f t="shared" si="24"/>
        <v>18620</v>
      </c>
      <c r="L387" s="6">
        <f t="shared" si="25"/>
        <v>41076</v>
      </c>
      <c r="M387" s="6">
        <f t="shared" si="26"/>
        <v>22456</v>
      </c>
      <c r="N387" s="6" t="str">
        <f t="shared" si="27"/>
        <v>profit</v>
      </c>
    </row>
    <row r="388" spans="1:14" ht="16.5" thickTop="1" thickBot="1" x14ac:dyDescent="0.3">
      <c r="A388" s="4">
        <v>45620</v>
      </c>
      <c r="B388" s="4" t="s">
        <v>161</v>
      </c>
      <c r="C388" s="5" t="s">
        <v>225</v>
      </c>
      <c r="D388" s="5" t="s">
        <v>46</v>
      </c>
      <c r="E388" s="5" t="s">
        <v>63</v>
      </c>
      <c r="F388" s="5" t="s">
        <v>49</v>
      </c>
      <c r="G388" s="5" t="s">
        <v>28</v>
      </c>
      <c r="H388" s="5">
        <v>24</v>
      </c>
      <c r="I388" s="5">
        <v>839</v>
      </c>
      <c r="J388" s="5">
        <v>1092</v>
      </c>
      <c r="K388" s="6">
        <f t="shared" si="24"/>
        <v>20136</v>
      </c>
      <c r="L388" s="6">
        <f t="shared" si="25"/>
        <v>26208</v>
      </c>
      <c r="M388" s="6">
        <f t="shared" si="26"/>
        <v>6072</v>
      </c>
      <c r="N388" s="6" t="str">
        <f t="shared" si="27"/>
        <v>profit</v>
      </c>
    </row>
    <row r="389" spans="1:14" ht="16.5" thickTop="1" thickBot="1" x14ac:dyDescent="0.3">
      <c r="A389" s="4">
        <v>45621</v>
      </c>
      <c r="B389" s="4" t="s">
        <v>161</v>
      </c>
      <c r="C389" s="5" t="s">
        <v>226</v>
      </c>
      <c r="D389" s="5" t="s">
        <v>46</v>
      </c>
      <c r="E389" s="5" t="s">
        <v>63</v>
      </c>
      <c r="F389" s="5" t="s">
        <v>27</v>
      </c>
      <c r="G389" s="5" t="s">
        <v>28</v>
      </c>
      <c r="H389" s="5">
        <v>30</v>
      </c>
      <c r="I389" s="5">
        <v>790</v>
      </c>
      <c r="J389" s="5">
        <v>1245</v>
      </c>
      <c r="K389" s="6">
        <f t="shared" si="24"/>
        <v>23700</v>
      </c>
      <c r="L389" s="6">
        <f t="shared" si="25"/>
        <v>37350</v>
      </c>
      <c r="M389" s="6">
        <f t="shared" si="26"/>
        <v>13650</v>
      </c>
      <c r="N389" s="6" t="str">
        <f t="shared" si="27"/>
        <v>profit</v>
      </c>
    </row>
    <row r="390" spans="1:14" ht="16.5" thickTop="1" thickBot="1" x14ac:dyDescent="0.3">
      <c r="A390" s="4">
        <v>45622</v>
      </c>
      <c r="B390" s="4" t="s">
        <v>161</v>
      </c>
      <c r="C390" s="5" t="s">
        <v>227</v>
      </c>
      <c r="D390" s="5" t="s">
        <v>46</v>
      </c>
      <c r="E390" s="5" t="s">
        <v>63</v>
      </c>
      <c r="F390" s="5" t="s">
        <v>52</v>
      </c>
      <c r="G390" s="5" t="s">
        <v>19</v>
      </c>
      <c r="H390" s="5">
        <v>30</v>
      </c>
      <c r="I390" s="5">
        <v>651</v>
      </c>
      <c r="J390" s="5">
        <v>1277</v>
      </c>
      <c r="K390" s="6">
        <f t="shared" si="24"/>
        <v>19530</v>
      </c>
      <c r="L390" s="6">
        <f t="shared" si="25"/>
        <v>38310</v>
      </c>
      <c r="M390" s="6">
        <f t="shared" si="26"/>
        <v>18780</v>
      </c>
      <c r="N390" s="6" t="str">
        <f t="shared" si="27"/>
        <v>profit</v>
      </c>
    </row>
    <row r="391" spans="1:14" ht="16.5" thickTop="1" thickBot="1" x14ac:dyDescent="0.3">
      <c r="A391" s="4">
        <v>45441</v>
      </c>
      <c r="B391" s="4" t="s">
        <v>97</v>
      </c>
      <c r="C391" s="5" t="s">
        <v>108</v>
      </c>
      <c r="D391" s="5" t="s">
        <v>33</v>
      </c>
      <c r="E391" s="5" t="s">
        <v>99</v>
      </c>
      <c r="F391" s="5" t="s">
        <v>54</v>
      </c>
      <c r="G391" s="5" t="s">
        <v>28</v>
      </c>
      <c r="H391" s="5">
        <v>67</v>
      </c>
      <c r="I391" s="5">
        <v>796</v>
      </c>
      <c r="J391" s="5">
        <v>1347</v>
      </c>
      <c r="K391" s="6">
        <f t="shared" si="24"/>
        <v>53332</v>
      </c>
      <c r="L391" s="6">
        <f t="shared" si="25"/>
        <v>90249</v>
      </c>
      <c r="M391" s="6">
        <f t="shared" si="26"/>
        <v>36917</v>
      </c>
      <c r="N391" s="6" t="str">
        <f t="shared" si="27"/>
        <v>profit</v>
      </c>
    </row>
    <row r="392" spans="1:14" ht="16.5" thickTop="1" thickBot="1" x14ac:dyDescent="0.3">
      <c r="A392" s="4">
        <v>45623</v>
      </c>
      <c r="B392" s="4" t="s">
        <v>161</v>
      </c>
      <c r="C392" s="5" t="s">
        <v>228</v>
      </c>
      <c r="D392" s="5" t="s">
        <v>46</v>
      </c>
      <c r="E392" s="5" t="s">
        <v>63</v>
      </c>
      <c r="F392" s="5" t="s">
        <v>54</v>
      </c>
      <c r="G392" s="5" t="s">
        <v>19</v>
      </c>
      <c r="H392" s="5">
        <v>23</v>
      </c>
      <c r="I392" s="5">
        <v>531</v>
      </c>
      <c r="J392" s="5">
        <v>1072</v>
      </c>
      <c r="K392" s="6">
        <f t="shared" si="24"/>
        <v>12213</v>
      </c>
      <c r="L392" s="6">
        <f t="shared" si="25"/>
        <v>24656</v>
      </c>
      <c r="M392" s="6">
        <f t="shared" si="26"/>
        <v>12443</v>
      </c>
      <c r="N392" s="6" t="str">
        <f t="shared" si="27"/>
        <v>profit</v>
      </c>
    </row>
    <row r="393" spans="1:14" ht="16.5" thickTop="1" thickBot="1" x14ac:dyDescent="0.3">
      <c r="A393" s="4">
        <v>45624</v>
      </c>
      <c r="B393" s="4" t="s">
        <v>161</v>
      </c>
      <c r="C393" s="5" t="s">
        <v>229</v>
      </c>
      <c r="D393" s="5" t="s">
        <v>46</v>
      </c>
      <c r="E393" s="5" t="s">
        <v>118</v>
      </c>
      <c r="F393" s="5" t="s">
        <v>35</v>
      </c>
      <c r="G393" s="5" t="s">
        <v>19</v>
      </c>
      <c r="H393" s="5">
        <v>30</v>
      </c>
      <c r="I393" s="5">
        <v>591</v>
      </c>
      <c r="J393" s="5">
        <v>949</v>
      </c>
      <c r="K393" s="6">
        <f t="shared" si="24"/>
        <v>17730</v>
      </c>
      <c r="L393" s="6">
        <f t="shared" si="25"/>
        <v>28470</v>
      </c>
      <c r="M393" s="6">
        <f t="shared" si="26"/>
        <v>10740</v>
      </c>
      <c r="N393" s="6" t="str">
        <f t="shared" si="27"/>
        <v>profit</v>
      </c>
    </row>
    <row r="394" spans="1:14" ht="16.5" thickTop="1" thickBot="1" x14ac:dyDescent="0.3">
      <c r="A394" s="4">
        <v>45625</v>
      </c>
      <c r="B394" s="4" t="s">
        <v>161</v>
      </c>
      <c r="C394" s="5" t="s">
        <v>230</v>
      </c>
      <c r="D394" s="5" t="s">
        <v>46</v>
      </c>
      <c r="E394" s="5" t="s">
        <v>118</v>
      </c>
      <c r="F394" s="5" t="s">
        <v>39</v>
      </c>
      <c r="G394" s="5" t="s">
        <v>19</v>
      </c>
      <c r="H394" s="5">
        <v>29</v>
      </c>
      <c r="I394" s="5">
        <v>621</v>
      </c>
      <c r="J394" s="5">
        <v>1485</v>
      </c>
      <c r="K394" s="6">
        <f t="shared" si="24"/>
        <v>18009</v>
      </c>
      <c r="L394" s="6">
        <f t="shared" si="25"/>
        <v>43065</v>
      </c>
      <c r="M394" s="6">
        <f t="shared" si="26"/>
        <v>25056</v>
      </c>
      <c r="N394" s="6" t="str">
        <f t="shared" si="27"/>
        <v>profit</v>
      </c>
    </row>
    <row r="395" spans="1:14" ht="16.5" thickTop="1" thickBot="1" x14ac:dyDescent="0.3">
      <c r="A395" s="4">
        <v>45627</v>
      </c>
      <c r="B395" s="4" t="s">
        <v>190</v>
      </c>
      <c r="C395" s="5" t="s">
        <v>232</v>
      </c>
      <c r="D395" s="5" t="s">
        <v>46</v>
      </c>
      <c r="E395" s="5" t="s">
        <v>118</v>
      </c>
      <c r="F395" s="5" t="s">
        <v>64</v>
      </c>
      <c r="G395" s="5" t="s">
        <v>19</v>
      </c>
      <c r="H395" s="5">
        <v>30</v>
      </c>
      <c r="I395" s="5">
        <v>857</v>
      </c>
      <c r="J395" s="5">
        <v>1455</v>
      </c>
      <c r="K395" s="6">
        <f t="shared" si="24"/>
        <v>25710</v>
      </c>
      <c r="L395" s="6">
        <f t="shared" si="25"/>
        <v>43650</v>
      </c>
      <c r="M395" s="6">
        <f t="shared" si="26"/>
        <v>17940</v>
      </c>
      <c r="N395" s="6" t="str">
        <f t="shared" si="27"/>
        <v>profit</v>
      </c>
    </row>
    <row r="396" spans="1:14" ht="16.5" thickTop="1" thickBot="1" x14ac:dyDescent="0.3">
      <c r="A396" s="4">
        <v>45628</v>
      </c>
      <c r="B396" s="4" t="s">
        <v>190</v>
      </c>
      <c r="C396" s="5" t="s">
        <v>233</v>
      </c>
      <c r="D396" s="5" t="s">
        <v>46</v>
      </c>
      <c r="E396" s="5" t="s">
        <v>118</v>
      </c>
      <c r="F396" s="5" t="s">
        <v>64</v>
      </c>
      <c r="G396" s="5" t="s">
        <v>19</v>
      </c>
      <c r="H396" s="5">
        <v>20</v>
      </c>
      <c r="I396" s="5">
        <v>897</v>
      </c>
      <c r="J396" s="5">
        <v>1024</v>
      </c>
      <c r="K396" s="6">
        <f t="shared" si="24"/>
        <v>17940</v>
      </c>
      <c r="L396" s="6">
        <f t="shared" si="25"/>
        <v>20480</v>
      </c>
      <c r="M396" s="6">
        <f t="shared" si="26"/>
        <v>2540</v>
      </c>
      <c r="N396" s="6" t="str">
        <f t="shared" si="27"/>
        <v>profit</v>
      </c>
    </row>
    <row r="397" spans="1:14" ht="16.5" thickTop="1" thickBot="1" x14ac:dyDescent="0.3">
      <c r="A397" s="4">
        <v>45630</v>
      </c>
      <c r="B397" s="4" t="s">
        <v>190</v>
      </c>
      <c r="C397" s="5" t="s">
        <v>234</v>
      </c>
      <c r="D397" s="5" t="s">
        <v>46</v>
      </c>
      <c r="E397" s="5" t="s">
        <v>118</v>
      </c>
      <c r="F397" s="5" t="s">
        <v>39</v>
      </c>
      <c r="G397" s="5" t="s">
        <v>28</v>
      </c>
      <c r="H397" s="5">
        <v>22</v>
      </c>
      <c r="I397" s="5">
        <v>781</v>
      </c>
      <c r="J397" s="5">
        <v>1423</v>
      </c>
      <c r="K397" s="6">
        <f t="shared" si="24"/>
        <v>17182</v>
      </c>
      <c r="L397" s="6">
        <f t="shared" si="25"/>
        <v>31306</v>
      </c>
      <c r="M397" s="6">
        <f t="shared" si="26"/>
        <v>14124</v>
      </c>
      <c r="N397" s="6" t="str">
        <f t="shared" si="27"/>
        <v>profit</v>
      </c>
    </row>
    <row r="398" spans="1:14" ht="16.5" thickTop="1" thickBot="1" x14ac:dyDescent="0.3">
      <c r="A398" s="4">
        <v>45631</v>
      </c>
      <c r="B398" s="4" t="s">
        <v>190</v>
      </c>
      <c r="C398" s="5" t="s">
        <v>235</v>
      </c>
      <c r="D398" s="5" t="s">
        <v>46</v>
      </c>
      <c r="E398" s="5" t="s">
        <v>118</v>
      </c>
      <c r="F398" s="5" t="s">
        <v>30</v>
      </c>
      <c r="G398" s="5" t="s">
        <v>28</v>
      </c>
      <c r="H398" s="5">
        <v>20</v>
      </c>
      <c r="I398" s="5">
        <v>854</v>
      </c>
      <c r="J398" s="5">
        <v>956</v>
      </c>
      <c r="K398" s="6">
        <f t="shared" si="24"/>
        <v>17080</v>
      </c>
      <c r="L398" s="6">
        <f t="shared" si="25"/>
        <v>19120</v>
      </c>
      <c r="M398" s="6">
        <f t="shared" si="26"/>
        <v>2040</v>
      </c>
      <c r="N398" s="6" t="str">
        <f t="shared" si="27"/>
        <v>profit</v>
      </c>
    </row>
    <row r="399" spans="1:14" ht="16.5" thickTop="1" thickBot="1" x14ac:dyDescent="0.3">
      <c r="A399" s="4">
        <v>45632</v>
      </c>
      <c r="B399" s="4" t="s">
        <v>190</v>
      </c>
      <c r="C399" s="5" t="s">
        <v>236</v>
      </c>
      <c r="D399" s="5" t="s">
        <v>46</v>
      </c>
      <c r="E399" s="5" t="s">
        <v>118</v>
      </c>
      <c r="F399" s="5" t="s">
        <v>113</v>
      </c>
      <c r="G399" s="5" t="s">
        <v>28</v>
      </c>
      <c r="H399" s="5">
        <v>26</v>
      </c>
      <c r="I399" s="5">
        <v>909</v>
      </c>
      <c r="J399" s="5">
        <v>1206</v>
      </c>
      <c r="K399" s="6">
        <f t="shared" si="24"/>
        <v>23634</v>
      </c>
      <c r="L399" s="6">
        <f t="shared" si="25"/>
        <v>31356</v>
      </c>
      <c r="M399" s="6">
        <f t="shared" si="26"/>
        <v>7722</v>
      </c>
      <c r="N399" s="6" t="str">
        <f t="shared" si="27"/>
        <v>profit</v>
      </c>
    </row>
    <row r="400" spans="1:14" ht="16.5" thickTop="1" thickBot="1" x14ac:dyDescent="0.3">
      <c r="A400" s="4">
        <v>45633</v>
      </c>
      <c r="B400" s="4" t="s">
        <v>190</v>
      </c>
      <c r="C400" s="5" t="s">
        <v>237</v>
      </c>
      <c r="D400" s="5" t="s">
        <v>46</v>
      </c>
      <c r="E400" s="5" t="s">
        <v>118</v>
      </c>
      <c r="F400" s="5" t="s">
        <v>44</v>
      </c>
      <c r="G400" s="5" t="s">
        <v>19</v>
      </c>
      <c r="H400" s="5">
        <v>20</v>
      </c>
      <c r="I400" s="5">
        <v>976</v>
      </c>
      <c r="J400" s="5">
        <v>905</v>
      </c>
      <c r="K400" s="6">
        <f t="shared" si="24"/>
        <v>19520</v>
      </c>
      <c r="L400" s="6">
        <f t="shared" si="25"/>
        <v>18100</v>
      </c>
      <c r="M400" s="6">
        <f t="shared" si="26"/>
        <v>-1420</v>
      </c>
      <c r="N400" s="6" t="str">
        <f t="shared" si="27"/>
        <v>loss</v>
      </c>
    </row>
    <row r="401" spans="1:14" ht="16.5" thickTop="1" thickBot="1" x14ac:dyDescent="0.3">
      <c r="A401" s="4">
        <v>45635</v>
      </c>
      <c r="B401" s="4" t="s">
        <v>190</v>
      </c>
      <c r="C401" s="5" t="s">
        <v>238</v>
      </c>
      <c r="D401" s="5" t="s">
        <v>46</v>
      </c>
      <c r="E401" s="5" t="s">
        <v>118</v>
      </c>
      <c r="F401" s="5" t="s">
        <v>155</v>
      </c>
      <c r="G401" s="5" t="s">
        <v>28</v>
      </c>
      <c r="H401" s="5">
        <v>24</v>
      </c>
      <c r="I401" s="5">
        <v>787</v>
      </c>
      <c r="J401" s="5">
        <v>1122</v>
      </c>
      <c r="K401" s="6">
        <f t="shared" si="24"/>
        <v>18888</v>
      </c>
      <c r="L401" s="6">
        <f t="shared" si="25"/>
        <v>26928</v>
      </c>
      <c r="M401" s="6">
        <f t="shared" si="26"/>
        <v>8040</v>
      </c>
      <c r="N401" s="6" t="str">
        <f t="shared" si="27"/>
        <v>profit</v>
      </c>
    </row>
    <row r="402" spans="1:14" ht="16.5" thickTop="1" thickBot="1" x14ac:dyDescent="0.3">
      <c r="A402" s="4">
        <v>45689</v>
      </c>
      <c r="B402" s="4" t="s">
        <v>239</v>
      </c>
      <c r="C402" s="5" t="s">
        <v>240</v>
      </c>
      <c r="D402" s="5" t="s">
        <v>46</v>
      </c>
      <c r="E402" s="5" t="s">
        <v>118</v>
      </c>
      <c r="F402" s="5" t="s">
        <v>44</v>
      </c>
      <c r="G402" s="5" t="s">
        <v>19</v>
      </c>
      <c r="H402" s="5">
        <v>23</v>
      </c>
      <c r="I402" s="5">
        <v>755</v>
      </c>
      <c r="J402" s="5">
        <v>806</v>
      </c>
      <c r="K402" s="6">
        <f t="shared" si="24"/>
        <v>17365</v>
      </c>
      <c r="L402" s="6">
        <f t="shared" si="25"/>
        <v>18538</v>
      </c>
      <c r="M402" s="6">
        <f t="shared" si="26"/>
        <v>1173</v>
      </c>
      <c r="N402" s="6" t="str">
        <f t="shared" si="27"/>
        <v>profit</v>
      </c>
    </row>
    <row r="403" spans="1:14" ht="16.5" thickTop="1" thickBot="1" x14ac:dyDescent="0.3">
      <c r="A403" s="4">
        <v>45690</v>
      </c>
      <c r="B403" s="4" t="s">
        <v>239</v>
      </c>
      <c r="C403" s="5" t="s">
        <v>241</v>
      </c>
      <c r="D403" s="5" t="s">
        <v>46</v>
      </c>
      <c r="E403" s="5" t="s">
        <v>118</v>
      </c>
      <c r="F403" s="5" t="s">
        <v>153</v>
      </c>
      <c r="G403" s="5" t="s">
        <v>19</v>
      </c>
      <c r="H403" s="5">
        <v>26</v>
      </c>
      <c r="I403" s="5">
        <v>573</v>
      </c>
      <c r="J403" s="5">
        <v>1309</v>
      </c>
      <c r="K403" s="6">
        <f t="shared" si="24"/>
        <v>14898</v>
      </c>
      <c r="L403" s="6">
        <f t="shared" si="25"/>
        <v>34034</v>
      </c>
      <c r="M403" s="6">
        <f t="shared" si="26"/>
        <v>19136</v>
      </c>
      <c r="N403" s="6" t="str">
        <f t="shared" si="27"/>
        <v>profit</v>
      </c>
    </row>
    <row r="404" spans="1:14" ht="16.5" thickTop="1" thickBot="1" x14ac:dyDescent="0.3">
      <c r="A404" s="4">
        <v>45691</v>
      </c>
      <c r="B404" s="4" t="s">
        <v>239</v>
      </c>
      <c r="C404" s="5" t="s">
        <v>242</v>
      </c>
      <c r="D404" s="5" t="s">
        <v>46</v>
      </c>
      <c r="E404" s="5" t="s">
        <v>118</v>
      </c>
      <c r="F404" s="5" t="s">
        <v>155</v>
      </c>
      <c r="G404" s="5" t="s">
        <v>19</v>
      </c>
      <c r="H404" s="5">
        <v>30</v>
      </c>
      <c r="I404" s="5">
        <v>946</v>
      </c>
      <c r="J404" s="5">
        <v>1089</v>
      </c>
      <c r="K404" s="6">
        <f t="shared" si="24"/>
        <v>28380</v>
      </c>
      <c r="L404" s="6">
        <f t="shared" si="25"/>
        <v>32670</v>
      </c>
      <c r="M404" s="6">
        <f t="shared" si="26"/>
        <v>4290</v>
      </c>
      <c r="N404" s="6" t="str">
        <f t="shared" si="27"/>
        <v>profit</v>
      </c>
    </row>
    <row r="405" spans="1:14" ht="16.5" thickTop="1" thickBot="1" x14ac:dyDescent="0.3">
      <c r="A405" s="4">
        <v>45692</v>
      </c>
      <c r="B405" s="4" t="s">
        <v>239</v>
      </c>
      <c r="C405" s="5" t="s">
        <v>244</v>
      </c>
      <c r="D405" s="5" t="s">
        <v>46</v>
      </c>
      <c r="E405" s="5" t="s">
        <v>118</v>
      </c>
      <c r="F405" s="5" t="s">
        <v>18</v>
      </c>
      <c r="G405" s="5" t="s">
        <v>28</v>
      </c>
      <c r="H405" s="5">
        <v>22</v>
      </c>
      <c r="I405" s="5">
        <v>679</v>
      </c>
      <c r="J405" s="5">
        <v>1463</v>
      </c>
      <c r="K405" s="6">
        <f t="shared" si="24"/>
        <v>14938</v>
      </c>
      <c r="L405" s="6">
        <f t="shared" si="25"/>
        <v>32186</v>
      </c>
      <c r="M405" s="6">
        <f t="shared" si="26"/>
        <v>17248</v>
      </c>
      <c r="N405" s="6" t="str">
        <f t="shared" si="27"/>
        <v>profit</v>
      </c>
    </row>
    <row r="406" spans="1:14" ht="16.5" thickTop="1" thickBot="1" x14ac:dyDescent="0.3">
      <c r="A406" s="4">
        <v>45693</v>
      </c>
      <c r="B406" s="4" t="s">
        <v>239</v>
      </c>
      <c r="C406" s="5" t="s">
        <v>245</v>
      </c>
      <c r="D406" s="5" t="s">
        <v>46</v>
      </c>
      <c r="E406" s="5" t="s">
        <v>118</v>
      </c>
      <c r="F406" s="5" t="s">
        <v>21</v>
      </c>
      <c r="G406" s="5" t="s">
        <v>28</v>
      </c>
      <c r="H406" s="5">
        <v>25</v>
      </c>
      <c r="I406" s="5">
        <v>975</v>
      </c>
      <c r="J406" s="5">
        <v>935</v>
      </c>
      <c r="K406" s="6">
        <f t="shared" si="24"/>
        <v>24375</v>
      </c>
      <c r="L406" s="6">
        <f t="shared" si="25"/>
        <v>23375</v>
      </c>
      <c r="M406" s="6">
        <f t="shared" si="26"/>
        <v>-1000</v>
      </c>
      <c r="N406" s="6" t="str">
        <f t="shared" si="27"/>
        <v>loss</v>
      </c>
    </row>
    <row r="407" spans="1:14" ht="16.5" thickTop="1" thickBot="1" x14ac:dyDescent="0.3">
      <c r="A407" s="4">
        <v>45694</v>
      </c>
      <c r="B407" s="4" t="s">
        <v>239</v>
      </c>
      <c r="C407" s="5" t="s">
        <v>246</v>
      </c>
      <c r="D407" s="5" t="s">
        <v>46</v>
      </c>
      <c r="E407" s="5" t="s">
        <v>118</v>
      </c>
      <c r="F407" s="5" t="s">
        <v>23</v>
      </c>
      <c r="G407" s="5" t="s">
        <v>28</v>
      </c>
      <c r="H407" s="5">
        <v>24</v>
      </c>
      <c r="I407" s="5">
        <v>642</v>
      </c>
      <c r="J407" s="5">
        <v>996</v>
      </c>
      <c r="K407" s="6">
        <f t="shared" si="24"/>
        <v>15408</v>
      </c>
      <c r="L407" s="6">
        <f t="shared" si="25"/>
        <v>23904</v>
      </c>
      <c r="M407" s="6">
        <f t="shared" si="26"/>
        <v>8496</v>
      </c>
      <c r="N407" s="6" t="str">
        <f t="shared" si="27"/>
        <v>profit</v>
      </c>
    </row>
    <row r="408" spans="1:14" ht="16.5" thickTop="1" thickBot="1" x14ac:dyDescent="0.3">
      <c r="A408" s="4">
        <v>45458</v>
      </c>
      <c r="B408" s="4" t="s">
        <v>14</v>
      </c>
      <c r="C408" s="5" t="s">
        <v>114</v>
      </c>
      <c r="D408" s="5" t="s">
        <v>16</v>
      </c>
      <c r="E408" s="5" t="s">
        <v>17</v>
      </c>
      <c r="F408" s="5" t="s">
        <v>25</v>
      </c>
      <c r="G408" s="5" t="s">
        <v>19</v>
      </c>
      <c r="H408" s="5">
        <v>14</v>
      </c>
      <c r="I408" s="5">
        <v>603</v>
      </c>
      <c r="J408" s="5">
        <v>1104</v>
      </c>
      <c r="K408" s="6">
        <f t="shared" si="24"/>
        <v>8442</v>
      </c>
      <c r="L408" s="6">
        <f t="shared" si="25"/>
        <v>15456</v>
      </c>
      <c r="M408" s="6">
        <f t="shared" si="26"/>
        <v>7014</v>
      </c>
      <c r="N408" s="6" t="str">
        <f t="shared" si="27"/>
        <v>profit</v>
      </c>
    </row>
    <row r="409" spans="1:14" ht="16.5" thickTop="1" thickBot="1" x14ac:dyDescent="0.3">
      <c r="A409" s="4">
        <v>45695</v>
      </c>
      <c r="B409" s="4" t="s">
        <v>239</v>
      </c>
      <c r="C409" s="5" t="s">
        <v>248</v>
      </c>
      <c r="D409" s="5" t="s">
        <v>46</v>
      </c>
      <c r="E409" s="5" t="s">
        <v>118</v>
      </c>
      <c r="F409" s="5" t="s">
        <v>25</v>
      </c>
      <c r="G409" s="5" t="s">
        <v>28</v>
      </c>
      <c r="H409" s="5">
        <v>29</v>
      </c>
      <c r="I409" s="5">
        <v>598</v>
      </c>
      <c r="J409" s="5">
        <v>923</v>
      </c>
      <c r="K409" s="6">
        <f t="shared" si="24"/>
        <v>17342</v>
      </c>
      <c r="L409" s="6">
        <f t="shared" si="25"/>
        <v>26767</v>
      </c>
      <c r="M409" s="6">
        <f t="shared" si="26"/>
        <v>9425</v>
      </c>
      <c r="N409" s="6" t="str">
        <f t="shared" si="27"/>
        <v>profit</v>
      </c>
    </row>
    <row r="410" spans="1:14" ht="16.5" thickTop="1" thickBot="1" x14ac:dyDescent="0.3">
      <c r="A410" s="4">
        <v>45696</v>
      </c>
      <c r="B410" s="4" t="s">
        <v>239</v>
      </c>
      <c r="C410" s="5" t="s">
        <v>249</v>
      </c>
      <c r="D410" s="5" t="s">
        <v>46</v>
      </c>
      <c r="E410" s="5" t="s">
        <v>118</v>
      </c>
      <c r="F410" s="5" t="s">
        <v>25</v>
      </c>
      <c r="G410" s="5" t="s">
        <v>28</v>
      </c>
      <c r="H410" s="5">
        <v>22</v>
      </c>
      <c r="I410" s="5">
        <v>719</v>
      </c>
      <c r="J410" s="5">
        <v>1079</v>
      </c>
      <c r="K410" s="6">
        <f t="shared" si="24"/>
        <v>15818</v>
      </c>
      <c r="L410" s="6">
        <f t="shared" si="25"/>
        <v>23738</v>
      </c>
      <c r="M410" s="6">
        <f t="shared" si="26"/>
        <v>7920</v>
      </c>
      <c r="N410" s="6" t="str">
        <f t="shared" si="27"/>
        <v>profit</v>
      </c>
    </row>
    <row r="411" spans="1:14" ht="16.5" thickTop="1" thickBot="1" x14ac:dyDescent="0.3">
      <c r="A411" s="4">
        <v>45697</v>
      </c>
      <c r="B411" s="4" t="s">
        <v>239</v>
      </c>
      <c r="C411" s="5" t="s">
        <v>250</v>
      </c>
      <c r="D411" s="5" t="s">
        <v>46</v>
      </c>
      <c r="E411" s="5" t="s">
        <v>118</v>
      </c>
      <c r="F411" s="5" t="s">
        <v>27</v>
      </c>
      <c r="G411" s="5" t="s">
        <v>19</v>
      </c>
      <c r="H411" s="5">
        <v>30</v>
      </c>
      <c r="I411" s="5">
        <v>716</v>
      </c>
      <c r="J411" s="5">
        <v>956</v>
      </c>
      <c r="K411" s="6">
        <f t="shared" si="24"/>
        <v>21480</v>
      </c>
      <c r="L411" s="6">
        <f t="shared" si="25"/>
        <v>28680</v>
      </c>
      <c r="M411" s="6">
        <f t="shared" si="26"/>
        <v>7200</v>
      </c>
      <c r="N411" s="6" t="str">
        <f t="shared" si="27"/>
        <v>profit</v>
      </c>
    </row>
    <row r="412" spans="1:14" ht="16.5" thickTop="1" thickBot="1" x14ac:dyDescent="0.3">
      <c r="A412" s="4">
        <v>45699</v>
      </c>
      <c r="B412" s="4" t="s">
        <v>239</v>
      </c>
      <c r="C412" s="5" t="s">
        <v>251</v>
      </c>
      <c r="D412" s="5" t="s">
        <v>46</v>
      </c>
      <c r="E412" s="5" t="s">
        <v>118</v>
      </c>
      <c r="F412" s="5" t="s">
        <v>35</v>
      </c>
      <c r="G412" s="5" t="s">
        <v>19</v>
      </c>
      <c r="H412" s="5">
        <v>29</v>
      </c>
      <c r="I412" s="5">
        <v>623</v>
      </c>
      <c r="J412" s="5">
        <v>919</v>
      </c>
      <c r="K412" s="6">
        <f t="shared" si="24"/>
        <v>18067</v>
      </c>
      <c r="L412" s="6">
        <f t="shared" si="25"/>
        <v>26651</v>
      </c>
      <c r="M412" s="6">
        <f t="shared" si="26"/>
        <v>8584</v>
      </c>
      <c r="N412" s="6" t="str">
        <f t="shared" si="27"/>
        <v>profit</v>
      </c>
    </row>
    <row r="413" spans="1:14" ht="16.5" thickTop="1" thickBot="1" x14ac:dyDescent="0.3">
      <c r="A413" s="4">
        <v>45383</v>
      </c>
      <c r="B413" s="4" t="s">
        <v>31</v>
      </c>
      <c r="C413" s="5" t="s">
        <v>131</v>
      </c>
      <c r="D413" s="5" t="s">
        <v>46</v>
      </c>
      <c r="E413" s="5" t="s">
        <v>47</v>
      </c>
      <c r="F413" s="5" t="s">
        <v>71</v>
      </c>
      <c r="G413" s="5" t="s">
        <v>28</v>
      </c>
      <c r="H413" s="5">
        <v>21</v>
      </c>
      <c r="I413" s="5">
        <v>553</v>
      </c>
      <c r="J413" s="5">
        <v>1459</v>
      </c>
      <c r="K413" s="6">
        <f t="shared" si="24"/>
        <v>11613</v>
      </c>
      <c r="L413" s="6">
        <f t="shared" si="25"/>
        <v>30639</v>
      </c>
      <c r="M413" s="6">
        <f t="shared" si="26"/>
        <v>19026</v>
      </c>
      <c r="N413" s="6" t="str">
        <f t="shared" si="27"/>
        <v>profit</v>
      </c>
    </row>
    <row r="414" spans="1:14" ht="16.5" thickTop="1" thickBot="1" x14ac:dyDescent="0.3">
      <c r="A414" s="4">
        <v>45464</v>
      </c>
      <c r="B414" s="4" t="s">
        <v>14</v>
      </c>
      <c r="C414" s="5" t="s">
        <v>115</v>
      </c>
      <c r="D414" s="5" t="s">
        <v>33</v>
      </c>
      <c r="E414" s="5" t="s">
        <v>99</v>
      </c>
      <c r="F414" s="5" t="s">
        <v>44</v>
      </c>
      <c r="G414" s="5" t="s">
        <v>19</v>
      </c>
      <c r="H414" s="5">
        <v>77</v>
      </c>
      <c r="I414" s="5">
        <v>923</v>
      </c>
      <c r="J414" s="5">
        <v>1132</v>
      </c>
      <c r="K414" s="6">
        <f t="shared" si="24"/>
        <v>71071</v>
      </c>
      <c r="L414" s="6">
        <f t="shared" si="25"/>
        <v>87164</v>
      </c>
      <c r="M414" s="6">
        <f t="shared" si="26"/>
        <v>16093</v>
      </c>
      <c r="N414" s="6" t="str">
        <f t="shared" si="27"/>
        <v>profit</v>
      </c>
    </row>
    <row r="415" spans="1:14" ht="16.5" thickTop="1" thickBot="1" x14ac:dyDescent="0.3">
      <c r="A415" s="4">
        <v>45384</v>
      </c>
      <c r="B415" s="4" t="s">
        <v>31</v>
      </c>
      <c r="C415" s="5" t="s">
        <v>132</v>
      </c>
      <c r="D415" s="5" t="s">
        <v>46</v>
      </c>
      <c r="E415" s="5" t="s">
        <v>133</v>
      </c>
      <c r="F415" s="5" t="s">
        <v>44</v>
      </c>
      <c r="G415" s="5" t="s">
        <v>28</v>
      </c>
      <c r="H415" s="5">
        <v>30</v>
      </c>
      <c r="I415" s="5">
        <v>719</v>
      </c>
      <c r="J415" s="5">
        <v>1162</v>
      </c>
      <c r="K415" s="6">
        <f t="shared" si="24"/>
        <v>21570</v>
      </c>
      <c r="L415" s="6">
        <f t="shared" si="25"/>
        <v>34860</v>
      </c>
      <c r="M415" s="6">
        <f t="shared" si="26"/>
        <v>13290</v>
      </c>
      <c r="N415" s="6" t="str">
        <f t="shared" si="27"/>
        <v>profit</v>
      </c>
    </row>
    <row r="416" spans="1:14" ht="16.5" thickTop="1" thickBot="1" x14ac:dyDescent="0.3">
      <c r="A416" s="4">
        <v>45385</v>
      </c>
      <c r="B416" s="4" t="s">
        <v>31</v>
      </c>
      <c r="C416" s="5" t="s">
        <v>134</v>
      </c>
      <c r="D416" s="5" t="s">
        <v>46</v>
      </c>
      <c r="E416" s="5" t="s">
        <v>133</v>
      </c>
      <c r="F416" s="5" t="s">
        <v>25</v>
      </c>
      <c r="G416" s="5" t="s">
        <v>28</v>
      </c>
      <c r="H416" s="5">
        <v>25</v>
      </c>
      <c r="I416" s="5">
        <v>980</v>
      </c>
      <c r="J416" s="5">
        <v>926</v>
      </c>
      <c r="K416" s="6">
        <f t="shared" si="24"/>
        <v>24500</v>
      </c>
      <c r="L416" s="6">
        <f t="shared" si="25"/>
        <v>23150</v>
      </c>
      <c r="M416" s="6">
        <f t="shared" si="26"/>
        <v>-1350</v>
      </c>
      <c r="N416" s="6" t="str">
        <f t="shared" si="27"/>
        <v>loss</v>
      </c>
    </row>
    <row r="417" spans="1:14" ht="16.5" thickTop="1" thickBot="1" x14ac:dyDescent="0.3">
      <c r="A417" s="4">
        <v>45386</v>
      </c>
      <c r="B417" s="4" t="s">
        <v>31</v>
      </c>
      <c r="C417" s="5" t="s">
        <v>136</v>
      </c>
      <c r="D417" s="5" t="s">
        <v>46</v>
      </c>
      <c r="E417" s="5" t="s">
        <v>133</v>
      </c>
      <c r="F417" s="5" t="s">
        <v>64</v>
      </c>
      <c r="G417" s="5" t="s">
        <v>28</v>
      </c>
      <c r="H417" s="5">
        <v>22</v>
      </c>
      <c r="I417" s="5">
        <v>718</v>
      </c>
      <c r="J417" s="5">
        <v>1335</v>
      </c>
      <c r="K417" s="6">
        <f t="shared" si="24"/>
        <v>15796</v>
      </c>
      <c r="L417" s="6">
        <f t="shared" si="25"/>
        <v>29370</v>
      </c>
      <c r="M417" s="6">
        <f t="shared" si="26"/>
        <v>13574</v>
      </c>
      <c r="N417" s="6" t="str">
        <f t="shared" si="27"/>
        <v>profit</v>
      </c>
    </row>
    <row r="418" spans="1:14" ht="16.5" thickTop="1" thickBot="1" x14ac:dyDescent="0.3">
      <c r="A418" s="4">
        <v>45391</v>
      </c>
      <c r="B418" s="4" t="s">
        <v>31</v>
      </c>
      <c r="C418" s="5" t="s">
        <v>137</v>
      </c>
      <c r="D418" s="5" t="s">
        <v>46</v>
      </c>
      <c r="E418" s="5" t="s">
        <v>47</v>
      </c>
      <c r="F418" s="5" t="s">
        <v>60</v>
      </c>
      <c r="G418" s="5" t="s">
        <v>19</v>
      </c>
      <c r="H418" s="5">
        <v>30</v>
      </c>
      <c r="I418" s="5">
        <v>520</v>
      </c>
      <c r="J418" s="5">
        <v>1251</v>
      </c>
      <c r="K418" s="6">
        <f t="shared" si="24"/>
        <v>15600</v>
      </c>
      <c r="L418" s="6">
        <f t="shared" si="25"/>
        <v>37530</v>
      </c>
      <c r="M418" s="6">
        <f t="shared" si="26"/>
        <v>21930</v>
      </c>
      <c r="N418" s="6" t="str">
        <f t="shared" si="27"/>
        <v>profit</v>
      </c>
    </row>
    <row r="419" spans="1:14" ht="16.5" thickTop="1" thickBot="1" x14ac:dyDescent="0.3">
      <c r="A419" s="4">
        <v>45392</v>
      </c>
      <c r="B419" s="4" t="s">
        <v>31</v>
      </c>
      <c r="C419" s="5" t="s">
        <v>138</v>
      </c>
      <c r="D419" s="5" t="s">
        <v>46</v>
      </c>
      <c r="E419" s="5" t="s">
        <v>47</v>
      </c>
      <c r="F419" s="5" t="s">
        <v>35</v>
      </c>
      <c r="G419" s="5" t="s">
        <v>19</v>
      </c>
      <c r="H419" s="5">
        <v>26</v>
      </c>
      <c r="I419" s="5">
        <v>808</v>
      </c>
      <c r="J419" s="5">
        <v>1135</v>
      </c>
      <c r="K419" s="6">
        <f t="shared" si="24"/>
        <v>21008</v>
      </c>
      <c r="L419" s="6">
        <f t="shared" si="25"/>
        <v>29510</v>
      </c>
      <c r="M419" s="6">
        <f t="shared" si="26"/>
        <v>8502</v>
      </c>
      <c r="N419" s="6" t="str">
        <f t="shared" si="27"/>
        <v>profit</v>
      </c>
    </row>
    <row r="420" spans="1:14" ht="16.5" thickTop="1" thickBot="1" x14ac:dyDescent="0.3">
      <c r="A420" s="4">
        <v>45393</v>
      </c>
      <c r="B420" s="4" t="s">
        <v>31</v>
      </c>
      <c r="C420" s="5" t="s">
        <v>139</v>
      </c>
      <c r="D420" s="5" t="s">
        <v>46</v>
      </c>
      <c r="E420" s="5" t="s">
        <v>47</v>
      </c>
      <c r="F420" s="5" t="s">
        <v>39</v>
      </c>
      <c r="G420" s="5" t="s">
        <v>19</v>
      </c>
      <c r="H420" s="5">
        <v>23</v>
      </c>
      <c r="I420" s="5">
        <v>504</v>
      </c>
      <c r="J420" s="5">
        <v>1328</v>
      </c>
      <c r="K420" s="6">
        <f t="shared" si="24"/>
        <v>11592</v>
      </c>
      <c r="L420" s="6">
        <f t="shared" si="25"/>
        <v>30544</v>
      </c>
      <c r="M420" s="6">
        <f t="shared" si="26"/>
        <v>18952</v>
      </c>
      <c r="N420" s="6" t="str">
        <f t="shared" si="27"/>
        <v>profit</v>
      </c>
    </row>
    <row r="421" spans="1:14" ht="16.5" thickTop="1" thickBot="1" x14ac:dyDescent="0.3">
      <c r="A421" s="4">
        <v>45394</v>
      </c>
      <c r="B421" s="4" t="s">
        <v>31</v>
      </c>
      <c r="C421" s="5" t="s">
        <v>141</v>
      </c>
      <c r="D421" s="5" t="s">
        <v>46</v>
      </c>
      <c r="E421" s="5" t="s">
        <v>47</v>
      </c>
      <c r="F421" s="5" t="s">
        <v>39</v>
      </c>
      <c r="G421" s="5" t="s">
        <v>19</v>
      </c>
      <c r="H421" s="5">
        <v>28</v>
      </c>
      <c r="I421" s="5">
        <v>918</v>
      </c>
      <c r="J421" s="5">
        <v>808</v>
      </c>
      <c r="K421" s="6">
        <f t="shared" si="24"/>
        <v>25704</v>
      </c>
      <c r="L421" s="6">
        <f t="shared" si="25"/>
        <v>22624</v>
      </c>
      <c r="M421" s="6">
        <f t="shared" si="26"/>
        <v>-3080</v>
      </c>
      <c r="N421" s="6" t="str">
        <f t="shared" si="27"/>
        <v>loss</v>
      </c>
    </row>
    <row r="422" spans="1:14" ht="16.5" thickTop="1" thickBot="1" x14ac:dyDescent="0.3">
      <c r="A422" s="4">
        <v>45396</v>
      </c>
      <c r="B422" s="4" t="s">
        <v>31</v>
      </c>
      <c r="C422" s="5" t="s">
        <v>142</v>
      </c>
      <c r="D422" s="5" t="s">
        <v>46</v>
      </c>
      <c r="E422" s="5" t="s">
        <v>47</v>
      </c>
      <c r="F422" s="5" t="s">
        <v>27</v>
      </c>
      <c r="G422" s="5" t="s">
        <v>19</v>
      </c>
      <c r="H422" s="5">
        <v>27</v>
      </c>
      <c r="I422" s="5">
        <v>966</v>
      </c>
      <c r="J422" s="5">
        <v>850</v>
      </c>
      <c r="K422" s="6">
        <f t="shared" si="24"/>
        <v>26082</v>
      </c>
      <c r="L422" s="6">
        <f t="shared" si="25"/>
        <v>22950</v>
      </c>
      <c r="M422" s="6">
        <f t="shared" si="26"/>
        <v>-3132</v>
      </c>
      <c r="N422" s="6" t="str">
        <f t="shared" si="27"/>
        <v>loss</v>
      </c>
    </row>
    <row r="423" spans="1:14" ht="16.5" thickTop="1" thickBot="1" x14ac:dyDescent="0.3">
      <c r="A423" s="4">
        <v>45404</v>
      </c>
      <c r="B423" s="4" t="s">
        <v>31</v>
      </c>
      <c r="C423" s="5" t="s">
        <v>144</v>
      </c>
      <c r="D423" s="5" t="s">
        <v>46</v>
      </c>
      <c r="E423" s="5" t="s">
        <v>63</v>
      </c>
      <c r="F423" s="5" t="s">
        <v>39</v>
      </c>
      <c r="G423" s="5" t="s">
        <v>28</v>
      </c>
      <c r="H423" s="5">
        <v>20</v>
      </c>
      <c r="I423" s="5">
        <v>664</v>
      </c>
      <c r="J423" s="5">
        <v>924</v>
      </c>
      <c r="K423" s="6">
        <f t="shared" si="24"/>
        <v>13280</v>
      </c>
      <c r="L423" s="6">
        <f t="shared" si="25"/>
        <v>18480</v>
      </c>
      <c r="M423" s="6">
        <f t="shared" si="26"/>
        <v>5200</v>
      </c>
      <c r="N423" s="6" t="str">
        <f t="shared" si="27"/>
        <v>profit</v>
      </c>
    </row>
    <row r="424" spans="1:14" ht="16.5" thickTop="1" thickBot="1" x14ac:dyDescent="0.3">
      <c r="A424" s="4">
        <v>45406</v>
      </c>
      <c r="B424" s="4" t="s">
        <v>31</v>
      </c>
      <c r="C424" s="5" t="s">
        <v>146</v>
      </c>
      <c r="D424" s="5" t="s">
        <v>46</v>
      </c>
      <c r="E424" s="5" t="s">
        <v>63</v>
      </c>
      <c r="F424" s="5" t="s">
        <v>64</v>
      </c>
      <c r="G424" s="5" t="s">
        <v>28</v>
      </c>
      <c r="H424" s="5">
        <v>26</v>
      </c>
      <c r="I424" s="5">
        <v>608</v>
      </c>
      <c r="J424" s="5">
        <v>1125</v>
      </c>
      <c r="K424" s="6">
        <f t="shared" si="24"/>
        <v>15808</v>
      </c>
      <c r="L424" s="6">
        <f t="shared" si="25"/>
        <v>29250</v>
      </c>
      <c r="M424" s="6">
        <f t="shared" si="26"/>
        <v>13442</v>
      </c>
      <c r="N424" s="6" t="str">
        <f t="shared" si="27"/>
        <v>profit</v>
      </c>
    </row>
    <row r="425" spans="1:14" ht="16.5" thickTop="1" thickBot="1" x14ac:dyDescent="0.3">
      <c r="A425" s="4">
        <v>45475</v>
      </c>
      <c r="B425" s="4" t="s">
        <v>40</v>
      </c>
      <c r="C425" s="5" t="s">
        <v>116</v>
      </c>
      <c r="D425" s="5" t="s">
        <v>16</v>
      </c>
      <c r="E425" s="5" t="s">
        <v>37</v>
      </c>
      <c r="F425" s="5" t="s">
        <v>44</v>
      </c>
      <c r="G425" s="5" t="s">
        <v>19</v>
      </c>
      <c r="H425" s="5">
        <v>19</v>
      </c>
      <c r="I425" s="5">
        <v>860</v>
      </c>
      <c r="J425" s="5">
        <v>1234</v>
      </c>
      <c r="K425" s="6">
        <f t="shared" si="24"/>
        <v>16340</v>
      </c>
      <c r="L425" s="6">
        <f t="shared" si="25"/>
        <v>23446</v>
      </c>
      <c r="M425" s="6">
        <f t="shared" si="26"/>
        <v>7106</v>
      </c>
      <c r="N425" s="6" t="str">
        <f t="shared" si="27"/>
        <v>profit</v>
      </c>
    </row>
    <row r="426" spans="1:14" ht="16.5" thickTop="1" thickBot="1" x14ac:dyDescent="0.3">
      <c r="A426" s="4">
        <v>45408</v>
      </c>
      <c r="B426" s="4" t="s">
        <v>31</v>
      </c>
      <c r="C426" s="5" t="s">
        <v>148</v>
      </c>
      <c r="D426" s="5" t="s">
        <v>46</v>
      </c>
      <c r="E426" s="5" t="s">
        <v>63</v>
      </c>
      <c r="F426" s="5" t="s">
        <v>39</v>
      </c>
      <c r="G426" s="5" t="s">
        <v>19</v>
      </c>
      <c r="H426" s="5">
        <v>24</v>
      </c>
      <c r="I426" s="5">
        <v>826</v>
      </c>
      <c r="J426" s="5">
        <v>975</v>
      </c>
      <c r="K426" s="6">
        <f t="shared" si="24"/>
        <v>19824</v>
      </c>
      <c r="L426" s="6">
        <f t="shared" si="25"/>
        <v>23400</v>
      </c>
      <c r="M426" s="6">
        <f t="shared" si="26"/>
        <v>3576</v>
      </c>
      <c r="N426" s="6" t="str">
        <f t="shared" si="27"/>
        <v>profit</v>
      </c>
    </row>
    <row r="427" spans="1:14" ht="16.5" thickTop="1" thickBot="1" x14ac:dyDescent="0.3">
      <c r="A427" s="4">
        <v>45409</v>
      </c>
      <c r="B427" s="4" t="s">
        <v>31</v>
      </c>
      <c r="C427" s="5" t="s">
        <v>149</v>
      </c>
      <c r="D427" s="5" t="s">
        <v>46</v>
      </c>
      <c r="E427" s="5" t="s">
        <v>63</v>
      </c>
      <c r="F427" s="5" t="s">
        <v>30</v>
      </c>
      <c r="G427" s="5" t="s">
        <v>19</v>
      </c>
      <c r="H427" s="5">
        <v>24</v>
      </c>
      <c r="I427" s="5">
        <v>877</v>
      </c>
      <c r="J427" s="5">
        <v>762</v>
      </c>
      <c r="K427" s="6">
        <f t="shared" si="24"/>
        <v>21048</v>
      </c>
      <c r="L427" s="6">
        <f t="shared" si="25"/>
        <v>18288</v>
      </c>
      <c r="M427" s="6">
        <f t="shared" si="26"/>
        <v>-2760</v>
      </c>
      <c r="N427" s="6" t="str">
        <f t="shared" si="27"/>
        <v>loss</v>
      </c>
    </row>
    <row r="428" spans="1:14" ht="16.5" thickTop="1" thickBot="1" x14ac:dyDescent="0.3">
      <c r="A428" s="4">
        <v>45410</v>
      </c>
      <c r="B428" s="4" t="s">
        <v>31</v>
      </c>
      <c r="C428" s="5" t="s">
        <v>150</v>
      </c>
      <c r="D428" s="5" t="s">
        <v>46</v>
      </c>
      <c r="E428" s="5" t="s">
        <v>63</v>
      </c>
      <c r="F428" s="5" t="s">
        <v>113</v>
      </c>
      <c r="G428" s="5" t="s">
        <v>19</v>
      </c>
      <c r="H428" s="5">
        <v>23</v>
      </c>
      <c r="I428" s="5">
        <v>736</v>
      </c>
      <c r="J428" s="5">
        <v>872</v>
      </c>
      <c r="K428" s="6">
        <f t="shared" si="24"/>
        <v>16928</v>
      </c>
      <c r="L428" s="6">
        <f t="shared" si="25"/>
        <v>20056</v>
      </c>
      <c r="M428" s="6">
        <f t="shared" si="26"/>
        <v>3128</v>
      </c>
      <c r="N428" s="6" t="str">
        <f t="shared" si="27"/>
        <v>profit</v>
      </c>
    </row>
    <row r="429" spans="1:14" ht="16.5" thickTop="1" thickBot="1" x14ac:dyDescent="0.3">
      <c r="A429" s="4">
        <v>45411</v>
      </c>
      <c r="B429" s="4" t="s">
        <v>31</v>
      </c>
      <c r="C429" s="5" t="s">
        <v>151</v>
      </c>
      <c r="D429" s="5" t="s">
        <v>46</v>
      </c>
      <c r="E429" s="5" t="s">
        <v>63</v>
      </c>
      <c r="F429" s="5" t="s">
        <v>44</v>
      </c>
      <c r="G429" s="5" t="s">
        <v>19</v>
      </c>
      <c r="H429" s="5">
        <v>27</v>
      </c>
      <c r="I429" s="5">
        <v>828</v>
      </c>
      <c r="J429" s="5">
        <v>1008</v>
      </c>
      <c r="K429" s="6">
        <f t="shared" si="24"/>
        <v>22356</v>
      </c>
      <c r="L429" s="6">
        <f t="shared" si="25"/>
        <v>27216</v>
      </c>
      <c r="M429" s="6">
        <f t="shared" si="26"/>
        <v>4860</v>
      </c>
      <c r="N429" s="6" t="str">
        <f t="shared" si="27"/>
        <v>profit</v>
      </c>
    </row>
    <row r="430" spans="1:14" ht="16.5" thickTop="1" thickBot="1" x14ac:dyDescent="0.3">
      <c r="A430" s="4">
        <v>45412</v>
      </c>
      <c r="B430" s="4" t="s">
        <v>31</v>
      </c>
      <c r="C430" s="5" t="s">
        <v>152</v>
      </c>
      <c r="D430" s="5" t="s">
        <v>46</v>
      </c>
      <c r="E430" s="5" t="s">
        <v>63</v>
      </c>
      <c r="F430" s="5" t="s">
        <v>153</v>
      </c>
      <c r="G430" s="5" t="s">
        <v>19</v>
      </c>
      <c r="H430" s="5">
        <v>28</v>
      </c>
      <c r="I430" s="5">
        <v>901</v>
      </c>
      <c r="J430" s="5">
        <v>1260</v>
      </c>
      <c r="K430" s="6">
        <f t="shared" si="24"/>
        <v>25228</v>
      </c>
      <c r="L430" s="6">
        <f t="shared" si="25"/>
        <v>35280</v>
      </c>
      <c r="M430" s="6">
        <f t="shared" si="26"/>
        <v>10052</v>
      </c>
      <c r="N430" s="6" t="str">
        <f t="shared" si="27"/>
        <v>profit</v>
      </c>
    </row>
    <row r="431" spans="1:14" ht="16.5" thickTop="1" thickBot="1" x14ac:dyDescent="0.3">
      <c r="A431" s="4">
        <v>45413</v>
      </c>
      <c r="B431" s="4" t="s">
        <v>97</v>
      </c>
      <c r="C431" s="5" t="s">
        <v>154</v>
      </c>
      <c r="D431" s="5" t="s">
        <v>46</v>
      </c>
      <c r="E431" s="5" t="s">
        <v>63</v>
      </c>
      <c r="F431" s="5" t="s">
        <v>155</v>
      </c>
      <c r="G431" s="5" t="s">
        <v>19</v>
      </c>
      <c r="H431" s="5">
        <v>28</v>
      </c>
      <c r="I431" s="5">
        <v>796</v>
      </c>
      <c r="J431" s="5">
        <v>1407</v>
      </c>
      <c r="K431" s="6">
        <f t="shared" si="24"/>
        <v>22288</v>
      </c>
      <c r="L431" s="6">
        <f t="shared" si="25"/>
        <v>39396</v>
      </c>
      <c r="M431" s="6">
        <f t="shared" si="26"/>
        <v>17108</v>
      </c>
      <c r="N431" s="6" t="str">
        <f t="shared" si="27"/>
        <v>profit</v>
      </c>
    </row>
    <row r="432" spans="1:14" ht="16.5" thickTop="1" thickBot="1" x14ac:dyDescent="0.3">
      <c r="A432" s="4">
        <v>45414</v>
      </c>
      <c r="B432" s="4" t="s">
        <v>97</v>
      </c>
      <c r="C432" s="5" t="s">
        <v>156</v>
      </c>
      <c r="D432" s="5" t="s">
        <v>46</v>
      </c>
      <c r="E432" s="5" t="s">
        <v>63</v>
      </c>
      <c r="F432" s="5" t="s">
        <v>18</v>
      </c>
      <c r="G432" s="5" t="s">
        <v>28</v>
      </c>
      <c r="H432" s="5">
        <v>27</v>
      </c>
      <c r="I432" s="5">
        <v>794</v>
      </c>
      <c r="J432" s="5">
        <v>905</v>
      </c>
      <c r="K432" s="6">
        <f t="shared" si="24"/>
        <v>21438</v>
      </c>
      <c r="L432" s="6">
        <f t="shared" si="25"/>
        <v>24435</v>
      </c>
      <c r="M432" s="6">
        <f t="shared" si="26"/>
        <v>2997</v>
      </c>
      <c r="N432" s="6" t="str">
        <f t="shared" si="27"/>
        <v>profit</v>
      </c>
    </row>
    <row r="433" spans="1:14" ht="16.5" thickTop="1" thickBot="1" x14ac:dyDescent="0.3">
      <c r="A433" s="4">
        <v>45415</v>
      </c>
      <c r="B433" s="4" t="s">
        <v>97</v>
      </c>
      <c r="C433" s="5" t="s">
        <v>157</v>
      </c>
      <c r="D433" s="5" t="s">
        <v>46</v>
      </c>
      <c r="E433" s="5" t="s">
        <v>63</v>
      </c>
      <c r="F433" s="5" t="s">
        <v>21</v>
      </c>
      <c r="G433" s="5" t="s">
        <v>28</v>
      </c>
      <c r="H433" s="5">
        <v>20</v>
      </c>
      <c r="I433" s="5">
        <v>812</v>
      </c>
      <c r="J433" s="5">
        <v>1248</v>
      </c>
      <c r="K433" s="6">
        <f t="shared" si="24"/>
        <v>16240</v>
      </c>
      <c r="L433" s="6">
        <f t="shared" si="25"/>
        <v>24960</v>
      </c>
      <c r="M433" s="6">
        <f t="shared" si="26"/>
        <v>8720</v>
      </c>
      <c r="N433" s="6" t="str">
        <f t="shared" si="27"/>
        <v>profit</v>
      </c>
    </row>
    <row r="434" spans="1:14" ht="16.5" thickTop="1" thickBot="1" x14ac:dyDescent="0.3">
      <c r="A434" s="4">
        <v>45416</v>
      </c>
      <c r="B434" s="4" t="s">
        <v>97</v>
      </c>
      <c r="C434" s="5" t="s">
        <v>158</v>
      </c>
      <c r="D434" s="5" t="s">
        <v>46</v>
      </c>
      <c r="E434" s="5" t="s">
        <v>63</v>
      </c>
      <c r="F434" s="5" t="s">
        <v>23</v>
      </c>
      <c r="G434" s="5" t="s">
        <v>28</v>
      </c>
      <c r="H434" s="5">
        <v>20</v>
      </c>
      <c r="I434" s="5">
        <v>908</v>
      </c>
      <c r="J434" s="5">
        <v>1130</v>
      </c>
      <c r="K434" s="6">
        <f t="shared" si="24"/>
        <v>18160</v>
      </c>
      <c r="L434" s="6">
        <f t="shared" si="25"/>
        <v>22600</v>
      </c>
      <c r="M434" s="6">
        <f t="shared" si="26"/>
        <v>4440</v>
      </c>
      <c r="N434" s="6" t="str">
        <f t="shared" si="27"/>
        <v>profit</v>
      </c>
    </row>
    <row r="435" spans="1:14" ht="16.5" thickTop="1" thickBot="1" x14ac:dyDescent="0.3">
      <c r="A435" s="4">
        <v>45417</v>
      </c>
      <c r="B435" s="4" t="s">
        <v>97</v>
      </c>
      <c r="C435" s="5" t="s">
        <v>159</v>
      </c>
      <c r="D435" s="5" t="s">
        <v>46</v>
      </c>
      <c r="E435" s="5" t="s">
        <v>63</v>
      </c>
      <c r="F435" s="5" t="s">
        <v>25</v>
      </c>
      <c r="G435" s="5" t="s">
        <v>28</v>
      </c>
      <c r="H435" s="5">
        <v>23</v>
      </c>
      <c r="I435" s="5">
        <v>846</v>
      </c>
      <c r="J435" s="5">
        <v>1143</v>
      </c>
      <c r="K435" s="6">
        <f t="shared" si="24"/>
        <v>19458</v>
      </c>
      <c r="L435" s="6">
        <f t="shared" si="25"/>
        <v>26289</v>
      </c>
      <c r="M435" s="6">
        <f t="shared" si="26"/>
        <v>6831</v>
      </c>
      <c r="N435" s="6" t="str">
        <f t="shared" si="27"/>
        <v>profit</v>
      </c>
    </row>
    <row r="436" spans="1:14" ht="16.5" thickTop="1" thickBot="1" x14ac:dyDescent="0.3">
      <c r="A436" s="4">
        <v>45418</v>
      </c>
      <c r="B436" s="4" t="s">
        <v>97</v>
      </c>
      <c r="C436" s="5" t="s">
        <v>160</v>
      </c>
      <c r="D436" s="5" t="s">
        <v>46</v>
      </c>
      <c r="E436" s="5" t="s">
        <v>63</v>
      </c>
      <c r="F436" s="5" t="s">
        <v>25</v>
      </c>
      <c r="G436" s="5" t="s">
        <v>19</v>
      </c>
      <c r="H436" s="5">
        <v>25</v>
      </c>
      <c r="I436" s="5">
        <v>627</v>
      </c>
      <c r="J436" s="5">
        <v>1071</v>
      </c>
      <c r="K436" s="6">
        <f t="shared" si="24"/>
        <v>15675</v>
      </c>
      <c r="L436" s="6">
        <f t="shared" si="25"/>
        <v>26775</v>
      </c>
      <c r="M436" s="6">
        <f t="shared" si="26"/>
        <v>11100</v>
      </c>
      <c r="N436" s="6" t="str">
        <f t="shared" si="27"/>
        <v>profit</v>
      </c>
    </row>
    <row r="437" spans="1:14" ht="16.5" thickTop="1" thickBot="1" x14ac:dyDescent="0.3">
      <c r="A437" s="4">
        <v>45419</v>
      </c>
      <c r="B437" s="4" t="s">
        <v>97</v>
      </c>
      <c r="C437" s="5" t="s">
        <v>164</v>
      </c>
      <c r="D437" s="5" t="s">
        <v>46</v>
      </c>
      <c r="E437" s="5" t="s">
        <v>118</v>
      </c>
      <c r="F437" s="5" t="s">
        <v>27</v>
      </c>
      <c r="G437" s="5" t="s">
        <v>19</v>
      </c>
      <c r="H437" s="5">
        <v>27</v>
      </c>
      <c r="I437" s="5">
        <v>817</v>
      </c>
      <c r="J437" s="5">
        <v>977</v>
      </c>
      <c r="K437" s="6">
        <f t="shared" si="24"/>
        <v>22059</v>
      </c>
      <c r="L437" s="6">
        <f t="shared" si="25"/>
        <v>26379</v>
      </c>
      <c r="M437" s="6">
        <f t="shared" si="26"/>
        <v>4320</v>
      </c>
      <c r="N437" s="6" t="str">
        <f t="shared" si="27"/>
        <v>profit</v>
      </c>
    </row>
    <row r="438" spans="1:14" ht="16.5" thickTop="1" thickBot="1" x14ac:dyDescent="0.3">
      <c r="A438" s="4">
        <v>45488</v>
      </c>
      <c r="B438" s="4" t="s">
        <v>40</v>
      </c>
      <c r="C438" s="5" t="s">
        <v>117</v>
      </c>
      <c r="D438" s="5" t="s">
        <v>46</v>
      </c>
      <c r="E438" s="5" t="s">
        <v>118</v>
      </c>
      <c r="F438" s="5" t="s">
        <v>39</v>
      </c>
      <c r="G438" s="5" t="s">
        <v>19</v>
      </c>
      <c r="H438" s="5">
        <v>29</v>
      </c>
      <c r="I438" s="5">
        <v>929</v>
      </c>
      <c r="J438" s="5">
        <v>1429</v>
      </c>
      <c r="K438" s="6">
        <f t="shared" si="24"/>
        <v>26941</v>
      </c>
      <c r="L438" s="6">
        <f t="shared" si="25"/>
        <v>41441</v>
      </c>
      <c r="M438" s="6">
        <f t="shared" si="26"/>
        <v>14500</v>
      </c>
      <c r="N438" s="6" t="str">
        <f t="shared" si="27"/>
        <v>profit</v>
      </c>
    </row>
    <row r="439" spans="1:14" ht="16.5" thickTop="1" thickBot="1" x14ac:dyDescent="0.3">
      <c r="A439" s="4">
        <v>45420</v>
      </c>
      <c r="B439" s="4" t="s">
        <v>97</v>
      </c>
      <c r="C439" s="5" t="s">
        <v>165</v>
      </c>
      <c r="D439" s="5" t="s">
        <v>46</v>
      </c>
      <c r="E439" s="5" t="s">
        <v>118</v>
      </c>
      <c r="F439" s="5" t="s">
        <v>30</v>
      </c>
      <c r="G439" s="5" t="s">
        <v>19</v>
      </c>
      <c r="H439" s="5">
        <v>27</v>
      </c>
      <c r="I439" s="5">
        <v>675</v>
      </c>
      <c r="J439" s="5">
        <v>1138</v>
      </c>
      <c r="K439" s="6">
        <f t="shared" si="24"/>
        <v>18225</v>
      </c>
      <c r="L439" s="6">
        <f t="shared" si="25"/>
        <v>30726</v>
      </c>
      <c r="M439" s="6">
        <f t="shared" si="26"/>
        <v>12501</v>
      </c>
      <c r="N439" s="6" t="str">
        <f t="shared" si="27"/>
        <v>profit</v>
      </c>
    </row>
    <row r="440" spans="1:14" ht="16.5" thickTop="1" thickBot="1" x14ac:dyDescent="0.3">
      <c r="A440" s="4">
        <v>45421</v>
      </c>
      <c r="B440" s="4" t="s">
        <v>97</v>
      </c>
      <c r="C440" s="5" t="s">
        <v>167</v>
      </c>
      <c r="D440" s="5" t="s">
        <v>46</v>
      </c>
      <c r="E440" s="5" t="s">
        <v>118</v>
      </c>
      <c r="F440" s="5" t="s">
        <v>25</v>
      </c>
      <c r="G440" s="5" t="s">
        <v>19</v>
      </c>
      <c r="H440" s="5">
        <v>22</v>
      </c>
      <c r="I440" s="5">
        <v>695</v>
      </c>
      <c r="J440" s="5">
        <v>830</v>
      </c>
      <c r="K440" s="6">
        <f t="shared" si="24"/>
        <v>15290</v>
      </c>
      <c r="L440" s="6">
        <f t="shared" si="25"/>
        <v>18260</v>
      </c>
      <c r="M440" s="6">
        <f t="shared" si="26"/>
        <v>2970</v>
      </c>
      <c r="N440" s="6" t="str">
        <f t="shared" si="27"/>
        <v>profit</v>
      </c>
    </row>
    <row r="441" spans="1:14" ht="16.5" thickTop="1" thickBot="1" x14ac:dyDescent="0.3">
      <c r="A441" s="4">
        <v>45422</v>
      </c>
      <c r="B441" s="4" t="s">
        <v>97</v>
      </c>
      <c r="C441" s="5" t="s">
        <v>168</v>
      </c>
      <c r="D441" s="5" t="s">
        <v>46</v>
      </c>
      <c r="E441" s="5" t="s">
        <v>118</v>
      </c>
      <c r="F441" s="5" t="s">
        <v>76</v>
      </c>
      <c r="G441" s="5" t="s">
        <v>19</v>
      </c>
      <c r="H441" s="5">
        <v>21</v>
      </c>
      <c r="I441" s="5">
        <v>781</v>
      </c>
      <c r="J441" s="5">
        <v>816</v>
      </c>
      <c r="K441" s="6">
        <f t="shared" si="24"/>
        <v>16401</v>
      </c>
      <c r="L441" s="6">
        <f t="shared" si="25"/>
        <v>17136</v>
      </c>
      <c r="M441" s="6">
        <f t="shared" si="26"/>
        <v>735</v>
      </c>
      <c r="N441" s="6" t="str">
        <f t="shared" si="27"/>
        <v>profit</v>
      </c>
    </row>
    <row r="442" spans="1:14" ht="16.5" thickTop="1" thickBot="1" x14ac:dyDescent="0.3">
      <c r="A442" s="4">
        <v>45423</v>
      </c>
      <c r="B442" s="4" t="s">
        <v>97</v>
      </c>
      <c r="C442" s="5" t="s">
        <v>169</v>
      </c>
      <c r="D442" s="5" t="s">
        <v>46</v>
      </c>
      <c r="E442" s="5" t="s">
        <v>118</v>
      </c>
      <c r="F442" s="5" t="s">
        <v>71</v>
      </c>
      <c r="G442" s="5" t="s">
        <v>19</v>
      </c>
      <c r="H442" s="5">
        <v>25</v>
      </c>
      <c r="I442" s="5">
        <v>517</v>
      </c>
      <c r="J442" s="5">
        <v>939</v>
      </c>
      <c r="K442" s="6">
        <f t="shared" si="24"/>
        <v>12925</v>
      </c>
      <c r="L442" s="6">
        <f t="shared" si="25"/>
        <v>23475</v>
      </c>
      <c r="M442" s="6">
        <f t="shared" si="26"/>
        <v>10550</v>
      </c>
      <c r="N442" s="6" t="str">
        <f t="shared" si="27"/>
        <v>profit</v>
      </c>
    </row>
    <row r="443" spans="1:14" ht="16.5" thickTop="1" thickBot="1" x14ac:dyDescent="0.3">
      <c r="A443" s="4">
        <v>45424</v>
      </c>
      <c r="B443" s="4" t="s">
        <v>97</v>
      </c>
      <c r="C443" s="5" t="s">
        <v>170</v>
      </c>
      <c r="D443" s="5" t="s">
        <v>46</v>
      </c>
      <c r="E443" s="5" t="s">
        <v>118</v>
      </c>
      <c r="F443" s="5" t="s">
        <v>44</v>
      </c>
      <c r="G443" s="5" t="s">
        <v>19</v>
      </c>
      <c r="H443" s="5">
        <v>24</v>
      </c>
      <c r="I443" s="5">
        <v>730</v>
      </c>
      <c r="J443" s="5">
        <v>886</v>
      </c>
      <c r="K443" s="6">
        <f t="shared" si="24"/>
        <v>17520</v>
      </c>
      <c r="L443" s="6">
        <f t="shared" si="25"/>
        <v>21264</v>
      </c>
      <c r="M443" s="6">
        <f t="shared" si="26"/>
        <v>3744</v>
      </c>
      <c r="N443" s="6" t="str">
        <f t="shared" si="27"/>
        <v>profit</v>
      </c>
    </row>
    <row r="444" spans="1:14" ht="16.5" thickTop="1" thickBot="1" x14ac:dyDescent="0.3">
      <c r="A444" s="4">
        <v>45425</v>
      </c>
      <c r="B444" s="4" t="s">
        <v>97</v>
      </c>
      <c r="C444" s="5" t="s">
        <v>172</v>
      </c>
      <c r="D444" s="5" t="s">
        <v>46</v>
      </c>
      <c r="E444" s="5" t="s">
        <v>118</v>
      </c>
      <c r="F444" s="5" t="s">
        <v>25</v>
      </c>
      <c r="G444" s="5" t="s">
        <v>19</v>
      </c>
      <c r="H444" s="5">
        <v>23</v>
      </c>
      <c r="I444" s="5">
        <v>811</v>
      </c>
      <c r="J444" s="5">
        <v>1142</v>
      </c>
      <c r="K444" s="6">
        <f t="shared" si="24"/>
        <v>18653</v>
      </c>
      <c r="L444" s="6">
        <f t="shared" si="25"/>
        <v>26266</v>
      </c>
      <c r="M444" s="6">
        <f t="shared" si="26"/>
        <v>7613</v>
      </c>
      <c r="N444" s="6" t="str">
        <f t="shared" si="27"/>
        <v>profit</v>
      </c>
    </row>
    <row r="445" spans="1:14" ht="16.5" thickTop="1" thickBot="1" x14ac:dyDescent="0.3">
      <c r="A445" s="4">
        <v>45426</v>
      </c>
      <c r="B445" s="4" t="s">
        <v>97</v>
      </c>
      <c r="C445" s="5" t="s">
        <v>173</v>
      </c>
      <c r="D445" s="5" t="s">
        <v>46</v>
      </c>
      <c r="E445" s="5" t="s">
        <v>118</v>
      </c>
      <c r="F445" s="5" t="s">
        <v>64</v>
      </c>
      <c r="G445" s="5" t="s">
        <v>19</v>
      </c>
      <c r="H445" s="5">
        <v>21</v>
      </c>
      <c r="I445" s="5">
        <v>967</v>
      </c>
      <c r="J445" s="5">
        <v>888</v>
      </c>
      <c r="K445" s="6">
        <f t="shared" si="24"/>
        <v>20307</v>
      </c>
      <c r="L445" s="6">
        <f t="shared" si="25"/>
        <v>18648</v>
      </c>
      <c r="M445" s="6">
        <f t="shared" si="26"/>
        <v>-1659</v>
      </c>
      <c r="N445" s="6" t="str">
        <f t="shared" si="27"/>
        <v>loss</v>
      </c>
    </row>
    <row r="446" spans="1:14" ht="16.5" thickTop="1" thickBot="1" x14ac:dyDescent="0.3">
      <c r="A446" s="4">
        <v>45427</v>
      </c>
      <c r="B446" s="4" t="s">
        <v>97</v>
      </c>
      <c r="C446" s="5" t="s">
        <v>174</v>
      </c>
      <c r="D446" s="5" t="s">
        <v>46</v>
      </c>
      <c r="E446" s="5" t="s">
        <v>118</v>
      </c>
      <c r="F446" s="5" t="s">
        <v>76</v>
      </c>
      <c r="G446" s="5" t="s">
        <v>19</v>
      </c>
      <c r="H446" s="5">
        <v>29</v>
      </c>
      <c r="I446" s="5">
        <v>655</v>
      </c>
      <c r="J446" s="5">
        <v>950</v>
      </c>
      <c r="K446" s="6">
        <f t="shared" si="24"/>
        <v>18995</v>
      </c>
      <c r="L446" s="6">
        <f t="shared" si="25"/>
        <v>27550</v>
      </c>
      <c r="M446" s="6">
        <f t="shared" si="26"/>
        <v>8555</v>
      </c>
      <c r="N446" s="6" t="str">
        <f t="shared" si="27"/>
        <v>profit</v>
      </c>
    </row>
    <row r="447" spans="1:14" ht="16.5" thickTop="1" thickBot="1" x14ac:dyDescent="0.3">
      <c r="A447" s="4">
        <v>45428</v>
      </c>
      <c r="B447" s="4" t="s">
        <v>97</v>
      </c>
      <c r="C447" s="5" t="s">
        <v>176</v>
      </c>
      <c r="D447" s="5" t="s">
        <v>46</v>
      </c>
      <c r="E447" s="5" t="s">
        <v>118</v>
      </c>
      <c r="F447" s="5" t="s">
        <v>78</v>
      </c>
      <c r="G447" s="5" t="s">
        <v>28</v>
      </c>
      <c r="H447" s="5">
        <v>30</v>
      </c>
      <c r="I447" s="5">
        <v>616</v>
      </c>
      <c r="J447" s="5">
        <v>804</v>
      </c>
      <c r="K447" s="6">
        <f t="shared" si="24"/>
        <v>18480</v>
      </c>
      <c r="L447" s="6">
        <f t="shared" si="25"/>
        <v>24120</v>
      </c>
      <c r="M447" s="6">
        <f t="shared" si="26"/>
        <v>5640</v>
      </c>
      <c r="N447" s="6" t="str">
        <f t="shared" si="27"/>
        <v>profit</v>
      </c>
    </row>
    <row r="448" spans="1:14" ht="16.5" thickTop="1" thickBot="1" x14ac:dyDescent="0.3">
      <c r="A448" s="4">
        <v>45429</v>
      </c>
      <c r="B448" s="4" t="s">
        <v>97</v>
      </c>
      <c r="C448" s="5" t="s">
        <v>178</v>
      </c>
      <c r="D448" s="5" t="s">
        <v>46</v>
      </c>
      <c r="E448" s="5" t="s">
        <v>118</v>
      </c>
      <c r="F448" s="5" t="s">
        <v>35</v>
      </c>
      <c r="G448" s="5" t="s">
        <v>28</v>
      </c>
      <c r="H448" s="5">
        <v>30</v>
      </c>
      <c r="I448" s="5">
        <v>709</v>
      </c>
      <c r="J448" s="5">
        <v>1209</v>
      </c>
      <c r="K448" s="6">
        <f t="shared" si="24"/>
        <v>21270</v>
      </c>
      <c r="L448" s="6">
        <f t="shared" si="25"/>
        <v>36270</v>
      </c>
      <c r="M448" s="6">
        <f t="shared" si="26"/>
        <v>15000</v>
      </c>
      <c r="N448" s="6" t="str">
        <f t="shared" si="27"/>
        <v>profit</v>
      </c>
    </row>
    <row r="449" spans="1:14" ht="16.5" thickTop="1" thickBot="1" x14ac:dyDescent="0.3">
      <c r="A449" s="4">
        <v>45430</v>
      </c>
      <c r="B449" s="4" t="s">
        <v>97</v>
      </c>
      <c r="C449" s="5" t="s">
        <v>179</v>
      </c>
      <c r="D449" s="5" t="s">
        <v>46</v>
      </c>
      <c r="E449" s="5" t="s">
        <v>118</v>
      </c>
      <c r="F449" s="5" t="s">
        <v>44</v>
      </c>
      <c r="G449" s="5" t="s">
        <v>28</v>
      </c>
      <c r="H449" s="5">
        <v>23</v>
      </c>
      <c r="I449" s="5">
        <v>875</v>
      </c>
      <c r="J449" s="5">
        <v>843</v>
      </c>
      <c r="K449" s="6">
        <f t="shared" si="24"/>
        <v>20125</v>
      </c>
      <c r="L449" s="6">
        <f t="shared" si="25"/>
        <v>19389</v>
      </c>
      <c r="M449" s="6">
        <f t="shared" si="26"/>
        <v>-736</v>
      </c>
      <c r="N449" s="6" t="str">
        <f t="shared" si="27"/>
        <v>loss</v>
      </c>
    </row>
    <row r="450" spans="1:14" ht="16.5" thickTop="1" thickBot="1" x14ac:dyDescent="0.3">
      <c r="A450" s="4">
        <v>45484</v>
      </c>
      <c r="B450" s="4" t="s">
        <v>40</v>
      </c>
      <c r="C450" s="5" t="s">
        <v>180</v>
      </c>
      <c r="D450" s="5" t="s">
        <v>46</v>
      </c>
      <c r="E450" s="5" t="s">
        <v>118</v>
      </c>
      <c r="F450" s="5" t="s">
        <v>39</v>
      </c>
      <c r="G450" s="5" t="s">
        <v>28</v>
      </c>
      <c r="H450" s="5">
        <v>26</v>
      </c>
      <c r="I450" s="5">
        <v>766</v>
      </c>
      <c r="J450" s="5">
        <v>836</v>
      </c>
      <c r="K450" s="6">
        <f t="shared" ref="K450:K513" si="28">H450*I450</f>
        <v>19916</v>
      </c>
      <c r="L450" s="6">
        <f t="shared" ref="L450:L513" si="29">H450*J450</f>
        <v>21736</v>
      </c>
      <c r="M450" s="6">
        <f t="shared" ref="M450:M513" si="30">L450-K450</f>
        <v>1820</v>
      </c>
      <c r="N450" s="6" t="str">
        <f t="shared" ref="N450:N513" si="31">IF(M450&gt;0,"profit","loss")</f>
        <v>profit</v>
      </c>
    </row>
    <row r="451" spans="1:14" ht="16.5" thickTop="1" thickBot="1" x14ac:dyDescent="0.3">
      <c r="A451" s="4">
        <v>45485</v>
      </c>
      <c r="B451" s="4" t="s">
        <v>40</v>
      </c>
      <c r="C451" s="5" t="s">
        <v>181</v>
      </c>
      <c r="D451" s="5" t="s">
        <v>46</v>
      </c>
      <c r="E451" s="5" t="s">
        <v>118</v>
      </c>
      <c r="F451" s="5" t="s">
        <v>64</v>
      </c>
      <c r="G451" s="5" t="s">
        <v>28</v>
      </c>
      <c r="H451" s="5">
        <v>23</v>
      </c>
      <c r="I451" s="5">
        <v>589</v>
      </c>
      <c r="J451" s="5">
        <v>982</v>
      </c>
      <c r="K451" s="6">
        <f t="shared" si="28"/>
        <v>13547</v>
      </c>
      <c r="L451" s="6">
        <f t="shared" si="29"/>
        <v>22586</v>
      </c>
      <c r="M451" s="6">
        <f t="shared" si="30"/>
        <v>9039</v>
      </c>
      <c r="N451" s="6" t="str">
        <f t="shared" si="31"/>
        <v>profit</v>
      </c>
    </row>
    <row r="452" spans="1:14" ht="16.5" thickTop="1" thickBot="1" x14ac:dyDescent="0.3">
      <c r="A452" s="4">
        <v>45486</v>
      </c>
      <c r="B452" s="4" t="s">
        <v>40</v>
      </c>
      <c r="C452" s="5" t="s">
        <v>182</v>
      </c>
      <c r="D452" s="5" t="s">
        <v>46</v>
      </c>
      <c r="E452" s="5" t="s">
        <v>118</v>
      </c>
      <c r="F452" s="5" t="s">
        <v>64</v>
      </c>
      <c r="G452" s="5" t="s">
        <v>28</v>
      </c>
      <c r="H452" s="5">
        <v>24</v>
      </c>
      <c r="I452" s="5">
        <v>718</v>
      </c>
      <c r="J452" s="5">
        <v>1218</v>
      </c>
      <c r="K452" s="6">
        <f t="shared" si="28"/>
        <v>17232</v>
      </c>
      <c r="L452" s="6">
        <f t="shared" si="29"/>
        <v>29232</v>
      </c>
      <c r="M452" s="6">
        <f t="shared" si="30"/>
        <v>12000</v>
      </c>
      <c r="N452" s="6" t="str">
        <f t="shared" si="31"/>
        <v>profit</v>
      </c>
    </row>
    <row r="453" spans="1:14" ht="16.5" thickTop="1" thickBot="1" x14ac:dyDescent="0.3">
      <c r="A453" s="4">
        <v>45487</v>
      </c>
      <c r="B453" s="4" t="s">
        <v>40</v>
      </c>
      <c r="C453" s="5" t="s">
        <v>183</v>
      </c>
      <c r="D453" s="5" t="s">
        <v>46</v>
      </c>
      <c r="E453" s="5" t="s">
        <v>118</v>
      </c>
      <c r="F453" s="5" t="s">
        <v>60</v>
      </c>
      <c r="G453" s="5" t="s">
        <v>28</v>
      </c>
      <c r="H453" s="5">
        <v>22</v>
      </c>
      <c r="I453" s="5">
        <v>877</v>
      </c>
      <c r="J453" s="5">
        <v>1120</v>
      </c>
      <c r="K453" s="6">
        <f t="shared" si="28"/>
        <v>19294</v>
      </c>
      <c r="L453" s="6">
        <f t="shared" si="29"/>
        <v>24640</v>
      </c>
      <c r="M453" s="6">
        <f t="shared" si="30"/>
        <v>5346</v>
      </c>
      <c r="N453" s="6" t="str">
        <f t="shared" si="31"/>
        <v>profit</v>
      </c>
    </row>
    <row r="454" spans="1:14" ht="16.5" thickTop="1" thickBot="1" x14ac:dyDescent="0.3">
      <c r="A454" s="4">
        <v>45489</v>
      </c>
      <c r="B454" s="4" t="s">
        <v>40</v>
      </c>
      <c r="C454" s="5" t="s">
        <v>184</v>
      </c>
      <c r="D454" s="5" t="s">
        <v>46</v>
      </c>
      <c r="E454" s="5" t="s">
        <v>118</v>
      </c>
      <c r="F454" s="5" t="s">
        <v>30</v>
      </c>
      <c r="G454" s="5" t="s">
        <v>19</v>
      </c>
      <c r="H454" s="5">
        <v>23</v>
      </c>
      <c r="I454" s="5">
        <v>641</v>
      </c>
      <c r="J454" s="5">
        <v>1445</v>
      </c>
      <c r="K454" s="6">
        <f t="shared" si="28"/>
        <v>14743</v>
      </c>
      <c r="L454" s="6">
        <f t="shared" si="29"/>
        <v>33235</v>
      </c>
      <c r="M454" s="6">
        <f t="shared" si="30"/>
        <v>18492</v>
      </c>
      <c r="N454" s="6" t="str">
        <f t="shared" si="31"/>
        <v>profit</v>
      </c>
    </row>
    <row r="455" spans="1:14" ht="16.5" thickTop="1" thickBot="1" x14ac:dyDescent="0.3">
      <c r="A455" s="4">
        <v>45490</v>
      </c>
      <c r="B455" s="4" t="s">
        <v>40</v>
      </c>
      <c r="C455" s="5" t="s">
        <v>185</v>
      </c>
      <c r="D455" s="5" t="s">
        <v>46</v>
      </c>
      <c r="E455" s="5" t="s">
        <v>118</v>
      </c>
      <c r="F455" s="5" t="s">
        <v>113</v>
      </c>
      <c r="G455" s="5" t="s">
        <v>19</v>
      </c>
      <c r="H455" s="5">
        <v>30</v>
      </c>
      <c r="I455" s="5">
        <v>916</v>
      </c>
      <c r="J455" s="5">
        <v>1497</v>
      </c>
      <c r="K455" s="6">
        <f t="shared" si="28"/>
        <v>27480</v>
      </c>
      <c r="L455" s="6">
        <f t="shared" si="29"/>
        <v>44910</v>
      </c>
      <c r="M455" s="6">
        <f t="shared" si="30"/>
        <v>17430</v>
      </c>
      <c r="N455" s="6" t="str">
        <f t="shared" si="31"/>
        <v>profit</v>
      </c>
    </row>
    <row r="456" spans="1:14" ht="16.5" thickTop="1" thickBot="1" x14ac:dyDescent="0.3">
      <c r="A456" s="4">
        <v>45491</v>
      </c>
      <c r="B456" s="4" t="s">
        <v>40</v>
      </c>
      <c r="C456" s="5" t="s">
        <v>186</v>
      </c>
      <c r="D456" s="5" t="s">
        <v>46</v>
      </c>
      <c r="E456" s="5" t="s">
        <v>118</v>
      </c>
      <c r="F456" s="5" t="s">
        <v>44</v>
      </c>
      <c r="G456" s="5" t="s">
        <v>19</v>
      </c>
      <c r="H456" s="5">
        <v>28</v>
      </c>
      <c r="I456" s="5">
        <v>588</v>
      </c>
      <c r="J456" s="5">
        <v>784</v>
      </c>
      <c r="K456" s="6">
        <f t="shared" si="28"/>
        <v>16464</v>
      </c>
      <c r="L456" s="6">
        <f t="shared" si="29"/>
        <v>21952</v>
      </c>
      <c r="M456" s="6">
        <f t="shared" si="30"/>
        <v>5488</v>
      </c>
      <c r="N456" s="6" t="str">
        <f t="shared" si="31"/>
        <v>profit</v>
      </c>
    </row>
    <row r="457" spans="1:14" ht="16.5" thickTop="1" thickBot="1" x14ac:dyDescent="0.3">
      <c r="A457" s="4">
        <v>45507</v>
      </c>
      <c r="B457" s="4" t="s">
        <v>57</v>
      </c>
      <c r="C457" s="5" t="s">
        <v>119</v>
      </c>
      <c r="D457" s="5" t="s">
        <v>33</v>
      </c>
      <c r="E457" s="5" t="s">
        <v>120</v>
      </c>
      <c r="F457" s="5" t="s">
        <v>76</v>
      </c>
      <c r="G457" s="5" t="s">
        <v>28</v>
      </c>
      <c r="H457" s="5">
        <v>60</v>
      </c>
      <c r="I457" s="5">
        <v>642</v>
      </c>
      <c r="J457" s="5">
        <v>1497</v>
      </c>
      <c r="K457" s="6">
        <f t="shared" si="28"/>
        <v>38520</v>
      </c>
      <c r="L457" s="6">
        <f t="shared" si="29"/>
        <v>89820</v>
      </c>
      <c r="M457" s="6">
        <f t="shared" si="30"/>
        <v>51300</v>
      </c>
      <c r="N457" s="6" t="str">
        <f t="shared" si="31"/>
        <v>profit</v>
      </c>
    </row>
    <row r="458" spans="1:14" ht="16.5" thickTop="1" thickBot="1" x14ac:dyDescent="0.3">
      <c r="A458" s="4">
        <v>45492</v>
      </c>
      <c r="B458" s="4" t="s">
        <v>40</v>
      </c>
      <c r="C458" s="5" t="s">
        <v>188</v>
      </c>
      <c r="D458" s="5" t="s">
        <v>46</v>
      </c>
      <c r="E458" s="5" t="s">
        <v>118</v>
      </c>
      <c r="F458" s="5" t="s">
        <v>153</v>
      </c>
      <c r="G458" s="5" t="s">
        <v>19</v>
      </c>
      <c r="H458" s="5">
        <v>26</v>
      </c>
      <c r="I458" s="5">
        <v>969</v>
      </c>
      <c r="J458" s="5">
        <v>1087</v>
      </c>
      <c r="K458" s="6">
        <f t="shared" si="28"/>
        <v>25194</v>
      </c>
      <c r="L458" s="6">
        <f t="shared" si="29"/>
        <v>28262</v>
      </c>
      <c r="M458" s="6">
        <f t="shared" si="30"/>
        <v>3068</v>
      </c>
      <c r="N458" s="6" t="str">
        <f t="shared" si="31"/>
        <v>profit</v>
      </c>
    </row>
    <row r="459" spans="1:14" ht="16.5" thickTop="1" thickBot="1" x14ac:dyDescent="0.3">
      <c r="A459" s="4">
        <v>45493</v>
      </c>
      <c r="B459" s="4" t="s">
        <v>40</v>
      </c>
      <c r="C459" s="5" t="s">
        <v>189</v>
      </c>
      <c r="D459" s="5" t="s">
        <v>46</v>
      </c>
      <c r="E459" s="5" t="s">
        <v>118</v>
      </c>
      <c r="F459" s="5" t="s">
        <v>155</v>
      </c>
      <c r="G459" s="5" t="s">
        <v>19</v>
      </c>
      <c r="H459" s="5">
        <v>25</v>
      </c>
      <c r="I459" s="5">
        <v>839</v>
      </c>
      <c r="J459" s="5">
        <v>1233</v>
      </c>
      <c r="K459" s="6">
        <f t="shared" si="28"/>
        <v>20975</v>
      </c>
      <c r="L459" s="6">
        <f t="shared" si="29"/>
        <v>30825</v>
      </c>
      <c r="M459" s="6">
        <f t="shared" si="30"/>
        <v>9850</v>
      </c>
      <c r="N459" s="6" t="str">
        <f t="shared" si="31"/>
        <v>profit</v>
      </c>
    </row>
    <row r="460" spans="1:14" ht="16.5" thickTop="1" thickBot="1" x14ac:dyDescent="0.3">
      <c r="A460" s="4">
        <v>45494</v>
      </c>
      <c r="B460" s="4" t="s">
        <v>40</v>
      </c>
      <c r="C460" s="5" t="s">
        <v>192</v>
      </c>
      <c r="D460" s="5" t="s">
        <v>46</v>
      </c>
      <c r="E460" s="5" t="s">
        <v>118</v>
      </c>
      <c r="F460" s="5" t="s">
        <v>18</v>
      </c>
      <c r="G460" s="5" t="s">
        <v>19</v>
      </c>
      <c r="H460" s="5">
        <v>25</v>
      </c>
      <c r="I460" s="5">
        <v>536</v>
      </c>
      <c r="J460" s="5">
        <v>1407</v>
      </c>
      <c r="K460" s="6">
        <f t="shared" si="28"/>
        <v>13400</v>
      </c>
      <c r="L460" s="6">
        <f t="shared" si="29"/>
        <v>35175</v>
      </c>
      <c r="M460" s="6">
        <f t="shared" si="30"/>
        <v>21775</v>
      </c>
      <c r="N460" s="6" t="str">
        <f t="shared" si="31"/>
        <v>profit</v>
      </c>
    </row>
    <row r="461" spans="1:14" ht="16.5" thickTop="1" thickBot="1" x14ac:dyDescent="0.3">
      <c r="A461" s="4">
        <v>45517</v>
      </c>
      <c r="B461" s="4" t="s">
        <v>57</v>
      </c>
      <c r="C461" s="5" t="s">
        <v>193</v>
      </c>
      <c r="D461" s="5" t="s">
        <v>46</v>
      </c>
      <c r="E461" s="5" t="s">
        <v>118</v>
      </c>
      <c r="F461" s="5" t="s">
        <v>44</v>
      </c>
      <c r="G461" s="5" t="s">
        <v>28</v>
      </c>
      <c r="H461" s="5">
        <v>27</v>
      </c>
      <c r="I461" s="5">
        <v>966</v>
      </c>
      <c r="J461" s="5">
        <v>1255</v>
      </c>
      <c r="K461" s="6">
        <f t="shared" si="28"/>
        <v>26082</v>
      </c>
      <c r="L461" s="6">
        <f t="shared" si="29"/>
        <v>33885</v>
      </c>
      <c r="M461" s="6">
        <f t="shared" si="30"/>
        <v>7803</v>
      </c>
      <c r="N461" s="6" t="str">
        <f t="shared" si="31"/>
        <v>profit</v>
      </c>
    </row>
    <row r="462" spans="1:14" ht="16.5" thickTop="1" thickBot="1" x14ac:dyDescent="0.3">
      <c r="A462" s="4">
        <v>45512</v>
      </c>
      <c r="B462" s="4" t="s">
        <v>57</v>
      </c>
      <c r="C462" s="5" t="s">
        <v>121</v>
      </c>
      <c r="D462" s="5" t="s">
        <v>16</v>
      </c>
      <c r="E462" s="5" t="s">
        <v>37</v>
      </c>
      <c r="F462" s="5" t="s">
        <v>35</v>
      </c>
      <c r="G462" s="5" t="s">
        <v>19</v>
      </c>
      <c r="H462" s="5">
        <v>20</v>
      </c>
      <c r="I462" s="5">
        <v>525</v>
      </c>
      <c r="J462" s="5">
        <v>1122</v>
      </c>
      <c r="K462" s="6">
        <f t="shared" si="28"/>
        <v>10500</v>
      </c>
      <c r="L462" s="6">
        <f t="shared" si="29"/>
        <v>22440</v>
      </c>
      <c r="M462" s="6">
        <f t="shared" si="30"/>
        <v>11940</v>
      </c>
      <c r="N462" s="6" t="str">
        <f t="shared" si="31"/>
        <v>profit</v>
      </c>
    </row>
    <row r="463" spans="1:14" ht="16.5" thickTop="1" thickBot="1" x14ac:dyDescent="0.3">
      <c r="A463" s="4">
        <v>45518</v>
      </c>
      <c r="B463" s="4" t="s">
        <v>57</v>
      </c>
      <c r="C463" s="5" t="s">
        <v>194</v>
      </c>
      <c r="D463" s="5" t="s">
        <v>46</v>
      </c>
      <c r="E463" s="5" t="s">
        <v>118</v>
      </c>
      <c r="F463" s="5" t="s">
        <v>49</v>
      </c>
      <c r="G463" s="5" t="s">
        <v>28</v>
      </c>
      <c r="H463" s="5">
        <v>23</v>
      </c>
      <c r="I463" s="5">
        <v>694</v>
      </c>
      <c r="J463" s="5">
        <v>1309</v>
      </c>
      <c r="K463" s="6">
        <f t="shared" si="28"/>
        <v>15962</v>
      </c>
      <c r="L463" s="6">
        <f t="shared" si="29"/>
        <v>30107</v>
      </c>
      <c r="M463" s="6">
        <f t="shared" si="30"/>
        <v>14145</v>
      </c>
      <c r="N463" s="6" t="str">
        <f t="shared" si="31"/>
        <v>profit</v>
      </c>
    </row>
    <row r="464" spans="1:14" ht="16.5" thickTop="1" thickBot="1" x14ac:dyDescent="0.3">
      <c r="A464" s="4">
        <v>45519</v>
      </c>
      <c r="B464" s="4" t="s">
        <v>57</v>
      </c>
      <c r="C464" s="5" t="s">
        <v>195</v>
      </c>
      <c r="D464" s="5" t="s">
        <v>46</v>
      </c>
      <c r="E464" s="5" t="s">
        <v>118</v>
      </c>
      <c r="F464" s="5" t="s">
        <v>27</v>
      </c>
      <c r="G464" s="5" t="s">
        <v>19</v>
      </c>
      <c r="H464" s="5">
        <v>22</v>
      </c>
      <c r="I464" s="5">
        <v>749</v>
      </c>
      <c r="J464" s="5">
        <v>850</v>
      </c>
      <c r="K464" s="6">
        <f t="shared" si="28"/>
        <v>16478</v>
      </c>
      <c r="L464" s="6">
        <f t="shared" si="29"/>
        <v>18700</v>
      </c>
      <c r="M464" s="6">
        <f t="shared" si="30"/>
        <v>2222</v>
      </c>
      <c r="N464" s="6" t="str">
        <f t="shared" si="31"/>
        <v>profit</v>
      </c>
    </row>
    <row r="465" spans="1:14" ht="16.5" thickTop="1" thickBot="1" x14ac:dyDescent="0.3">
      <c r="A465" s="4">
        <v>45521</v>
      </c>
      <c r="B465" s="4" t="s">
        <v>57</v>
      </c>
      <c r="C465" s="5" t="s">
        <v>197</v>
      </c>
      <c r="D465" s="5" t="s">
        <v>46</v>
      </c>
      <c r="E465" s="5" t="s">
        <v>118</v>
      </c>
      <c r="F465" s="5" t="s">
        <v>54</v>
      </c>
      <c r="G465" s="5" t="s">
        <v>28</v>
      </c>
      <c r="H465" s="5">
        <v>24</v>
      </c>
      <c r="I465" s="5">
        <v>845</v>
      </c>
      <c r="J465" s="5">
        <v>1429</v>
      </c>
      <c r="K465" s="6">
        <f t="shared" si="28"/>
        <v>20280</v>
      </c>
      <c r="L465" s="6">
        <f t="shared" si="29"/>
        <v>34296</v>
      </c>
      <c r="M465" s="6">
        <f t="shared" si="30"/>
        <v>14016</v>
      </c>
      <c r="N465" s="6" t="str">
        <f t="shared" si="31"/>
        <v>profit</v>
      </c>
    </row>
    <row r="466" spans="1:14" ht="16.5" thickTop="1" thickBot="1" x14ac:dyDescent="0.3">
      <c r="A466" s="4">
        <v>45522</v>
      </c>
      <c r="B466" s="4" t="s">
        <v>57</v>
      </c>
      <c r="C466" s="5" t="s">
        <v>107</v>
      </c>
      <c r="D466" s="5" t="s">
        <v>46</v>
      </c>
      <c r="E466" s="5" t="s">
        <v>118</v>
      </c>
      <c r="F466" s="5" t="s">
        <v>35</v>
      </c>
      <c r="G466" s="5" t="s">
        <v>28</v>
      </c>
      <c r="H466" s="5">
        <v>29</v>
      </c>
      <c r="I466" s="5">
        <v>872</v>
      </c>
      <c r="J466" s="5">
        <v>1351</v>
      </c>
      <c r="K466" s="6">
        <f t="shared" si="28"/>
        <v>25288</v>
      </c>
      <c r="L466" s="6">
        <f t="shared" si="29"/>
        <v>39179</v>
      </c>
      <c r="M466" s="6">
        <f t="shared" si="30"/>
        <v>13891</v>
      </c>
      <c r="N466" s="6" t="str">
        <f t="shared" si="31"/>
        <v>profit</v>
      </c>
    </row>
    <row r="467" spans="1:14" ht="16.5" thickTop="1" thickBot="1" x14ac:dyDescent="0.3">
      <c r="A467" s="4">
        <v>45523</v>
      </c>
      <c r="B467" s="4" t="s">
        <v>57</v>
      </c>
      <c r="C467" s="5" t="s">
        <v>199</v>
      </c>
      <c r="D467" s="5" t="s">
        <v>46</v>
      </c>
      <c r="E467" s="5" t="s">
        <v>118</v>
      </c>
      <c r="F467" s="5" t="s">
        <v>39</v>
      </c>
      <c r="G467" s="5" t="s">
        <v>28</v>
      </c>
      <c r="H467" s="5">
        <v>27</v>
      </c>
      <c r="I467" s="5">
        <v>674</v>
      </c>
      <c r="J467" s="5">
        <v>1119</v>
      </c>
      <c r="K467" s="6">
        <f t="shared" si="28"/>
        <v>18198</v>
      </c>
      <c r="L467" s="6">
        <f t="shared" si="29"/>
        <v>30213</v>
      </c>
      <c r="M467" s="6">
        <f t="shared" si="30"/>
        <v>12015</v>
      </c>
      <c r="N467" s="6" t="str">
        <f t="shared" si="31"/>
        <v>profit</v>
      </c>
    </row>
    <row r="468" spans="1:14" ht="16.5" thickTop="1" thickBot="1" x14ac:dyDescent="0.3">
      <c r="A468" s="4">
        <v>45524</v>
      </c>
      <c r="B468" s="4" t="s">
        <v>57</v>
      </c>
      <c r="C468" s="5" t="s">
        <v>105</v>
      </c>
      <c r="D468" s="5" t="s">
        <v>46</v>
      </c>
      <c r="E468" s="5" t="s">
        <v>118</v>
      </c>
      <c r="F468" s="5" t="s">
        <v>39</v>
      </c>
      <c r="G468" s="5" t="s">
        <v>19</v>
      </c>
      <c r="H468" s="5">
        <v>27</v>
      </c>
      <c r="I468" s="5">
        <v>583</v>
      </c>
      <c r="J468" s="5">
        <v>1379</v>
      </c>
      <c r="K468" s="6">
        <f t="shared" si="28"/>
        <v>15741</v>
      </c>
      <c r="L468" s="6">
        <f t="shared" si="29"/>
        <v>37233</v>
      </c>
      <c r="M468" s="6">
        <f t="shared" si="30"/>
        <v>21492</v>
      </c>
      <c r="N468" s="6" t="str">
        <f t="shared" si="31"/>
        <v>profit</v>
      </c>
    </row>
    <row r="469" spans="1:14" ht="16.5" thickTop="1" thickBot="1" x14ac:dyDescent="0.3">
      <c r="A469" s="4">
        <v>45525</v>
      </c>
      <c r="B469" s="4" t="s">
        <v>57</v>
      </c>
      <c r="C469" s="5" t="s">
        <v>200</v>
      </c>
      <c r="D469" s="5" t="s">
        <v>46</v>
      </c>
      <c r="E469" s="5" t="s">
        <v>118</v>
      </c>
      <c r="F469" s="5" t="s">
        <v>64</v>
      </c>
      <c r="G469" s="5" t="s">
        <v>19</v>
      </c>
      <c r="H469" s="5">
        <v>21</v>
      </c>
      <c r="I469" s="5">
        <v>929</v>
      </c>
      <c r="J469" s="5">
        <v>910</v>
      </c>
      <c r="K469" s="6">
        <f t="shared" si="28"/>
        <v>19509</v>
      </c>
      <c r="L469" s="6">
        <f t="shared" si="29"/>
        <v>19110</v>
      </c>
      <c r="M469" s="6">
        <f t="shared" si="30"/>
        <v>-399</v>
      </c>
      <c r="N469" s="6" t="str">
        <f t="shared" si="31"/>
        <v>loss</v>
      </c>
    </row>
    <row r="470" spans="1:14" ht="16.5" thickTop="1" thickBot="1" x14ac:dyDescent="0.3">
      <c r="A470" s="4">
        <v>45520</v>
      </c>
      <c r="B470" s="4" t="s">
        <v>57</v>
      </c>
      <c r="C470" s="5" t="s">
        <v>122</v>
      </c>
      <c r="D470" s="5" t="s">
        <v>46</v>
      </c>
      <c r="E470" s="5" t="s">
        <v>118</v>
      </c>
      <c r="F470" s="5" t="s">
        <v>52</v>
      </c>
      <c r="G470" s="5" t="s">
        <v>28</v>
      </c>
      <c r="H470" s="5">
        <v>23</v>
      </c>
      <c r="I470" s="5">
        <v>884</v>
      </c>
      <c r="J470" s="5">
        <v>1392</v>
      </c>
      <c r="K470" s="6">
        <f t="shared" si="28"/>
        <v>20332</v>
      </c>
      <c r="L470" s="6">
        <f t="shared" si="29"/>
        <v>32016</v>
      </c>
      <c r="M470" s="6">
        <f t="shared" si="30"/>
        <v>11684</v>
      </c>
      <c r="N470" s="6" t="str">
        <f t="shared" si="31"/>
        <v>profit</v>
      </c>
    </row>
    <row r="471" spans="1:14" ht="16.5" thickTop="1" thickBot="1" x14ac:dyDescent="0.3">
      <c r="A471" s="4">
        <v>45527</v>
      </c>
      <c r="B471" s="4" t="s">
        <v>57</v>
      </c>
      <c r="C471" s="5" t="s">
        <v>201</v>
      </c>
      <c r="D471" s="5" t="s">
        <v>46</v>
      </c>
      <c r="E471" s="5" t="s">
        <v>118</v>
      </c>
      <c r="F471" s="5" t="s">
        <v>60</v>
      </c>
      <c r="G471" s="5" t="s">
        <v>19</v>
      </c>
      <c r="H471" s="5">
        <v>28</v>
      </c>
      <c r="I471" s="5">
        <v>873</v>
      </c>
      <c r="J471" s="5">
        <v>809</v>
      </c>
      <c r="K471" s="6">
        <f t="shared" si="28"/>
        <v>24444</v>
      </c>
      <c r="L471" s="6">
        <f t="shared" si="29"/>
        <v>22652</v>
      </c>
      <c r="M471" s="6">
        <f t="shared" si="30"/>
        <v>-1792</v>
      </c>
      <c r="N471" s="6" t="str">
        <f t="shared" si="31"/>
        <v>loss</v>
      </c>
    </row>
    <row r="472" spans="1:14" ht="16.5" thickTop="1" thickBot="1" x14ac:dyDescent="0.3">
      <c r="A472" s="4">
        <v>45589</v>
      </c>
      <c r="B472" s="4" t="s">
        <v>85</v>
      </c>
      <c r="C472" s="5" t="s">
        <v>203</v>
      </c>
      <c r="D472" s="5" t="s">
        <v>46</v>
      </c>
      <c r="E472" s="5" t="s">
        <v>133</v>
      </c>
      <c r="F472" s="5" t="s">
        <v>60</v>
      </c>
      <c r="G472" s="5" t="s">
        <v>19</v>
      </c>
      <c r="H472" s="5">
        <v>21</v>
      </c>
      <c r="I472" s="5">
        <v>541</v>
      </c>
      <c r="J472" s="5">
        <v>1339</v>
      </c>
      <c r="K472" s="6">
        <f t="shared" si="28"/>
        <v>11361</v>
      </c>
      <c r="L472" s="6">
        <f t="shared" si="29"/>
        <v>28119</v>
      </c>
      <c r="M472" s="6">
        <f t="shared" si="30"/>
        <v>16758</v>
      </c>
      <c r="N472" s="6" t="str">
        <f t="shared" si="31"/>
        <v>profit</v>
      </c>
    </row>
    <row r="473" spans="1:14" ht="16.5" thickTop="1" thickBot="1" x14ac:dyDescent="0.3">
      <c r="A473" s="4">
        <v>45591</v>
      </c>
      <c r="B473" s="4" t="s">
        <v>85</v>
      </c>
      <c r="C473" s="5" t="s">
        <v>204</v>
      </c>
      <c r="D473" s="5" t="s">
        <v>46</v>
      </c>
      <c r="E473" s="5" t="s">
        <v>133</v>
      </c>
      <c r="F473" s="5" t="s">
        <v>30</v>
      </c>
      <c r="G473" s="5" t="s">
        <v>28</v>
      </c>
      <c r="H473" s="5">
        <v>22</v>
      </c>
      <c r="I473" s="5">
        <v>725</v>
      </c>
      <c r="J473" s="5">
        <v>1268</v>
      </c>
      <c r="K473" s="6">
        <f t="shared" si="28"/>
        <v>15950</v>
      </c>
      <c r="L473" s="6">
        <f t="shared" si="29"/>
        <v>27896</v>
      </c>
      <c r="M473" s="6">
        <f t="shared" si="30"/>
        <v>11946</v>
      </c>
      <c r="N473" s="6" t="str">
        <f t="shared" si="31"/>
        <v>profit</v>
      </c>
    </row>
    <row r="474" spans="1:14" ht="16.5" thickTop="1" thickBot="1" x14ac:dyDescent="0.3">
      <c r="A474" s="4">
        <v>45596</v>
      </c>
      <c r="B474" s="4" t="s">
        <v>85</v>
      </c>
      <c r="C474" s="5" t="s">
        <v>205</v>
      </c>
      <c r="D474" s="5" t="s">
        <v>46</v>
      </c>
      <c r="E474" s="5" t="s">
        <v>47</v>
      </c>
      <c r="F474" s="5" t="s">
        <v>18</v>
      </c>
      <c r="G474" s="5" t="s">
        <v>28</v>
      </c>
      <c r="H474" s="5">
        <v>21</v>
      </c>
      <c r="I474" s="5">
        <v>596</v>
      </c>
      <c r="J474" s="5">
        <v>838</v>
      </c>
      <c r="K474" s="6">
        <f t="shared" si="28"/>
        <v>12516</v>
      </c>
      <c r="L474" s="6">
        <f t="shared" si="29"/>
        <v>17598</v>
      </c>
      <c r="M474" s="6">
        <f t="shared" si="30"/>
        <v>5082</v>
      </c>
      <c r="N474" s="6" t="str">
        <f t="shared" si="31"/>
        <v>profit</v>
      </c>
    </row>
    <row r="475" spans="1:14" ht="16.5" thickTop="1" thickBot="1" x14ac:dyDescent="0.3">
      <c r="A475" s="4">
        <v>45597</v>
      </c>
      <c r="B475" s="4" t="s">
        <v>161</v>
      </c>
      <c r="C475" s="5" t="s">
        <v>207</v>
      </c>
      <c r="D475" s="5" t="s">
        <v>46</v>
      </c>
      <c r="E475" s="5" t="s">
        <v>47</v>
      </c>
      <c r="F475" s="5" t="s">
        <v>21</v>
      </c>
      <c r="G475" s="5" t="s">
        <v>28</v>
      </c>
      <c r="H475" s="5">
        <v>30</v>
      </c>
      <c r="I475" s="5">
        <v>910</v>
      </c>
      <c r="J475" s="5">
        <v>1290</v>
      </c>
      <c r="K475" s="6">
        <f t="shared" si="28"/>
        <v>27300</v>
      </c>
      <c r="L475" s="6">
        <f t="shared" si="29"/>
        <v>38700</v>
      </c>
      <c r="M475" s="6">
        <f t="shared" si="30"/>
        <v>11400</v>
      </c>
      <c r="N475" s="6" t="str">
        <f t="shared" si="31"/>
        <v>profit</v>
      </c>
    </row>
    <row r="476" spans="1:14" ht="16.5" thickTop="1" thickBot="1" x14ac:dyDescent="0.3">
      <c r="A476" s="4">
        <v>45526</v>
      </c>
      <c r="B476" s="4" t="s">
        <v>57</v>
      </c>
      <c r="C476" s="5" t="s">
        <v>123</v>
      </c>
      <c r="D476" s="5" t="s">
        <v>46</v>
      </c>
      <c r="E476" s="5" t="s">
        <v>118</v>
      </c>
      <c r="F476" s="5" t="s">
        <v>64</v>
      </c>
      <c r="G476" s="5" t="s">
        <v>19</v>
      </c>
      <c r="H476" s="5">
        <v>20</v>
      </c>
      <c r="I476" s="5">
        <v>997</v>
      </c>
      <c r="J476" s="5">
        <v>784</v>
      </c>
      <c r="K476" s="6">
        <f t="shared" si="28"/>
        <v>19940</v>
      </c>
      <c r="L476" s="6">
        <f t="shared" si="29"/>
        <v>15680</v>
      </c>
      <c r="M476" s="6">
        <f t="shared" si="30"/>
        <v>-4260</v>
      </c>
      <c r="N476" s="6" t="str">
        <f t="shared" si="31"/>
        <v>loss</v>
      </c>
    </row>
    <row r="477" spans="1:14" ht="16.5" thickTop="1" thickBot="1" x14ac:dyDescent="0.3">
      <c r="A477" s="4">
        <v>45598</v>
      </c>
      <c r="B477" s="4" t="s">
        <v>161</v>
      </c>
      <c r="C477" s="5" t="s">
        <v>209</v>
      </c>
      <c r="D477" s="5" t="s">
        <v>46</v>
      </c>
      <c r="E477" s="5" t="s">
        <v>47</v>
      </c>
      <c r="F477" s="5" t="s">
        <v>23</v>
      </c>
      <c r="G477" s="5" t="s">
        <v>28</v>
      </c>
      <c r="H477" s="5">
        <v>25</v>
      </c>
      <c r="I477" s="5">
        <v>532</v>
      </c>
      <c r="J477" s="5">
        <v>1358</v>
      </c>
      <c r="K477" s="6">
        <f t="shared" si="28"/>
        <v>13300</v>
      </c>
      <c r="L477" s="6">
        <f t="shared" si="29"/>
        <v>33950</v>
      </c>
      <c r="M477" s="6">
        <f t="shared" si="30"/>
        <v>20650</v>
      </c>
      <c r="N477" s="6" t="str">
        <f t="shared" si="31"/>
        <v>profit</v>
      </c>
    </row>
    <row r="478" spans="1:14" ht="16.5" thickTop="1" thickBot="1" x14ac:dyDescent="0.3">
      <c r="A478" s="4">
        <v>45599</v>
      </c>
      <c r="B478" s="4" t="s">
        <v>161</v>
      </c>
      <c r="C478" s="5" t="s">
        <v>210</v>
      </c>
      <c r="D478" s="5" t="s">
        <v>46</v>
      </c>
      <c r="E478" s="5" t="s">
        <v>47</v>
      </c>
      <c r="F478" s="5" t="s">
        <v>25</v>
      </c>
      <c r="G478" s="5" t="s">
        <v>19</v>
      </c>
      <c r="H478" s="5">
        <v>29</v>
      </c>
      <c r="I478" s="5">
        <v>813</v>
      </c>
      <c r="J478" s="5">
        <v>1241</v>
      </c>
      <c r="K478" s="6">
        <f t="shared" si="28"/>
        <v>23577</v>
      </c>
      <c r="L478" s="6">
        <f t="shared" si="29"/>
        <v>35989</v>
      </c>
      <c r="M478" s="6">
        <f t="shared" si="30"/>
        <v>12412</v>
      </c>
      <c r="N478" s="6" t="str">
        <f t="shared" si="31"/>
        <v>profit</v>
      </c>
    </row>
    <row r="479" spans="1:14" ht="16.5" thickTop="1" thickBot="1" x14ac:dyDescent="0.3">
      <c r="A479" s="4">
        <v>45600</v>
      </c>
      <c r="B479" s="4" t="s">
        <v>161</v>
      </c>
      <c r="C479" s="5" t="s">
        <v>211</v>
      </c>
      <c r="D479" s="5" t="s">
        <v>46</v>
      </c>
      <c r="E479" s="5" t="s">
        <v>47</v>
      </c>
      <c r="F479" s="5" t="s">
        <v>25</v>
      </c>
      <c r="G479" s="5" t="s">
        <v>19</v>
      </c>
      <c r="H479" s="5">
        <v>28</v>
      </c>
      <c r="I479" s="5">
        <v>858</v>
      </c>
      <c r="J479" s="5">
        <v>1127</v>
      </c>
      <c r="K479" s="6">
        <f t="shared" si="28"/>
        <v>24024</v>
      </c>
      <c r="L479" s="6">
        <f t="shared" si="29"/>
        <v>31556</v>
      </c>
      <c r="M479" s="6">
        <f t="shared" si="30"/>
        <v>7532</v>
      </c>
      <c r="N479" s="6" t="str">
        <f t="shared" si="31"/>
        <v>profit</v>
      </c>
    </row>
    <row r="480" spans="1:14" ht="16.5" thickTop="1" thickBot="1" x14ac:dyDescent="0.3">
      <c r="A480" s="4">
        <v>45601</v>
      </c>
      <c r="B480" s="4" t="s">
        <v>161</v>
      </c>
      <c r="C480" s="5" t="s">
        <v>212</v>
      </c>
      <c r="D480" s="5" t="s">
        <v>46</v>
      </c>
      <c r="E480" s="5" t="s">
        <v>47</v>
      </c>
      <c r="F480" s="5" t="s">
        <v>27</v>
      </c>
      <c r="G480" s="5" t="s">
        <v>19</v>
      </c>
      <c r="H480" s="5">
        <v>24</v>
      </c>
      <c r="I480" s="5">
        <v>641</v>
      </c>
      <c r="J480" s="5">
        <v>1337</v>
      </c>
      <c r="K480" s="6">
        <f t="shared" si="28"/>
        <v>15384</v>
      </c>
      <c r="L480" s="6">
        <f t="shared" si="29"/>
        <v>32088</v>
      </c>
      <c r="M480" s="6">
        <f t="shared" si="30"/>
        <v>16704</v>
      </c>
      <c r="N480" s="6" t="str">
        <f t="shared" si="31"/>
        <v>profit</v>
      </c>
    </row>
    <row r="481" spans="1:14" ht="16.5" thickTop="1" thickBot="1" x14ac:dyDescent="0.3">
      <c r="A481" s="4">
        <v>45609</v>
      </c>
      <c r="B481" s="4" t="s">
        <v>161</v>
      </c>
      <c r="C481" s="5" t="s">
        <v>214</v>
      </c>
      <c r="D481" s="5" t="s">
        <v>46</v>
      </c>
      <c r="E481" s="5" t="s">
        <v>63</v>
      </c>
      <c r="F481" s="5" t="s">
        <v>76</v>
      </c>
      <c r="G481" s="5" t="s">
        <v>28</v>
      </c>
      <c r="H481" s="5">
        <v>25</v>
      </c>
      <c r="I481" s="5">
        <v>709</v>
      </c>
      <c r="J481" s="5">
        <v>1386</v>
      </c>
      <c r="K481" s="6">
        <f t="shared" si="28"/>
        <v>17725</v>
      </c>
      <c r="L481" s="6">
        <f t="shared" si="29"/>
        <v>34650</v>
      </c>
      <c r="M481" s="6">
        <f t="shared" si="30"/>
        <v>16925</v>
      </c>
      <c r="N481" s="6" t="str">
        <f t="shared" si="31"/>
        <v>profit</v>
      </c>
    </row>
    <row r="482" spans="1:14" ht="16.5" thickTop="1" thickBot="1" x14ac:dyDescent="0.3">
      <c r="A482" s="4">
        <v>45611</v>
      </c>
      <c r="B482" s="4" t="s">
        <v>161</v>
      </c>
      <c r="C482" s="5" t="s">
        <v>215</v>
      </c>
      <c r="D482" s="5" t="s">
        <v>46</v>
      </c>
      <c r="E482" s="5" t="s">
        <v>63</v>
      </c>
      <c r="F482" s="5" t="s">
        <v>35</v>
      </c>
      <c r="G482" s="5" t="s">
        <v>28</v>
      </c>
      <c r="H482" s="5">
        <v>25</v>
      </c>
      <c r="I482" s="5">
        <v>802</v>
      </c>
      <c r="J482" s="5">
        <v>1126</v>
      </c>
      <c r="K482" s="6">
        <f t="shared" si="28"/>
        <v>20050</v>
      </c>
      <c r="L482" s="6">
        <f t="shared" si="29"/>
        <v>28150</v>
      </c>
      <c r="M482" s="6">
        <f t="shared" si="30"/>
        <v>8100</v>
      </c>
      <c r="N482" s="6" t="str">
        <f t="shared" si="31"/>
        <v>profit</v>
      </c>
    </row>
    <row r="483" spans="1:14" ht="16.5" thickTop="1" thickBot="1" x14ac:dyDescent="0.3">
      <c r="A483" s="4">
        <v>45612</v>
      </c>
      <c r="B483" s="4" t="s">
        <v>161</v>
      </c>
      <c r="C483" s="5" t="s">
        <v>216</v>
      </c>
      <c r="D483" s="5" t="s">
        <v>46</v>
      </c>
      <c r="E483" s="5" t="s">
        <v>63</v>
      </c>
      <c r="F483" s="5" t="s">
        <v>44</v>
      </c>
      <c r="G483" s="5" t="s">
        <v>28</v>
      </c>
      <c r="H483" s="5">
        <v>23</v>
      </c>
      <c r="I483" s="5">
        <v>893</v>
      </c>
      <c r="J483" s="5">
        <v>761</v>
      </c>
      <c r="K483" s="6">
        <f t="shared" si="28"/>
        <v>20539</v>
      </c>
      <c r="L483" s="6">
        <f t="shared" si="29"/>
        <v>17503</v>
      </c>
      <c r="M483" s="6">
        <f t="shared" si="30"/>
        <v>-3036</v>
      </c>
      <c r="N483" s="6" t="str">
        <f t="shared" si="31"/>
        <v>loss</v>
      </c>
    </row>
    <row r="484" spans="1:14" ht="16.5" thickTop="1" thickBot="1" x14ac:dyDescent="0.3">
      <c r="A484" s="4">
        <v>45613</v>
      </c>
      <c r="B484" s="4" t="s">
        <v>161</v>
      </c>
      <c r="C484" s="5" t="s">
        <v>217</v>
      </c>
      <c r="D484" s="5" t="s">
        <v>46</v>
      </c>
      <c r="E484" s="5" t="s">
        <v>63</v>
      </c>
      <c r="F484" s="5" t="s">
        <v>60</v>
      </c>
      <c r="G484" s="5" t="s">
        <v>28</v>
      </c>
      <c r="H484" s="5">
        <v>29</v>
      </c>
      <c r="I484" s="5">
        <v>852</v>
      </c>
      <c r="J484" s="5">
        <v>1452</v>
      </c>
      <c r="K484" s="6">
        <f t="shared" si="28"/>
        <v>24708</v>
      </c>
      <c r="L484" s="6">
        <f t="shared" si="29"/>
        <v>42108</v>
      </c>
      <c r="M484" s="6">
        <f t="shared" si="30"/>
        <v>17400</v>
      </c>
      <c r="N484" s="6" t="str">
        <f t="shared" si="31"/>
        <v>profit</v>
      </c>
    </row>
    <row r="485" spans="1:14" ht="16.5" thickTop="1" thickBot="1" x14ac:dyDescent="0.3">
      <c r="A485" s="4">
        <v>45535</v>
      </c>
      <c r="B485" s="4" t="s">
        <v>57</v>
      </c>
      <c r="C485" s="5" t="s">
        <v>124</v>
      </c>
      <c r="D485" s="5" t="s">
        <v>33</v>
      </c>
      <c r="E485" s="5" t="s">
        <v>99</v>
      </c>
      <c r="F485" s="5" t="s">
        <v>21</v>
      </c>
      <c r="G485" s="5" t="s">
        <v>28</v>
      </c>
      <c r="H485" s="5">
        <v>64</v>
      </c>
      <c r="I485" s="5">
        <v>580</v>
      </c>
      <c r="J485" s="5">
        <v>1164</v>
      </c>
      <c r="K485" s="6">
        <f t="shared" si="28"/>
        <v>37120</v>
      </c>
      <c r="L485" s="6">
        <f t="shared" si="29"/>
        <v>74496</v>
      </c>
      <c r="M485" s="6">
        <f t="shared" si="30"/>
        <v>37376</v>
      </c>
      <c r="N485" s="6" t="str">
        <f t="shared" si="31"/>
        <v>profit</v>
      </c>
    </row>
    <row r="486" spans="1:14" ht="16.5" thickTop="1" thickBot="1" x14ac:dyDescent="0.3">
      <c r="A486" s="4">
        <v>45615</v>
      </c>
      <c r="B486" s="4" t="s">
        <v>161</v>
      </c>
      <c r="C486" s="5" t="s">
        <v>218</v>
      </c>
      <c r="D486" s="5" t="s">
        <v>46</v>
      </c>
      <c r="E486" s="5" t="s">
        <v>63</v>
      </c>
      <c r="F486" s="5" t="s">
        <v>39</v>
      </c>
      <c r="G486" s="5" t="s">
        <v>19</v>
      </c>
      <c r="H486" s="5">
        <v>23</v>
      </c>
      <c r="I486" s="5">
        <v>747</v>
      </c>
      <c r="J486" s="5">
        <v>1340</v>
      </c>
      <c r="K486" s="6">
        <f t="shared" si="28"/>
        <v>17181</v>
      </c>
      <c r="L486" s="6">
        <f t="shared" si="29"/>
        <v>30820</v>
      </c>
      <c r="M486" s="6">
        <f t="shared" si="30"/>
        <v>13639</v>
      </c>
      <c r="N486" s="6" t="str">
        <f t="shared" si="31"/>
        <v>profit</v>
      </c>
    </row>
    <row r="487" spans="1:14" ht="16.5" thickTop="1" thickBot="1" x14ac:dyDescent="0.3">
      <c r="A487" s="4">
        <v>45617</v>
      </c>
      <c r="B487" s="4" t="s">
        <v>161</v>
      </c>
      <c r="C487" s="5" t="s">
        <v>219</v>
      </c>
      <c r="D487" s="5" t="s">
        <v>46</v>
      </c>
      <c r="E487" s="5" t="s">
        <v>63</v>
      </c>
      <c r="F487" s="5" t="s">
        <v>44</v>
      </c>
      <c r="G487" s="5" t="s">
        <v>28</v>
      </c>
      <c r="H487" s="5">
        <v>26</v>
      </c>
      <c r="I487" s="5">
        <v>625</v>
      </c>
      <c r="J487" s="5">
        <v>1298</v>
      </c>
      <c r="K487" s="6">
        <f t="shared" si="28"/>
        <v>16250</v>
      </c>
      <c r="L487" s="6">
        <f t="shared" si="29"/>
        <v>33748</v>
      </c>
      <c r="M487" s="6">
        <f t="shared" si="30"/>
        <v>17498</v>
      </c>
      <c r="N487" s="6" t="str">
        <f t="shared" si="31"/>
        <v>profit</v>
      </c>
    </row>
    <row r="488" spans="1:14" ht="16.5" thickTop="1" thickBot="1" x14ac:dyDescent="0.3">
      <c r="A488" s="4">
        <v>45618</v>
      </c>
      <c r="B488" s="4" t="s">
        <v>161</v>
      </c>
      <c r="C488" s="5" t="s">
        <v>221</v>
      </c>
      <c r="D488" s="5" t="s">
        <v>46</v>
      </c>
      <c r="E488" s="5" t="s">
        <v>63</v>
      </c>
      <c r="F488" s="5" t="s">
        <v>27</v>
      </c>
      <c r="G488" s="5" t="s">
        <v>28</v>
      </c>
      <c r="H488" s="5">
        <v>23</v>
      </c>
      <c r="I488" s="5">
        <v>706</v>
      </c>
      <c r="J488" s="5">
        <v>988</v>
      </c>
      <c r="K488" s="6">
        <f t="shared" si="28"/>
        <v>16238</v>
      </c>
      <c r="L488" s="6">
        <f t="shared" si="29"/>
        <v>22724</v>
      </c>
      <c r="M488" s="6">
        <f t="shared" si="30"/>
        <v>6486</v>
      </c>
      <c r="N488" s="6" t="str">
        <f t="shared" si="31"/>
        <v>profit</v>
      </c>
    </row>
    <row r="489" spans="1:14" ht="16.5" thickTop="1" thickBot="1" x14ac:dyDescent="0.3">
      <c r="A489" s="4">
        <v>45619</v>
      </c>
      <c r="B489" s="4" t="s">
        <v>161</v>
      </c>
      <c r="C489" s="5" t="s">
        <v>223</v>
      </c>
      <c r="D489" s="5" t="s">
        <v>46</v>
      </c>
      <c r="E489" s="5" t="s">
        <v>63</v>
      </c>
      <c r="F489" s="5" t="s">
        <v>44</v>
      </c>
      <c r="G489" s="5" t="s">
        <v>28</v>
      </c>
      <c r="H489" s="5">
        <v>28</v>
      </c>
      <c r="I489" s="5">
        <v>858</v>
      </c>
      <c r="J489" s="5">
        <v>1113</v>
      </c>
      <c r="K489" s="6">
        <f t="shared" si="28"/>
        <v>24024</v>
      </c>
      <c r="L489" s="6">
        <f t="shared" si="29"/>
        <v>31164</v>
      </c>
      <c r="M489" s="6">
        <f t="shared" si="30"/>
        <v>7140</v>
      </c>
      <c r="N489" s="6" t="str">
        <f t="shared" si="31"/>
        <v>profit</v>
      </c>
    </row>
    <row r="490" spans="1:14" ht="16.5" thickTop="1" thickBot="1" x14ac:dyDescent="0.3">
      <c r="A490" s="4">
        <v>45540</v>
      </c>
      <c r="B490" s="4" t="s">
        <v>69</v>
      </c>
      <c r="C490" s="5" t="s">
        <v>125</v>
      </c>
      <c r="D490" s="5" t="s">
        <v>33</v>
      </c>
      <c r="E490" s="5" t="s">
        <v>120</v>
      </c>
      <c r="F490" s="5" t="s">
        <v>30</v>
      </c>
      <c r="G490" s="5" t="s">
        <v>19</v>
      </c>
      <c r="H490" s="5">
        <v>52</v>
      </c>
      <c r="I490" s="5">
        <v>893</v>
      </c>
      <c r="J490" s="5">
        <v>1055</v>
      </c>
      <c r="K490" s="6">
        <f t="shared" si="28"/>
        <v>46436</v>
      </c>
      <c r="L490" s="6">
        <f t="shared" si="29"/>
        <v>54860</v>
      </c>
      <c r="M490" s="6">
        <f t="shared" si="30"/>
        <v>8424</v>
      </c>
      <c r="N490" s="6" t="str">
        <f t="shared" si="31"/>
        <v>profit</v>
      </c>
    </row>
    <row r="491" spans="1:14" ht="16.5" thickTop="1" thickBot="1" x14ac:dyDescent="0.3">
      <c r="A491" s="4">
        <v>45620</v>
      </c>
      <c r="B491" s="4" t="s">
        <v>161</v>
      </c>
      <c r="C491" s="5" t="s">
        <v>225</v>
      </c>
      <c r="D491" s="5" t="s">
        <v>46</v>
      </c>
      <c r="E491" s="5" t="s">
        <v>63</v>
      </c>
      <c r="F491" s="5" t="s">
        <v>49</v>
      </c>
      <c r="G491" s="5" t="s">
        <v>28</v>
      </c>
      <c r="H491" s="5">
        <v>24</v>
      </c>
      <c r="I491" s="5">
        <v>736</v>
      </c>
      <c r="J491" s="5">
        <v>1406</v>
      </c>
      <c r="K491" s="6">
        <f t="shared" si="28"/>
        <v>17664</v>
      </c>
      <c r="L491" s="6">
        <f t="shared" si="29"/>
        <v>33744</v>
      </c>
      <c r="M491" s="6">
        <f t="shared" si="30"/>
        <v>16080</v>
      </c>
      <c r="N491" s="6" t="str">
        <f t="shared" si="31"/>
        <v>profit</v>
      </c>
    </row>
    <row r="492" spans="1:14" ht="16.5" thickTop="1" thickBot="1" x14ac:dyDescent="0.3">
      <c r="A492" s="4">
        <v>45621</v>
      </c>
      <c r="B492" s="4" t="s">
        <v>161</v>
      </c>
      <c r="C492" s="5" t="s">
        <v>226</v>
      </c>
      <c r="D492" s="5" t="s">
        <v>46</v>
      </c>
      <c r="E492" s="5" t="s">
        <v>63</v>
      </c>
      <c r="F492" s="5" t="s">
        <v>27</v>
      </c>
      <c r="G492" s="5" t="s">
        <v>28</v>
      </c>
      <c r="H492" s="5">
        <v>20</v>
      </c>
      <c r="I492" s="5">
        <v>599</v>
      </c>
      <c r="J492" s="5">
        <v>1023</v>
      </c>
      <c r="K492" s="6">
        <f t="shared" si="28"/>
        <v>11980</v>
      </c>
      <c r="L492" s="6">
        <f t="shared" si="29"/>
        <v>20460</v>
      </c>
      <c r="M492" s="6">
        <f t="shared" si="30"/>
        <v>8480</v>
      </c>
      <c r="N492" s="6" t="str">
        <f t="shared" si="31"/>
        <v>profit</v>
      </c>
    </row>
    <row r="493" spans="1:14" ht="16.5" thickTop="1" thickBot="1" x14ac:dyDescent="0.3">
      <c r="A493" s="4">
        <v>45622</v>
      </c>
      <c r="B493" s="4" t="s">
        <v>161</v>
      </c>
      <c r="C493" s="5" t="s">
        <v>227</v>
      </c>
      <c r="D493" s="5" t="s">
        <v>46</v>
      </c>
      <c r="E493" s="5" t="s">
        <v>63</v>
      </c>
      <c r="F493" s="5" t="s">
        <v>52</v>
      </c>
      <c r="G493" s="5" t="s">
        <v>19</v>
      </c>
      <c r="H493" s="5">
        <v>22</v>
      </c>
      <c r="I493" s="5">
        <v>524</v>
      </c>
      <c r="J493" s="5">
        <v>1147</v>
      </c>
      <c r="K493" s="6">
        <f t="shared" si="28"/>
        <v>11528</v>
      </c>
      <c r="L493" s="6">
        <f t="shared" si="29"/>
        <v>25234</v>
      </c>
      <c r="M493" s="6">
        <f t="shared" si="30"/>
        <v>13706</v>
      </c>
      <c r="N493" s="6" t="str">
        <f t="shared" si="31"/>
        <v>profit</v>
      </c>
    </row>
    <row r="494" spans="1:14" ht="16.5" thickTop="1" thickBot="1" x14ac:dyDescent="0.3">
      <c r="A494" s="4">
        <v>45623</v>
      </c>
      <c r="B494" s="4" t="s">
        <v>161</v>
      </c>
      <c r="C494" s="5" t="s">
        <v>228</v>
      </c>
      <c r="D494" s="5" t="s">
        <v>46</v>
      </c>
      <c r="E494" s="5" t="s">
        <v>63</v>
      </c>
      <c r="F494" s="5" t="s">
        <v>54</v>
      </c>
      <c r="G494" s="5" t="s">
        <v>19</v>
      </c>
      <c r="H494" s="5">
        <v>27</v>
      </c>
      <c r="I494" s="5">
        <v>744</v>
      </c>
      <c r="J494" s="5">
        <v>1253</v>
      </c>
      <c r="K494" s="6">
        <f t="shared" si="28"/>
        <v>20088</v>
      </c>
      <c r="L494" s="6">
        <f t="shared" si="29"/>
        <v>33831</v>
      </c>
      <c r="M494" s="6">
        <f t="shared" si="30"/>
        <v>13743</v>
      </c>
      <c r="N494" s="6" t="str">
        <f t="shared" si="31"/>
        <v>profit</v>
      </c>
    </row>
    <row r="495" spans="1:14" ht="16.5" thickTop="1" thickBot="1" x14ac:dyDescent="0.3">
      <c r="A495" s="4">
        <v>45624</v>
      </c>
      <c r="B495" s="4" t="s">
        <v>161</v>
      </c>
      <c r="C495" s="5" t="s">
        <v>229</v>
      </c>
      <c r="D495" s="5" t="s">
        <v>46</v>
      </c>
      <c r="E495" s="5" t="s">
        <v>118</v>
      </c>
      <c r="F495" s="5" t="s">
        <v>35</v>
      </c>
      <c r="G495" s="5" t="s">
        <v>19</v>
      </c>
      <c r="H495" s="5">
        <v>27</v>
      </c>
      <c r="I495" s="5">
        <v>826</v>
      </c>
      <c r="J495" s="5">
        <v>917</v>
      </c>
      <c r="K495" s="6">
        <f t="shared" si="28"/>
        <v>22302</v>
      </c>
      <c r="L495" s="6">
        <f t="shared" si="29"/>
        <v>24759</v>
      </c>
      <c r="M495" s="6">
        <f t="shared" si="30"/>
        <v>2457</v>
      </c>
      <c r="N495" s="6" t="str">
        <f t="shared" si="31"/>
        <v>profit</v>
      </c>
    </row>
    <row r="496" spans="1:14" ht="16.5" thickTop="1" thickBot="1" x14ac:dyDescent="0.3">
      <c r="A496" s="4">
        <v>45625</v>
      </c>
      <c r="B496" s="4" t="s">
        <v>161</v>
      </c>
      <c r="C496" s="5" t="s">
        <v>230</v>
      </c>
      <c r="D496" s="5" t="s">
        <v>46</v>
      </c>
      <c r="E496" s="5" t="s">
        <v>118</v>
      </c>
      <c r="F496" s="5" t="s">
        <v>39</v>
      </c>
      <c r="G496" s="5" t="s">
        <v>19</v>
      </c>
      <c r="H496" s="5">
        <v>27</v>
      </c>
      <c r="I496" s="5">
        <v>573</v>
      </c>
      <c r="J496" s="5">
        <v>1266</v>
      </c>
      <c r="K496" s="6">
        <f t="shared" si="28"/>
        <v>15471</v>
      </c>
      <c r="L496" s="6">
        <f t="shared" si="29"/>
        <v>34182</v>
      </c>
      <c r="M496" s="6">
        <f t="shared" si="30"/>
        <v>18711</v>
      </c>
      <c r="N496" s="6" t="str">
        <f t="shared" si="31"/>
        <v>profit</v>
      </c>
    </row>
    <row r="497" spans="1:14" ht="16.5" thickTop="1" thickBot="1" x14ac:dyDescent="0.3">
      <c r="A497" s="4">
        <v>45627</v>
      </c>
      <c r="B497" s="4" t="s">
        <v>190</v>
      </c>
      <c r="C497" s="5" t="s">
        <v>232</v>
      </c>
      <c r="D497" s="5" t="s">
        <v>46</v>
      </c>
      <c r="E497" s="5" t="s">
        <v>118</v>
      </c>
      <c r="F497" s="5" t="s">
        <v>64</v>
      </c>
      <c r="G497" s="5" t="s">
        <v>19</v>
      </c>
      <c r="H497" s="5">
        <v>28</v>
      </c>
      <c r="I497" s="5">
        <v>798</v>
      </c>
      <c r="J497" s="5">
        <v>1131</v>
      </c>
      <c r="K497" s="6">
        <f t="shared" si="28"/>
        <v>22344</v>
      </c>
      <c r="L497" s="6">
        <f t="shared" si="29"/>
        <v>31668</v>
      </c>
      <c r="M497" s="6">
        <f t="shared" si="30"/>
        <v>9324</v>
      </c>
      <c r="N497" s="6" t="str">
        <f t="shared" si="31"/>
        <v>profit</v>
      </c>
    </row>
    <row r="498" spans="1:14" ht="16.5" thickTop="1" thickBot="1" x14ac:dyDescent="0.3">
      <c r="A498" s="4">
        <v>45628</v>
      </c>
      <c r="B498" s="4" t="s">
        <v>190</v>
      </c>
      <c r="C498" s="5" t="s">
        <v>233</v>
      </c>
      <c r="D498" s="5" t="s">
        <v>46</v>
      </c>
      <c r="E498" s="5" t="s">
        <v>118</v>
      </c>
      <c r="F498" s="5" t="s">
        <v>64</v>
      </c>
      <c r="G498" s="5" t="s">
        <v>19</v>
      </c>
      <c r="H498" s="5">
        <v>25</v>
      </c>
      <c r="I498" s="5">
        <v>982</v>
      </c>
      <c r="J498" s="5">
        <v>1479</v>
      </c>
      <c r="K498" s="6">
        <f t="shared" si="28"/>
        <v>24550</v>
      </c>
      <c r="L498" s="6">
        <f t="shared" si="29"/>
        <v>36975</v>
      </c>
      <c r="M498" s="6">
        <f t="shared" si="30"/>
        <v>12425</v>
      </c>
      <c r="N498" s="6" t="str">
        <f t="shared" si="31"/>
        <v>profit</v>
      </c>
    </row>
    <row r="499" spans="1:14" ht="16.5" thickTop="1" thickBot="1" x14ac:dyDescent="0.3">
      <c r="A499" s="4">
        <v>45549</v>
      </c>
      <c r="B499" s="4" t="s">
        <v>69</v>
      </c>
      <c r="C499" s="5" t="s">
        <v>126</v>
      </c>
      <c r="D499" s="5" t="s">
        <v>16</v>
      </c>
      <c r="E499" s="5" t="s">
        <v>37</v>
      </c>
      <c r="F499" s="5" t="s">
        <v>35</v>
      </c>
      <c r="G499" s="5" t="s">
        <v>19</v>
      </c>
      <c r="H499" s="5">
        <v>19</v>
      </c>
      <c r="I499" s="5">
        <v>938</v>
      </c>
      <c r="J499" s="5">
        <v>1348</v>
      </c>
      <c r="K499" s="6">
        <f t="shared" si="28"/>
        <v>17822</v>
      </c>
      <c r="L499" s="6">
        <f t="shared" si="29"/>
        <v>25612</v>
      </c>
      <c r="M499" s="6">
        <f t="shared" si="30"/>
        <v>7790</v>
      </c>
      <c r="N499" s="6" t="str">
        <f t="shared" si="31"/>
        <v>profit</v>
      </c>
    </row>
    <row r="500" spans="1:14" ht="16.5" thickTop="1" thickBot="1" x14ac:dyDescent="0.3">
      <c r="A500" s="4">
        <v>45630</v>
      </c>
      <c r="B500" s="4" t="s">
        <v>190</v>
      </c>
      <c r="C500" s="5" t="s">
        <v>234</v>
      </c>
      <c r="D500" s="5" t="s">
        <v>46</v>
      </c>
      <c r="E500" s="5" t="s">
        <v>118</v>
      </c>
      <c r="F500" s="5" t="s">
        <v>39</v>
      </c>
      <c r="G500" s="5" t="s">
        <v>28</v>
      </c>
      <c r="H500" s="5">
        <v>29</v>
      </c>
      <c r="I500" s="5">
        <v>841</v>
      </c>
      <c r="J500" s="5">
        <v>854</v>
      </c>
      <c r="K500" s="6">
        <f t="shared" si="28"/>
        <v>24389</v>
      </c>
      <c r="L500" s="6">
        <f t="shared" si="29"/>
        <v>24766</v>
      </c>
      <c r="M500" s="6">
        <f t="shared" si="30"/>
        <v>377</v>
      </c>
      <c r="N500" s="6" t="str">
        <f t="shared" si="31"/>
        <v>profit</v>
      </c>
    </row>
    <row r="501" spans="1:14" ht="16.5" thickTop="1" thickBot="1" x14ac:dyDescent="0.3">
      <c r="A501" s="4">
        <v>45631</v>
      </c>
      <c r="B501" s="4" t="s">
        <v>190</v>
      </c>
      <c r="C501" s="5" t="s">
        <v>235</v>
      </c>
      <c r="D501" s="5" t="s">
        <v>46</v>
      </c>
      <c r="E501" s="5" t="s">
        <v>118</v>
      </c>
      <c r="F501" s="5" t="s">
        <v>30</v>
      </c>
      <c r="G501" s="5" t="s">
        <v>28</v>
      </c>
      <c r="H501" s="5">
        <v>21</v>
      </c>
      <c r="I501" s="5">
        <v>691</v>
      </c>
      <c r="J501" s="5">
        <v>1142</v>
      </c>
      <c r="K501" s="6">
        <f t="shared" si="28"/>
        <v>14511</v>
      </c>
      <c r="L501" s="6">
        <f t="shared" si="29"/>
        <v>23982</v>
      </c>
      <c r="M501" s="6">
        <f t="shared" si="30"/>
        <v>9471</v>
      </c>
      <c r="N501" s="6" t="str">
        <f t="shared" si="31"/>
        <v>profit</v>
      </c>
    </row>
    <row r="502" spans="1:14" ht="16.5" thickTop="1" thickBot="1" x14ac:dyDescent="0.3">
      <c r="A502" s="4">
        <v>45632</v>
      </c>
      <c r="B502" s="4" t="s">
        <v>190</v>
      </c>
      <c r="C502" s="5" t="s">
        <v>236</v>
      </c>
      <c r="D502" s="5" t="s">
        <v>46</v>
      </c>
      <c r="E502" s="5" t="s">
        <v>118</v>
      </c>
      <c r="F502" s="5" t="s">
        <v>113</v>
      </c>
      <c r="G502" s="5" t="s">
        <v>28</v>
      </c>
      <c r="H502" s="5">
        <v>24</v>
      </c>
      <c r="I502" s="5">
        <v>526</v>
      </c>
      <c r="J502" s="5">
        <v>808</v>
      </c>
      <c r="K502" s="6">
        <f t="shared" si="28"/>
        <v>12624</v>
      </c>
      <c r="L502" s="6">
        <f t="shared" si="29"/>
        <v>19392</v>
      </c>
      <c r="M502" s="6">
        <f t="shared" si="30"/>
        <v>6768</v>
      </c>
      <c r="N502" s="6" t="str">
        <f t="shared" si="31"/>
        <v>profit</v>
      </c>
    </row>
    <row r="503" spans="1:14" ht="16.5" thickTop="1" thickBot="1" x14ac:dyDescent="0.3">
      <c r="A503" s="4">
        <v>45633</v>
      </c>
      <c r="B503" s="4" t="s">
        <v>190</v>
      </c>
      <c r="C503" s="5" t="s">
        <v>237</v>
      </c>
      <c r="D503" s="5" t="s">
        <v>46</v>
      </c>
      <c r="E503" s="5" t="s">
        <v>118</v>
      </c>
      <c r="F503" s="5" t="s">
        <v>44</v>
      </c>
      <c r="G503" s="5" t="s">
        <v>19</v>
      </c>
      <c r="H503" s="5">
        <v>29</v>
      </c>
      <c r="I503" s="5">
        <v>932</v>
      </c>
      <c r="J503" s="5">
        <v>1316</v>
      </c>
      <c r="K503" s="6">
        <f t="shared" si="28"/>
        <v>27028</v>
      </c>
      <c r="L503" s="6">
        <f t="shared" si="29"/>
        <v>38164</v>
      </c>
      <c r="M503" s="6">
        <f t="shared" si="30"/>
        <v>11136</v>
      </c>
      <c r="N503" s="6" t="str">
        <f t="shared" si="31"/>
        <v>profit</v>
      </c>
    </row>
    <row r="504" spans="1:14" ht="16.5" thickTop="1" thickBot="1" x14ac:dyDescent="0.3">
      <c r="A504" s="4">
        <v>45554</v>
      </c>
      <c r="B504" s="4" t="s">
        <v>69</v>
      </c>
      <c r="C504" s="5" t="s">
        <v>127</v>
      </c>
      <c r="D504" s="5" t="s">
        <v>16</v>
      </c>
      <c r="E504" s="5" t="s">
        <v>37</v>
      </c>
      <c r="F504" s="5" t="s">
        <v>39</v>
      </c>
      <c r="G504" s="5" t="s">
        <v>28</v>
      </c>
      <c r="H504" s="5">
        <v>17</v>
      </c>
      <c r="I504" s="5">
        <v>614</v>
      </c>
      <c r="J504" s="5">
        <v>1273</v>
      </c>
      <c r="K504" s="6">
        <f t="shared" si="28"/>
        <v>10438</v>
      </c>
      <c r="L504" s="6">
        <f t="shared" si="29"/>
        <v>21641</v>
      </c>
      <c r="M504" s="6">
        <f t="shared" si="30"/>
        <v>11203</v>
      </c>
      <c r="N504" s="6" t="str">
        <f t="shared" si="31"/>
        <v>profit</v>
      </c>
    </row>
    <row r="505" spans="1:14" ht="16.5" thickTop="1" thickBot="1" x14ac:dyDescent="0.3">
      <c r="A505" s="4">
        <v>45635</v>
      </c>
      <c r="B505" s="4" t="s">
        <v>190</v>
      </c>
      <c r="C505" s="5" t="s">
        <v>238</v>
      </c>
      <c r="D505" s="5" t="s">
        <v>46</v>
      </c>
      <c r="E505" s="5" t="s">
        <v>118</v>
      </c>
      <c r="F505" s="5" t="s">
        <v>155</v>
      </c>
      <c r="G505" s="5" t="s">
        <v>28</v>
      </c>
      <c r="H505" s="5">
        <v>22</v>
      </c>
      <c r="I505" s="5">
        <v>603</v>
      </c>
      <c r="J505" s="5">
        <v>794</v>
      </c>
      <c r="K505" s="6">
        <f t="shared" si="28"/>
        <v>13266</v>
      </c>
      <c r="L505" s="6">
        <f t="shared" si="29"/>
        <v>17468</v>
      </c>
      <c r="M505" s="6">
        <f t="shared" si="30"/>
        <v>4202</v>
      </c>
      <c r="N505" s="6" t="str">
        <f t="shared" si="31"/>
        <v>profit</v>
      </c>
    </row>
    <row r="506" spans="1:14" ht="16.5" thickTop="1" thickBot="1" x14ac:dyDescent="0.3">
      <c r="A506" s="4">
        <v>45689</v>
      </c>
      <c r="B506" s="4" t="s">
        <v>239</v>
      </c>
      <c r="C506" s="5" t="s">
        <v>240</v>
      </c>
      <c r="D506" s="5" t="s">
        <v>46</v>
      </c>
      <c r="E506" s="5" t="s">
        <v>118</v>
      </c>
      <c r="F506" s="5" t="s">
        <v>44</v>
      </c>
      <c r="G506" s="5" t="s">
        <v>19</v>
      </c>
      <c r="H506" s="5">
        <v>30</v>
      </c>
      <c r="I506" s="5">
        <v>946</v>
      </c>
      <c r="J506" s="5">
        <v>1109</v>
      </c>
      <c r="K506" s="6">
        <f t="shared" si="28"/>
        <v>28380</v>
      </c>
      <c r="L506" s="6">
        <f t="shared" si="29"/>
        <v>33270</v>
      </c>
      <c r="M506" s="6">
        <f t="shared" si="30"/>
        <v>4890</v>
      </c>
      <c r="N506" s="6" t="str">
        <f t="shared" si="31"/>
        <v>profit</v>
      </c>
    </row>
    <row r="507" spans="1:14" ht="16.5" thickTop="1" thickBot="1" x14ac:dyDescent="0.3">
      <c r="A507" s="4">
        <v>45690</v>
      </c>
      <c r="B507" s="4" t="s">
        <v>239</v>
      </c>
      <c r="C507" s="5" t="s">
        <v>241</v>
      </c>
      <c r="D507" s="5" t="s">
        <v>46</v>
      </c>
      <c r="E507" s="5" t="s">
        <v>118</v>
      </c>
      <c r="F507" s="5" t="s">
        <v>153</v>
      </c>
      <c r="G507" s="5" t="s">
        <v>19</v>
      </c>
      <c r="H507" s="5">
        <v>24</v>
      </c>
      <c r="I507" s="5">
        <v>580</v>
      </c>
      <c r="J507" s="5">
        <v>809</v>
      </c>
      <c r="K507" s="6">
        <f t="shared" si="28"/>
        <v>13920</v>
      </c>
      <c r="L507" s="6">
        <f t="shared" si="29"/>
        <v>19416</v>
      </c>
      <c r="M507" s="6">
        <f t="shared" si="30"/>
        <v>5496</v>
      </c>
      <c r="N507" s="6" t="str">
        <f t="shared" si="31"/>
        <v>profit</v>
      </c>
    </row>
    <row r="508" spans="1:14" ht="16.5" thickTop="1" thickBot="1" x14ac:dyDescent="0.3">
      <c r="A508" s="4">
        <v>45691</v>
      </c>
      <c r="B508" s="4" t="s">
        <v>239</v>
      </c>
      <c r="C508" s="5" t="s">
        <v>242</v>
      </c>
      <c r="D508" s="5" t="s">
        <v>46</v>
      </c>
      <c r="E508" s="5" t="s">
        <v>118</v>
      </c>
      <c r="F508" s="5" t="s">
        <v>155</v>
      </c>
      <c r="G508" s="5" t="s">
        <v>19</v>
      </c>
      <c r="H508" s="5">
        <v>30</v>
      </c>
      <c r="I508" s="5">
        <v>732</v>
      </c>
      <c r="J508" s="5">
        <v>944</v>
      </c>
      <c r="K508" s="6">
        <f t="shared" si="28"/>
        <v>21960</v>
      </c>
      <c r="L508" s="6">
        <f t="shared" si="29"/>
        <v>28320</v>
      </c>
      <c r="M508" s="6">
        <f t="shared" si="30"/>
        <v>6360</v>
      </c>
      <c r="N508" s="6" t="str">
        <f t="shared" si="31"/>
        <v>profit</v>
      </c>
    </row>
    <row r="509" spans="1:14" ht="16.5" thickTop="1" thickBot="1" x14ac:dyDescent="0.3">
      <c r="A509" s="4">
        <v>45692</v>
      </c>
      <c r="B509" s="4" t="s">
        <v>239</v>
      </c>
      <c r="C509" s="5" t="s">
        <v>244</v>
      </c>
      <c r="D509" s="5" t="s">
        <v>46</v>
      </c>
      <c r="E509" s="5" t="s">
        <v>118</v>
      </c>
      <c r="F509" s="5" t="s">
        <v>18</v>
      </c>
      <c r="G509" s="5" t="s">
        <v>28</v>
      </c>
      <c r="H509" s="5">
        <v>20</v>
      </c>
      <c r="I509" s="5">
        <v>552</v>
      </c>
      <c r="J509" s="5">
        <v>1261</v>
      </c>
      <c r="K509" s="6">
        <f t="shared" si="28"/>
        <v>11040</v>
      </c>
      <c r="L509" s="6">
        <f t="shared" si="29"/>
        <v>25220</v>
      </c>
      <c r="M509" s="6">
        <f t="shared" si="30"/>
        <v>14180</v>
      </c>
      <c r="N509" s="6" t="str">
        <f t="shared" si="31"/>
        <v>profit</v>
      </c>
    </row>
    <row r="510" spans="1:14" ht="16.5" thickTop="1" thickBot="1" x14ac:dyDescent="0.3">
      <c r="A510" s="4">
        <v>45693</v>
      </c>
      <c r="B510" s="4" t="s">
        <v>239</v>
      </c>
      <c r="C510" s="5" t="s">
        <v>245</v>
      </c>
      <c r="D510" s="5" t="s">
        <v>46</v>
      </c>
      <c r="E510" s="5" t="s">
        <v>118</v>
      </c>
      <c r="F510" s="5" t="s">
        <v>21</v>
      </c>
      <c r="G510" s="5" t="s">
        <v>28</v>
      </c>
      <c r="H510" s="5">
        <v>21</v>
      </c>
      <c r="I510" s="5">
        <v>876</v>
      </c>
      <c r="J510" s="5">
        <v>1452</v>
      </c>
      <c r="K510" s="6">
        <f t="shared" si="28"/>
        <v>18396</v>
      </c>
      <c r="L510" s="6">
        <f t="shared" si="29"/>
        <v>30492</v>
      </c>
      <c r="M510" s="6">
        <f t="shared" si="30"/>
        <v>12096</v>
      </c>
      <c r="N510" s="6" t="str">
        <f t="shared" si="31"/>
        <v>profit</v>
      </c>
    </row>
    <row r="511" spans="1:14" ht="16.5" thickTop="1" thickBot="1" x14ac:dyDescent="0.3">
      <c r="A511" s="4">
        <v>45694</v>
      </c>
      <c r="B511" s="4" t="s">
        <v>239</v>
      </c>
      <c r="C511" s="5" t="s">
        <v>246</v>
      </c>
      <c r="D511" s="5" t="s">
        <v>46</v>
      </c>
      <c r="E511" s="5" t="s">
        <v>118</v>
      </c>
      <c r="F511" s="5" t="s">
        <v>23</v>
      </c>
      <c r="G511" s="5" t="s">
        <v>28</v>
      </c>
      <c r="H511" s="5">
        <v>27</v>
      </c>
      <c r="I511" s="5">
        <v>636</v>
      </c>
      <c r="J511" s="5">
        <v>1284</v>
      </c>
      <c r="K511" s="6">
        <f t="shared" si="28"/>
        <v>17172</v>
      </c>
      <c r="L511" s="6">
        <f t="shared" si="29"/>
        <v>34668</v>
      </c>
      <c r="M511" s="6">
        <f t="shared" si="30"/>
        <v>17496</v>
      </c>
      <c r="N511" s="6" t="str">
        <f t="shared" si="31"/>
        <v>profit</v>
      </c>
    </row>
    <row r="512" spans="1:14" ht="16.5" thickTop="1" thickBot="1" x14ac:dyDescent="0.3">
      <c r="A512" s="4">
        <v>45695</v>
      </c>
      <c r="B512" s="4" t="s">
        <v>239</v>
      </c>
      <c r="C512" s="5" t="s">
        <v>248</v>
      </c>
      <c r="D512" s="5" t="s">
        <v>46</v>
      </c>
      <c r="E512" s="5" t="s">
        <v>118</v>
      </c>
      <c r="F512" s="5" t="s">
        <v>25</v>
      </c>
      <c r="G512" s="5" t="s">
        <v>28</v>
      </c>
      <c r="H512" s="5">
        <v>21</v>
      </c>
      <c r="I512" s="5">
        <v>974</v>
      </c>
      <c r="J512" s="5">
        <v>1363</v>
      </c>
      <c r="K512" s="6">
        <f t="shared" si="28"/>
        <v>20454</v>
      </c>
      <c r="L512" s="6">
        <f t="shared" si="29"/>
        <v>28623</v>
      </c>
      <c r="M512" s="6">
        <f t="shared" si="30"/>
        <v>8169</v>
      </c>
      <c r="N512" s="6" t="str">
        <f t="shared" si="31"/>
        <v>profit</v>
      </c>
    </row>
    <row r="513" spans="1:14" ht="16.5" thickTop="1" thickBot="1" x14ac:dyDescent="0.3">
      <c r="A513" s="4">
        <v>45563</v>
      </c>
      <c r="B513" s="4" t="s">
        <v>69</v>
      </c>
      <c r="C513" s="5" t="s">
        <v>128</v>
      </c>
      <c r="D513" s="5" t="s">
        <v>16</v>
      </c>
      <c r="E513" s="5" t="s">
        <v>17</v>
      </c>
      <c r="F513" s="5" t="s">
        <v>39</v>
      </c>
      <c r="G513" s="5" t="s">
        <v>19</v>
      </c>
      <c r="H513" s="5">
        <v>10</v>
      </c>
      <c r="I513" s="5">
        <v>572</v>
      </c>
      <c r="J513" s="5">
        <v>801</v>
      </c>
      <c r="K513" s="6">
        <f t="shared" si="28"/>
        <v>5720</v>
      </c>
      <c r="L513" s="6">
        <f t="shared" si="29"/>
        <v>8010</v>
      </c>
      <c r="M513" s="6">
        <f t="shared" si="30"/>
        <v>2290</v>
      </c>
      <c r="N513" s="6" t="str">
        <f t="shared" si="31"/>
        <v>profit</v>
      </c>
    </row>
    <row r="514" spans="1:14" ht="16.5" thickTop="1" thickBot="1" x14ac:dyDescent="0.3">
      <c r="A514" s="4">
        <v>45696</v>
      </c>
      <c r="B514" s="4" t="s">
        <v>239</v>
      </c>
      <c r="C514" s="5" t="s">
        <v>249</v>
      </c>
      <c r="D514" s="5" t="s">
        <v>46</v>
      </c>
      <c r="E514" s="5" t="s">
        <v>118</v>
      </c>
      <c r="F514" s="5" t="s">
        <v>25</v>
      </c>
      <c r="G514" s="5" t="s">
        <v>28</v>
      </c>
      <c r="H514" s="5">
        <v>30</v>
      </c>
      <c r="I514" s="5">
        <v>518</v>
      </c>
      <c r="J514" s="5">
        <v>858</v>
      </c>
      <c r="K514" s="6">
        <f t="shared" ref="K514:K577" si="32">H514*I514</f>
        <v>15540</v>
      </c>
      <c r="L514" s="6">
        <f t="shared" ref="L514:L577" si="33">H514*J514</f>
        <v>25740</v>
      </c>
      <c r="M514" s="6">
        <f t="shared" ref="M514:M577" si="34">L514-K514</f>
        <v>10200</v>
      </c>
      <c r="N514" s="6" t="str">
        <f t="shared" ref="N514:N577" si="35">IF(M514&gt;0,"profit","loss")</f>
        <v>profit</v>
      </c>
    </row>
    <row r="515" spans="1:14" ht="16.5" thickTop="1" thickBot="1" x14ac:dyDescent="0.3">
      <c r="A515" s="4">
        <v>45565</v>
      </c>
      <c r="B515" s="4" t="s">
        <v>69</v>
      </c>
      <c r="C515" s="5" t="s">
        <v>129</v>
      </c>
      <c r="D515" s="5" t="s">
        <v>16</v>
      </c>
      <c r="E515" s="5" t="s">
        <v>17</v>
      </c>
      <c r="F515" s="5" t="s">
        <v>64</v>
      </c>
      <c r="G515" s="5" t="s">
        <v>19</v>
      </c>
      <c r="H515" s="5">
        <v>12</v>
      </c>
      <c r="I515" s="5">
        <v>674</v>
      </c>
      <c r="J515" s="5">
        <v>1265</v>
      </c>
      <c r="K515" s="6">
        <f t="shared" si="32"/>
        <v>8088</v>
      </c>
      <c r="L515" s="6">
        <f t="shared" si="33"/>
        <v>15180</v>
      </c>
      <c r="M515" s="6">
        <f t="shared" si="34"/>
        <v>7092</v>
      </c>
      <c r="N515" s="6" t="str">
        <f t="shared" si="35"/>
        <v>profit</v>
      </c>
    </row>
    <row r="516" spans="1:14" ht="16.5" thickTop="1" thickBot="1" x14ac:dyDescent="0.3">
      <c r="A516" s="4">
        <v>45697</v>
      </c>
      <c r="B516" s="4" t="s">
        <v>239</v>
      </c>
      <c r="C516" s="5" t="s">
        <v>250</v>
      </c>
      <c r="D516" s="5" t="s">
        <v>46</v>
      </c>
      <c r="E516" s="5" t="s">
        <v>118</v>
      </c>
      <c r="F516" s="5" t="s">
        <v>27</v>
      </c>
      <c r="G516" s="5" t="s">
        <v>19</v>
      </c>
      <c r="H516" s="5">
        <v>21</v>
      </c>
      <c r="I516" s="5">
        <v>531</v>
      </c>
      <c r="J516" s="5">
        <v>955</v>
      </c>
      <c r="K516" s="6">
        <f t="shared" si="32"/>
        <v>11151</v>
      </c>
      <c r="L516" s="6">
        <f t="shared" si="33"/>
        <v>20055</v>
      </c>
      <c r="M516" s="6">
        <f t="shared" si="34"/>
        <v>8904</v>
      </c>
      <c r="N516" s="6" t="str">
        <f t="shared" si="35"/>
        <v>profit</v>
      </c>
    </row>
    <row r="517" spans="1:14" ht="16.5" thickTop="1" thickBot="1" x14ac:dyDescent="0.3">
      <c r="A517" s="4">
        <v>45699</v>
      </c>
      <c r="B517" s="4" t="s">
        <v>239</v>
      </c>
      <c r="C517" s="5" t="s">
        <v>251</v>
      </c>
      <c r="D517" s="5" t="s">
        <v>46</v>
      </c>
      <c r="E517" s="5" t="s">
        <v>118</v>
      </c>
      <c r="F517" s="5" t="s">
        <v>35</v>
      </c>
      <c r="G517" s="5" t="s">
        <v>19</v>
      </c>
      <c r="H517" s="5">
        <v>26</v>
      </c>
      <c r="I517" s="5">
        <v>842</v>
      </c>
      <c r="J517" s="5">
        <v>1074</v>
      </c>
      <c r="K517" s="6">
        <f t="shared" si="32"/>
        <v>21892</v>
      </c>
      <c r="L517" s="6">
        <f t="shared" si="33"/>
        <v>27924</v>
      </c>
      <c r="M517" s="6">
        <f t="shared" si="34"/>
        <v>6032</v>
      </c>
      <c r="N517" s="6" t="str">
        <f t="shared" si="35"/>
        <v>profit</v>
      </c>
    </row>
    <row r="518" spans="1:14" ht="16.5" thickTop="1" thickBot="1" x14ac:dyDescent="0.3">
      <c r="A518" s="4">
        <v>45387</v>
      </c>
      <c r="B518" s="4" t="s">
        <v>31</v>
      </c>
      <c r="C518" s="5" t="s">
        <v>255</v>
      </c>
      <c r="D518" s="5" t="s">
        <v>33</v>
      </c>
      <c r="E518" s="5" t="s">
        <v>34</v>
      </c>
      <c r="F518" s="5" t="s">
        <v>76</v>
      </c>
      <c r="G518" s="5" t="s">
        <v>28</v>
      </c>
      <c r="H518" s="5">
        <v>95</v>
      </c>
      <c r="I518" s="5">
        <v>936</v>
      </c>
      <c r="J518" s="5">
        <v>1350</v>
      </c>
      <c r="K518" s="6">
        <f t="shared" si="32"/>
        <v>88920</v>
      </c>
      <c r="L518" s="6">
        <f t="shared" si="33"/>
        <v>128250</v>
      </c>
      <c r="M518" s="6">
        <f t="shared" si="34"/>
        <v>39330</v>
      </c>
      <c r="N518" s="6" t="str">
        <f t="shared" si="35"/>
        <v>profit</v>
      </c>
    </row>
    <row r="519" spans="1:14" ht="16.5" thickTop="1" thickBot="1" x14ac:dyDescent="0.3">
      <c r="A519" s="4">
        <v>45388</v>
      </c>
      <c r="B519" s="4" t="s">
        <v>31</v>
      </c>
      <c r="C519" s="5" t="s">
        <v>256</v>
      </c>
      <c r="D519" s="5" t="s">
        <v>33</v>
      </c>
      <c r="E519" s="5" t="s">
        <v>34</v>
      </c>
      <c r="F519" s="5" t="s">
        <v>78</v>
      </c>
      <c r="G519" s="5" t="s">
        <v>28</v>
      </c>
      <c r="H519" s="5">
        <v>84</v>
      </c>
      <c r="I519" s="5">
        <v>784</v>
      </c>
      <c r="J519" s="5">
        <v>965</v>
      </c>
      <c r="K519" s="6">
        <f t="shared" si="32"/>
        <v>65856</v>
      </c>
      <c r="L519" s="6">
        <f t="shared" si="33"/>
        <v>81060</v>
      </c>
      <c r="M519" s="6">
        <f t="shared" si="34"/>
        <v>15204</v>
      </c>
      <c r="N519" s="6" t="str">
        <f t="shared" si="35"/>
        <v>profit</v>
      </c>
    </row>
    <row r="520" spans="1:14" ht="16.5" thickTop="1" thickBot="1" x14ac:dyDescent="0.3">
      <c r="A520" s="4">
        <v>45390</v>
      </c>
      <c r="B520" s="4" t="s">
        <v>31</v>
      </c>
      <c r="C520" s="5" t="s">
        <v>257</v>
      </c>
      <c r="D520" s="5" t="s">
        <v>33</v>
      </c>
      <c r="E520" s="5" t="s">
        <v>34</v>
      </c>
      <c r="F520" s="5" t="s">
        <v>44</v>
      </c>
      <c r="G520" s="5" t="s">
        <v>28</v>
      </c>
      <c r="H520" s="5">
        <v>51</v>
      </c>
      <c r="I520" s="5">
        <v>847</v>
      </c>
      <c r="J520" s="5">
        <v>972</v>
      </c>
      <c r="K520" s="6">
        <f t="shared" si="32"/>
        <v>43197</v>
      </c>
      <c r="L520" s="6">
        <f t="shared" si="33"/>
        <v>49572</v>
      </c>
      <c r="M520" s="6">
        <f t="shared" si="34"/>
        <v>6375</v>
      </c>
      <c r="N520" s="6" t="str">
        <f t="shared" si="35"/>
        <v>profit</v>
      </c>
    </row>
    <row r="521" spans="1:14" ht="16.5" thickTop="1" thickBot="1" x14ac:dyDescent="0.3">
      <c r="A521" s="4">
        <v>45571</v>
      </c>
      <c r="B521" s="4" t="s">
        <v>85</v>
      </c>
      <c r="C521" s="5" t="s">
        <v>130</v>
      </c>
      <c r="D521" s="5" t="s">
        <v>33</v>
      </c>
      <c r="E521" s="5" t="s">
        <v>99</v>
      </c>
      <c r="F521" s="5" t="s">
        <v>44</v>
      </c>
      <c r="G521" s="5" t="s">
        <v>19</v>
      </c>
      <c r="H521" s="5">
        <v>52</v>
      </c>
      <c r="I521" s="5">
        <v>546</v>
      </c>
      <c r="J521" s="5">
        <v>1482</v>
      </c>
      <c r="K521" s="6">
        <f t="shared" si="32"/>
        <v>28392</v>
      </c>
      <c r="L521" s="6">
        <f t="shared" si="33"/>
        <v>77064</v>
      </c>
      <c r="M521" s="6">
        <f t="shared" si="34"/>
        <v>48672</v>
      </c>
      <c r="N521" s="6" t="str">
        <f t="shared" si="35"/>
        <v>profit</v>
      </c>
    </row>
    <row r="522" spans="1:14" ht="16.5" thickTop="1" thickBot="1" x14ac:dyDescent="0.3">
      <c r="A522" s="4">
        <v>45397</v>
      </c>
      <c r="B522" s="4" t="s">
        <v>31</v>
      </c>
      <c r="C522" s="5" t="s">
        <v>258</v>
      </c>
      <c r="D522" s="5" t="s">
        <v>33</v>
      </c>
      <c r="E522" s="5" t="s">
        <v>163</v>
      </c>
      <c r="F522" s="5" t="s">
        <v>44</v>
      </c>
      <c r="G522" s="5" t="s">
        <v>19</v>
      </c>
      <c r="H522" s="5">
        <v>68</v>
      </c>
      <c r="I522" s="5">
        <v>534</v>
      </c>
      <c r="J522" s="5">
        <v>1085</v>
      </c>
      <c r="K522" s="6">
        <f t="shared" si="32"/>
        <v>36312</v>
      </c>
      <c r="L522" s="6">
        <f t="shared" si="33"/>
        <v>73780</v>
      </c>
      <c r="M522" s="6">
        <f t="shared" si="34"/>
        <v>37468</v>
      </c>
      <c r="N522" s="6" t="str">
        <f t="shared" si="35"/>
        <v>profit</v>
      </c>
    </row>
    <row r="523" spans="1:14" ht="16.5" thickTop="1" thickBot="1" x14ac:dyDescent="0.3">
      <c r="A523" s="4">
        <v>45398</v>
      </c>
      <c r="B523" s="4" t="s">
        <v>31</v>
      </c>
      <c r="C523" s="5" t="s">
        <v>259</v>
      </c>
      <c r="D523" s="5" t="s">
        <v>33</v>
      </c>
      <c r="E523" s="5" t="s">
        <v>163</v>
      </c>
      <c r="F523" s="5" t="s">
        <v>49</v>
      </c>
      <c r="G523" s="5" t="s">
        <v>19</v>
      </c>
      <c r="H523" s="5">
        <v>68</v>
      </c>
      <c r="I523" s="5">
        <v>575</v>
      </c>
      <c r="J523" s="5">
        <v>1242</v>
      </c>
      <c r="K523" s="6">
        <f t="shared" si="32"/>
        <v>39100</v>
      </c>
      <c r="L523" s="6">
        <f t="shared" si="33"/>
        <v>84456</v>
      </c>
      <c r="M523" s="6">
        <f t="shared" si="34"/>
        <v>45356</v>
      </c>
      <c r="N523" s="6" t="str">
        <f t="shared" si="35"/>
        <v>profit</v>
      </c>
    </row>
    <row r="524" spans="1:14" ht="16.5" thickTop="1" thickBot="1" x14ac:dyDescent="0.3">
      <c r="A524" s="4">
        <v>45399</v>
      </c>
      <c r="B524" s="4" t="s">
        <v>31</v>
      </c>
      <c r="C524" s="5" t="s">
        <v>260</v>
      </c>
      <c r="D524" s="5" t="s">
        <v>33</v>
      </c>
      <c r="E524" s="5" t="s">
        <v>163</v>
      </c>
      <c r="F524" s="5" t="s">
        <v>27</v>
      </c>
      <c r="G524" s="5" t="s">
        <v>19</v>
      </c>
      <c r="H524" s="5">
        <v>79</v>
      </c>
      <c r="I524" s="5">
        <v>537</v>
      </c>
      <c r="J524" s="5">
        <v>850</v>
      </c>
      <c r="K524" s="6">
        <f t="shared" si="32"/>
        <v>42423</v>
      </c>
      <c r="L524" s="6">
        <f t="shared" si="33"/>
        <v>67150</v>
      </c>
      <c r="M524" s="6">
        <f t="shared" si="34"/>
        <v>24727</v>
      </c>
      <c r="N524" s="6" t="str">
        <f t="shared" si="35"/>
        <v>profit</v>
      </c>
    </row>
    <row r="525" spans="1:14" ht="16.5" thickTop="1" thickBot="1" x14ac:dyDescent="0.3">
      <c r="A525" s="4">
        <v>45400</v>
      </c>
      <c r="B525" s="4" t="s">
        <v>31</v>
      </c>
      <c r="C525" s="5" t="s">
        <v>261</v>
      </c>
      <c r="D525" s="5" t="s">
        <v>33</v>
      </c>
      <c r="E525" s="5" t="s">
        <v>163</v>
      </c>
      <c r="F525" s="5" t="s">
        <v>52</v>
      </c>
      <c r="G525" s="5" t="s">
        <v>19</v>
      </c>
      <c r="H525" s="5">
        <v>65</v>
      </c>
      <c r="I525" s="5">
        <v>935</v>
      </c>
      <c r="J525" s="5">
        <v>752</v>
      </c>
      <c r="K525" s="6">
        <f t="shared" si="32"/>
        <v>60775</v>
      </c>
      <c r="L525" s="6">
        <f t="shared" si="33"/>
        <v>48880</v>
      </c>
      <c r="M525" s="6">
        <f t="shared" si="34"/>
        <v>-11895</v>
      </c>
      <c r="N525" s="6" t="str">
        <f t="shared" si="35"/>
        <v>loss</v>
      </c>
    </row>
    <row r="526" spans="1:14" ht="16.5" thickTop="1" thickBot="1" x14ac:dyDescent="0.3">
      <c r="A526" s="4">
        <v>45401</v>
      </c>
      <c r="B526" s="4" t="s">
        <v>31</v>
      </c>
      <c r="C526" s="5" t="s">
        <v>262</v>
      </c>
      <c r="D526" s="5" t="s">
        <v>33</v>
      </c>
      <c r="E526" s="5" t="s">
        <v>163</v>
      </c>
      <c r="F526" s="5" t="s">
        <v>54</v>
      </c>
      <c r="G526" s="5" t="s">
        <v>19</v>
      </c>
      <c r="H526" s="5">
        <v>66</v>
      </c>
      <c r="I526" s="5">
        <v>709</v>
      </c>
      <c r="J526" s="5">
        <v>1021</v>
      </c>
      <c r="K526" s="6">
        <f t="shared" si="32"/>
        <v>46794</v>
      </c>
      <c r="L526" s="6">
        <f t="shared" si="33"/>
        <v>67386</v>
      </c>
      <c r="M526" s="6">
        <f t="shared" si="34"/>
        <v>20592</v>
      </c>
      <c r="N526" s="6" t="str">
        <f t="shared" si="35"/>
        <v>profit</v>
      </c>
    </row>
    <row r="527" spans="1:14" ht="16.5" thickTop="1" thickBot="1" x14ac:dyDescent="0.3">
      <c r="A527" s="4">
        <v>45402</v>
      </c>
      <c r="B527" s="4" t="s">
        <v>31</v>
      </c>
      <c r="C527" s="5" t="s">
        <v>263</v>
      </c>
      <c r="D527" s="5" t="s">
        <v>33</v>
      </c>
      <c r="E527" s="5" t="s">
        <v>163</v>
      </c>
      <c r="F527" s="5" t="s">
        <v>35</v>
      </c>
      <c r="G527" s="5" t="s">
        <v>28</v>
      </c>
      <c r="H527" s="5">
        <v>70</v>
      </c>
      <c r="I527" s="5">
        <v>751</v>
      </c>
      <c r="J527" s="5">
        <v>1485</v>
      </c>
      <c r="K527" s="6">
        <f t="shared" si="32"/>
        <v>52570</v>
      </c>
      <c r="L527" s="6">
        <f t="shared" si="33"/>
        <v>103950</v>
      </c>
      <c r="M527" s="6">
        <f t="shared" si="34"/>
        <v>51380</v>
      </c>
      <c r="N527" s="6" t="str">
        <f t="shared" si="35"/>
        <v>profit</v>
      </c>
    </row>
    <row r="528" spans="1:14" ht="16.5" thickTop="1" thickBot="1" x14ac:dyDescent="0.3">
      <c r="A528" s="4">
        <v>45578</v>
      </c>
      <c r="B528" s="4" t="s">
        <v>85</v>
      </c>
      <c r="C528" s="5" t="s">
        <v>135</v>
      </c>
      <c r="D528" s="5" t="s">
        <v>33</v>
      </c>
      <c r="E528" s="5" t="s">
        <v>120</v>
      </c>
      <c r="F528" s="5" t="s">
        <v>25</v>
      </c>
      <c r="G528" s="5" t="s">
        <v>28</v>
      </c>
      <c r="H528" s="5">
        <v>86</v>
      </c>
      <c r="I528" s="5">
        <v>717</v>
      </c>
      <c r="J528" s="5">
        <v>1445</v>
      </c>
      <c r="K528" s="6">
        <f t="shared" si="32"/>
        <v>61662</v>
      </c>
      <c r="L528" s="6">
        <f t="shared" si="33"/>
        <v>124270</v>
      </c>
      <c r="M528" s="6">
        <f t="shared" si="34"/>
        <v>62608</v>
      </c>
      <c r="N528" s="6" t="str">
        <f t="shared" si="35"/>
        <v>profit</v>
      </c>
    </row>
    <row r="529" spans="1:14" ht="16.5" thickTop="1" thickBot="1" x14ac:dyDescent="0.3">
      <c r="A529" s="4">
        <v>45403</v>
      </c>
      <c r="B529" s="4" t="s">
        <v>31</v>
      </c>
      <c r="C529" s="5" t="s">
        <v>264</v>
      </c>
      <c r="D529" s="5" t="s">
        <v>33</v>
      </c>
      <c r="E529" s="5" t="s">
        <v>163</v>
      </c>
      <c r="F529" s="5" t="s">
        <v>39</v>
      </c>
      <c r="G529" s="5" t="s">
        <v>28</v>
      </c>
      <c r="H529" s="5">
        <v>75</v>
      </c>
      <c r="I529" s="5">
        <v>686</v>
      </c>
      <c r="J529" s="5">
        <v>1254</v>
      </c>
      <c r="K529" s="6">
        <f t="shared" si="32"/>
        <v>51450</v>
      </c>
      <c r="L529" s="6">
        <f t="shared" si="33"/>
        <v>94050</v>
      </c>
      <c r="M529" s="6">
        <f t="shared" si="34"/>
        <v>42600</v>
      </c>
      <c r="N529" s="6" t="str">
        <f t="shared" si="35"/>
        <v>profit</v>
      </c>
    </row>
    <row r="530" spans="1:14" ht="16.5" thickTop="1" thickBot="1" x14ac:dyDescent="0.3">
      <c r="A530" s="4">
        <v>45431</v>
      </c>
      <c r="B530" s="4" t="s">
        <v>97</v>
      </c>
      <c r="C530" s="5" t="s">
        <v>265</v>
      </c>
      <c r="D530" s="5" t="s">
        <v>33</v>
      </c>
      <c r="E530" s="5" t="s">
        <v>99</v>
      </c>
      <c r="F530" s="5" t="s">
        <v>60</v>
      </c>
      <c r="G530" s="5" t="s">
        <v>28</v>
      </c>
      <c r="H530" s="5">
        <v>91</v>
      </c>
      <c r="I530" s="5">
        <v>518</v>
      </c>
      <c r="J530" s="5">
        <v>1465</v>
      </c>
      <c r="K530" s="6">
        <f t="shared" si="32"/>
        <v>47138</v>
      </c>
      <c r="L530" s="6">
        <f t="shared" si="33"/>
        <v>133315</v>
      </c>
      <c r="M530" s="6">
        <f t="shared" si="34"/>
        <v>86177</v>
      </c>
      <c r="N530" s="6" t="str">
        <f t="shared" si="35"/>
        <v>profit</v>
      </c>
    </row>
    <row r="531" spans="1:14" ht="16.5" thickTop="1" thickBot="1" x14ac:dyDescent="0.3">
      <c r="A531" s="4">
        <v>45433</v>
      </c>
      <c r="B531" s="4" t="s">
        <v>97</v>
      </c>
      <c r="C531" s="5" t="s">
        <v>266</v>
      </c>
      <c r="D531" s="5" t="s">
        <v>33</v>
      </c>
      <c r="E531" s="5" t="s">
        <v>99</v>
      </c>
      <c r="F531" s="5" t="s">
        <v>39</v>
      </c>
      <c r="G531" s="5" t="s">
        <v>19</v>
      </c>
      <c r="H531" s="5">
        <v>96</v>
      </c>
      <c r="I531" s="5">
        <v>791</v>
      </c>
      <c r="J531" s="5">
        <v>931</v>
      </c>
      <c r="K531" s="6">
        <f t="shared" si="32"/>
        <v>75936</v>
      </c>
      <c r="L531" s="6">
        <f t="shared" si="33"/>
        <v>89376</v>
      </c>
      <c r="M531" s="6">
        <f t="shared" si="34"/>
        <v>13440</v>
      </c>
      <c r="N531" s="6" t="str">
        <f t="shared" si="35"/>
        <v>profit</v>
      </c>
    </row>
    <row r="532" spans="1:14" ht="16.5" thickTop="1" thickBot="1" x14ac:dyDescent="0.3">
      <c r="A532" s="4">
        <v>45434</v>
      </c>
      <c r="B532" s="4" t="s">
        <v>97</v>
      </c>
      <c r="C532" s="5" t="s">
        <v>267</v>
      </c>
      <c r="D532" s="5" t="s">
        <v>33</v>
      </c>
      <c r="E532" s="5" t="s">
        <v>99</v>
      </c>
      <c r="F532" s="5" t="s">
        <v>39</v>
      </c>
      <c r="G532" s="5" t="s">
        <v>19</v>
      </c>
      <c r="H532" s="5">
        <v>69</v>
      </c>
      <c r="I532" s="5">
        <v>864</v>
      </c>
      <c r="J532" s="5">
        <v>935</v>
      </c>
      <c r="K532" s="6">
        <f t="shared" si="32"/>
        <v>59616</v>
      </c>
      <c r="L532" s="6">
        <f t="shared" si="33"/>
        <v>64515</v>
      </c>
      <c r="M532" s="6">
        <f t="shared" si="34"/>
        <v>4899</v>
      </c>
      <c r="N532" s="6" t="str">
        <f t="shared" si="35"/>
        <v>profit</v>
      </c>
    </row>
    <row r="533" spans="1:14" ht="16.5" thickTop="1" thickBot="1" x14ac:dyDescent="0.3">
      <c r="A533" s="4">
        <v>45583</v>
      </c>
      <c r="B533" s="4" t="s">
        <v>85</v>
      </c>
      <c r="C533" s="5" t="s">
        <v>140</v>
      </c>
      <c r="D533" s="5" t="s">
        <v>16</v>
      </c>
      <c r="E533" s="5" t="s">
        <v>37</v>
      </c>
      <c r="F533" s="5" t="s">
        <v>54</v>
      </c>
      <c r="G533" s="5" t="s">
        <v>19</v>
      </c>
      <c r="H533" s="5">
        <v>20</v>
      </c>
      <c r="I533" s="5">
        <v>784</v>
      </c>
      <c r="J533" s="5">
        <v>1320</v>
      </c>
      <c r="K533" s="6">
        <f t="shared" si="32"/>
        <v>15680</v>
      </c>
      <c r="L533" s="6">
        <f t="shared" si="33"/>
        <v>26400</v>
      </c>
      <c r="M533" s="6">
        <f t="shared" si="34"/>
        <v>10720</v>
      </c>
      <c r="N533" s="6" t="str">
        <f t="shared" si="35"/>
        <v>profit</v>
      </c>
    </row>
    <row r="534" spans="1:14" ht="16.5" thickTop="1" thickBot="1" x14ac:dyDescent="0.3">
      <c r="A534" s="4">
        <v>45435</v>
      </c>
      <c r="B534" s="4" t="s">
        <v>97</v>
      </c>
      <c r="C534" s="5" t="s">
        <v>268</v>
      </c>
      <c r="D534" s="5" t="s">
        <v>33</v>
      </c>
      <c r="E534" s="5" t="s">
        <v>99</v>
      </c>
      <c r="F534" s="5" t="s">
        <v>44</v>
      </c>
      <c r="G534" s="5" t="s">
        <v>19</v>
      </c>
      <c r="H534" s="5">
        <v>55</v>
      </c>
      <c r="I534" s="5">
        <v>782</v>
      </c>
      <c r="J534" s="5">
        <v>1335</v>
      </c>
      <c r="K534" s="6">
        <f t="shared" si="32"/>
        <v>43010</v>
      </c>
      <c r="L534" s="6">
        <f t="shared" si="33"/>
        <v>73425</v>
      </c>
      <c r="M534" s="6">
        <f t="shared" si="34"/>
        <v>30415</v>
      </c>
      <c r="N534" s="6" t="str">
        <f t="shared" si="35"/>
        <v>profit</v>
      </c>
    </row>
    <row r="535" spans="1:14" ht="16.5" thickTop="1" thickBot="1" x14ac:dyDescent="0.3">
      <c r="A535" s="4">
        <v>45436</v>
      </c>
      <c r="B535" s="4" t="s">
        <v>97</v>
      </c>
      <c r="C535" s="5" t="s">
        <v>269</v>
      </c>
      <c r="D535" s="5" t="s">
        <v>33</v>
      </c>
      <c r="E535" s="5" t="s">
        <v>99</v>
      </c>
      <c r="F535" s="5" t="s">
        <v>27</v>
      </c>
      <c r="G535" s="5" t="s">
        <v>19</v>
      </c>
      <c r="H535" s="5">
        <v>71</v>
      </c>
      <c r="I535" s="5">
        <v>653</v>
      </c>
      <c r="J535" s="5">
        <v>963</v>
      </c>
      <c r="K535" s="6">
        <f t="shared" si="32"/>
        <v>46363</v>
      </c>
      <c r="L535" s="6">
        <f t="shared" si="33"/>
        <v>68373</v>
      </c>
      <c r="M535" s="6">
        <f t="shared" si="34"/>
        <v>22010</v>
      </c>
      <c r="N535" s="6" t="str">
        <f t="shared" si="35"/>
        <v>profit</v>
      </c>
    </row>
    <row r="536" spans="1:14" ht="16.5" thickTop="1" thickBot="1" x14ac:dyDescent="0.3">
      <c r="A536" s="4">
        <v>45586</v>
      </c>
      <c r="B536" s="4" t="s">
        <v>85</v>
      </c>
      <c r="C536" s="5" t="s">
        <v>143</v>
      </c>
      <c r="D536" s="5" t="s">
        <v>16</v>
      </c>
      <c r="E536" s="5" t="s">
        <v>37</v>
      </c>
      <c r="F536" s="5" t="s">
        <v>39</v>
      </c>
      <c r="G536" s="5" t="s">
        <v>19</v>
      </c>
      <c r="H536" s="5">
        <v>19</v>
      </c>
      <c r="I536" s="5">
        <v>664</v>
      </c>
      <c r="J536" s="5">
        <v>1091</v>
      </c>
      <c r="K536" s="6">
        <f t="shared" si="32"/>
        <v>12616</v>
      </c>
      <c r="L536" s="6">
        <f t="shared" si="33"/>
        <v>20729</v>
      </c>
      <c r="M536" s="6">
        <f t="shared" si="34"/>
        <v>8113</v>
      </c>
      <c r="N536" s="6" t="str">
        <f t="shared" si="35"/>
        <v>profit</v>
      </c>
    </row>
    <row r="537" spans="1:14" ht="16.5" thickTop="1" thickBot="1" x14ac:dyDescent="0.3">
      <c r="A537" s="4">
        <v>45437</v>
      </c>
      <c r="B537" s="4" t="s">
        <v>97</v>
      </c>
      <c r="C537" s="5" t="s">
        <v>270</v>
      </c>
      <c r="D537" s="5" t="s">
        <v>33</v>
      </c>
      <c r="E537" s="5" t="s">
        <v>99</v>
      </c>
      <c r="F537" s="5" t="s">
        <v>44</v>
      </c>
      <c r="G537" s="5" t="s">
        <v>19</v>
      </c>
      <c r="H537" s="5">
        <v>88</v>
      </c>
      <c r="I537" s="5">
        <v>959</v>
      </c>
      <c r="J537" s="5">
        <v>985</v>
      </c>
      <c r="K537" s="6">
        <f t="shared" si="32"/>
        <v>84392</v>
      </c>
      <c r="L537" s="6">
        <f t="shared" si="33"/>
        <v>86680</v>
      </c>
      <c r="M537" s="6">
        <f t="shared" si="34"/>
        <v>2288</v>
      </c>
      <c r="N537" s="6" t="str">
        <f t="shared" si="35"/>
        <v>profit</v>
      </c>
    </row>
    <row r="538" spans="1:14" ht="16.5" thickTop="1" thickBot="1" x14ac:dyDescent="0.3">
      <c r="A538" s="4">
        <v>45588</v>
      </c>
      <c r="B538" s="4" t="s">
        <v>85</v>
      </c>
      <c r="C538" s="5" t="s">
        <v>145</v>
      </c>
      <c r="D538" s="5" t="s">
        <v>46</v>
      </c>
      <c r="E538" s="5" t="s">
        <v>47</v>
      </c>
      <c r="F538" s="5" t="s">
        <v>64</v>
      </c>
      <c r="G538" s="5" t="s">
        <v>19</v>
      </c>
      <c r="H538" s="5">
        <v>26</v>
      </c>
      <c r="I538" s="5">
        <v>674</v>
      </c>
      <c r="J538" s="5">
        <v>857</v>
      </c>
      <c r="K538" s="6">
        <f t="shared" si="32"/>
        <v>17524</v>
      </c>
      <c r="L538" s="6">
        <f t="shared" si="33"/>
        <v>22282</v>
      </c>
      <c r="M538" s="6">
        <f t="shared" si="34"/>
        <v>4758</v>
      </c>
      <c r="N538" s="6" t="str">
        <f t="shared" si="35"/>
        <v>profit</v>
      </c>
    </row>
    <row r="539" spans="1:14" ht="16.5" thickTop="1" thickBot="1" x14ac:dyDescent="0.3">
      <c r="A539" s="4">
        <v>45438</v>
      </c>
      <c r="B539" s="4" t="s">
        <v>97</v>
      </c>
      <c r="C539" s="5" t="s">
        <v>271</v>
      </c>
      <c r="D539" s="5" t="s">
        <v>33</v>
      </c>
      <c r="E539" s="5" t="s">
        <v>99</v>
      </c>
      <c r="F539" s="5" t="s">
        <v>49</v>
      </c>
      <c r="G539" s="5" t="s">
        <v>19</v>
      </c>
      <c r="H539" s="5">
        <v>72</v>
      </c>
      <c r="I539" s="5">
        <v>805</v>
      </c>
      <c r="J539" s="5">
        <v>826</v>
      </c>
      <c r="K539" s="6">
        <f t="shared" si="32"/>
        <v>57960</v>
      </c>
      <c r="L539" s="6">
        <f t="shared" si="33"/>
        <v>59472</v>
      </c>
      <c r="M539" s="6">
        <f t="shared" si="34"/>
        <v>1512</v>
      </c>
      <c r="N539" s="6" t="str">
        <f t="shared" si="35"/>
        <v>profit</v>
      </c>
    </row>
    <row r="540" spans="1:14" ht="16.5" thickTop="1" thickBot="1" x14ac:dyDescent="0.3">
      <c r="A540" s="4">
        <v>45590</v>
      </c>
      <c r="B540" s="4" t="s">
        <v>85</v>
      </c>
      <c r="C540" s="5" t="s">
        <v>147</v>
      </c>
      <c r="D540" s="5" t="s">
        <v>46</v>
      </c>
      <c r="E540" s="5" t="s">
        <v>133</v>
      </c>
      <c r="F540" s="5" t="s">
        <v>39</v>
      </c>
      <c r="G540" s="5" t="s">
        <v>28</v>
      </c>
      <c r="H540" s="5">
        <v>29</v>
      </c>
      <c r="I540" s="5">
        <v>774</v>
      </c>
      <c r="J540" s="5">
        <v>793</v>
      </c>
      <c r="K540" s="6">
        <f t="shared" si="32"/>
        <v>22446</v>
      </c>
      <c r="L540" s="6">
        <f t="shared" si="33"/>
        <v>22997</v>
      </c>
      <c r="M540" s="6">
        <f t="shared" si="34"/>
        <v>551</v>
      </c>
      <c r="N540" s="6" t="str">
        <f t="shared" si="35"/>
        <v>profit</v>
      </c>
    </row>
    <row r="541" spans="1:14" ht="16.5" thickTop="1" thickBot="1" x14ac:dyDescent="0.3">
      <c r="A541" s="4">
        <v>45439</v>
      </c>
      <c r="B541" s="4" t="s">
        <v>97</v>
      </c>
      <c r="C541" s="5" t="s">
        <v>272</v>
      </c>
      <c r="D541" s="5" t="s">
        <v>33</v>
      </c>
      <c r="E541" s="5" t="s">
        <v>99</v>
      </c>
      <c r="F541" s="5" t="s">
        <v>27</v>
      </c>
      <c r="G541" s="5" t="s">
        <v>19</v>
      </c>
      <c r="H541" s="5">
        <v>53</v>
      </c>
      <c r="I541" s="5">
        <v>665</v>
      </c>
      <c r="J541" s="5">
        <v>1206</v>
      </c>
      <c r="K541" s="6">
        <f t="shared" si="32"/>
        <v>35245</v>
      </c>
      <c r="L541" s="6">
        <f t="shared" si="33"/>
        <v>63918</v>
      </c>
      <c r="M541" s="6">
        <f t="shared" si="34"/>
        <v>28673</v>
      </c>
      <c r="N541" s="6" t="str">
        <f t="shared" si="35"/>
        <v>profit</v>
      </c>
    </row>
    <row r="542" spans="1:14" ht="16.5" thickTop="1" thickBot="1" x14ac:dyDescent="0.3">
      <c r="A542" s="4">
        <v>45440</v>
      </c>
      <c r="B542" s="4" t="s">
        <v>97</v>
      </c>
      <c r="C542" s="5" t="s">
        <v>273</v>
      </c>
      <c r="D542" s="5" t="s">
        <v>33</v>
      </c>
      <c r="E542" s="5" t="s">
        <v>99</v>
      </c>
      <c r="F542" s="5" t="s">
        <v>52</v>
      </c>
      <c r="G542" s="5" t="s">
        <v>28</v>
      </c>
      <c r="H542" s="5">
        <v>88</v>
      </c>
      <c r="I542" s="5">
        <v>607</v>
      </c>
      <c r="J542" s="5">
        <v>1268</v>
      </c>
      <c r="K542" s="6">
        <f t="shared" si="32"/>
        <v>53416</v>
      </c>
      <c r="L542" s="6">
        <f t="shared" si="33"/>
        <v>111584</v>
      </c>
      <c r="M542" s="6">
        <f t="shared" si="34"/>
        <v>58168</v>
      </c>
      <c r="N542" s="6" t="str">
        <f t="shared" si="35"/>
        <v>profit</v>
      </c>
    </row>
    <row r="543" spans="1:14" ht="16.5" thickTop="1" thickBot="1" x14ac:dyDescent="0.3">
      <c r="A543" s="4">
        <v>45442</v>
      </c>
      <c r="B543" s="4" t="s">
        <v>97</v>
      </c>
      <c r="C543" s="5" t="s">
        <v>274</v>
      </c>
      <c r="D543" s="5" t="s">
        <v>33</v>
      </c>
      <c r="E543" s="5" t="s">
        <v>99</v>
      </c>
      <c r="F543" s="5" t="s">
        <v>35</v>
      </c>
      <c r="G543" s="5" t="s">
        <v>28</v>
      </c>
      <c r="H543" s="5">
        <v>99</v>
      </c>
      <c r="I543" s="5">
        <v>657</v>
      </c>
      <c r="J543" s="5">
        <v>1033</v>
      </c>
      <c r="K543" s="6">
        <f t="shared" si="32"/>
        <v>65043</v>
      </c>
      <c r="L543" s="6">
        <f t="shared" si="33"/>
        <v>102267</v>
      </c>
      <c r="M543" s="6">
        <f t="shared" si="34"/>
        <v>37224</v>
      </c>
      <c r="N543" s="6" t="str">
        <f t="shared" si="35"/>
        <v>profit</v>
      </c>
    </row>
    <row r="544" spans="1:14" ht="16.5" thickTop="1" thickBot="1" x14ac:dyDescent="0.3">
      <c r="A544" s="4">
        <v>45443</v>
      </c>
      <c r="B544" s="4" t="s">
        <v>97</v>
      </c>
      <c r="C544" s="5" t="s">
        <v>275</v>
      </c>
      <c r="D544" s="5" t="s">
        <v>33</v>
      </c>
      <c r="E544" s="5" t="s">
        <v>120</v>
      </c>
      <c r="F544" s="5" t="s">
        <v>39</v>
      </c>
      <c r="G544" s="5" t="s">
        <v>28</v>
      </c>
      <c r="H544" s="5">
        <v>88</v>
      </c>
      <c r="I544" s="5">
        <v>977</v>
      </c>
      <c r="J544" s="5">
        <v>1402</v>
      </c>
      <c r="K544" s="6">
        <f t="shared" si="32"/>
        <v>85976</v>
      </c>
      <c r="L544" s="6">
        <f t="shared" si="33"/>
        <v>123376</v>
      </c>
      <c r="M544" s="6">
        <f t="shared" si="34"/>
        <v>37400</v>
      </c>
      <c r="N544" s="6" t="str">
        <f t="shared" si="35"/>
        <v>profit</v>
      </c>
    </row>
    <row r="545" spans="1:14" ht="16.5" thickTop="1" thickBot="1" x14ac:dyDescent="0.3">
      <c r="A545" s="4">
        <v>45444</v>
      </c>
      <c r="B545" s="4" t="s">
        <v>14</v>
      </c>
      <c r="C545" s="5" t="s">
        <v>276</v>
      </c>
      <c r="D545" s="5" t="s">
        <v>33</v>
      </c>
      <c r="E545" s="5" t="s">
        <v>120</v>
      </c>
      <c r="F545" s="5" t="s">
        <v>39</v>
      </c>
      <c r="G545" s="5" t="s">
        <v>19</v>
      </c>
      <c r="H545" s="5">
        <v>81</v>
      </c>
      <c r="I545" s="5">
        <v>528</v>
      </c>
      <c r="J545" s="5">
        <v>872</v>
      </c>
      <c r="K545" s="6">
        <f t="shared" si="32"/>
        <v>42768</v>
      </c>
      <c r="L545" s="6">
        <f t="shared" si="33"/>
        <v>70632</v>
      </c>
      <c r="M545" s="6">
        <f t="shared" si="34"/>
        <v>27864</v>
      </c>
      <c r="N545" s="6" t="str">
        <f t="shared" si="35"/>
        <v>profit</v>
      </c>
    </row>
    <row r="546" spans="1:14" ht="16.5" thickTop="1" thickBot="1" x14ac:dyDescent="0.3">
      <c r="A546" s="4">
        <v>45445</v>
      </c>
      <c r="B546" s="4" t="s">
        <v>14</v>
      </c>
      <c r="C546" s="5" t="s">
        <v>277</v>
      </c>
      <c r="D546" s="5" t="s">
        <v>33</v>
      </c>
      <c r="E546" s="5" t="s">
        <v>120</v>
      </c>
      <c r="F546" s="5" t="s">
        <v>64</v>
      </c>
      <c r="G546" s="5" t="s">
        <v>28</v>
      </c>
      <c r="H546" s="5">
        <v>74</v>
      </c>
      <c r="I546" s="5">
        <v>870</v>
      </c>
      <c r="J546" s="5">
        <v>1490</v>
      </c>
      <c r="K546" s="6">
        <f t="shared" si="32"/>
        <v>64380</v>
      </c>
      <c r="L546" s="6">
        <f t="shared" si="33"/>
        <v>110260</v>
      </c>
      <c r="M546" s="6">
        <f t="shared" si="34"/>
        <v>45880</v>
      </c>
      <c r="N546" s="6" t="str">
        <f t="shared" si="35"/>
        <v>profit</v>
      </c>
    </row>
    <row r="547" spans="1:14" ht="16.5" thickTop="1" thickBot="1" x14ac:dyDescent="0.3">
      <c r="A547" s="4">
        <v>45446</v>
      </c>
      <c r="B547" s="4" t="s">
        <v>14</v>
      </c>
      <c r="C547" s="5" t="s">
        <v>278</v>
      </c>
      <c r="D547" s="5" t="s">
        <v>33</v>
      </c>
      <c r="E547" s="5" t="s">
        <v>120</v>
      </c>
      <c r="F547" s="5" t="s">
        <v>64</v>
      </c>
      <c r="G547" s="5" t="s">
        <v>28</v>
      </c>
      <c r="H547" s="5">
        <v>83</v>
      </c>
      <c r="I547" s="5">
        <v>655</v>
      </c>
      <c r="J547" s="5">
        <v>1422</v>
      </c>
      <c r="K547" s="6">
        <f t="shared" si="32"/>
        <v>54365</v>
      </c>
      <c r="L547" s="6">
        <f t="shared" si="33"/>
        <v>118026</v>
      </c>
      <c r="M547" s="6">
        <f t="shared" si="34"/>
        <v>63661</v>
      </c>
      <c r="N547" s="6" t="str">
        <f t="shared" si="35"/>
        <v>profit</v>
      </c>
    </row>
    <row r="548" spans="1:14" ht="16.5" thickTop="1" thickBot="1" x14ac:dyDescent="0.3">
      <c r="A548" s="4">
        <v>45447</v>
      </c>
      <c r="B548" s="4" t="s">
        <v>14</v>
      </c>
      <c r="C548" s="5" t="s">
        <v>279</v>
      </c>
      <c r="D548" s="5" t="s">
        <v>33</v>
      </c>
      <c r="E548" s="5" t="s">
        <v>120</v>
      </c>
      <c r="F548" s="5" t="s">
        <v>60</v>
      </c>
      <c r="G548" s="5" t="s">
        <v>28</v>
      </c>
      <c r="H548" s="5">
        <v>99</v>
      </c>
      <c r="I548" s="5">
        <v>649</v>
      </c>
      <c r="J548" s="5">
        <v>1415</v>
      </c>
      <c r="K548" s="6">
        <f t="shared" si="32"/>
        <v>64251</v>
      </c>
      <c r="L548" s="6">
        <f t="shared" si="33"/>
        <v>140085</v>
      </c>
      <c r="M548" s="6">
        <f t="shared" si="34"/>
        <v>75834</v>
      </c>
      <c r="N548" s="6" t="str">
        <f t="shared" si="35"/>
        <v>profit</v>
      </c>
    </row>
    <row r="549" spans="1:14" ht="16.5" thickTop="1" thickBot="1" x14ac:dyDescent="0.3">
      <c r="A549" s="4">
        <v>45448</v>
      </c>
      <c r="B549" s="4" t="s">
        <v>14</v>
      </c>
      <c r="C549" s="5" t="s">
        <v>280</v>
      </c>
      <c r="D549" s="5" t="s">
        <v>33</v>
      </c>
      <c r="E549" s="5" t="s">
        <v>120</v>
      </c>
      <c r="F549" s="5" t="s">
        <v>39</v>
      </c>
      <c r="G549" s="5" t="s">
        <v>28</v>
      </c>
      <c r="H549" s="5">
        <v>97</v>
      </c>
      <c r="I549" s="5">
        <v>917</v>
      </c>
      <c r="J549" s="5">
        <v>844</v>
      </c>
      <c r="K549" s="6">
        <f t="shared" si="32"/>
        <v>88949</v>
      </c>
      <c r="L549" s="6">
        <f t="shared" si="33"/>
        <v>81868</v>
      </c>
      <c r="M549" s="6">
        <f t="shared" si="34"/>
        <v>-7081</v>
      </c>
      <c r="N549" s="6" t="str">
        <f t="shared" si="35"/>
        <v>loss</v>
      </c>
    </row>
    <row r="550" spans="1:14" ht="16.5" thickTop="1" thickBot="1" x14ac:dyDescent="0.3">
      <c r="A550" s="4">
        <v>45449</v>
      </c>
      <c r="B550" s="4" t="s">
        <v>14</v>
      </c>
      <c r="C550" s="5" t="s">
        <v>281</v>
      </c>
      <c r="D550" s="5" t="s">
        <v>33</v>
      </c>
      <c r="E550" s="5" t="s">
        <v>120</v>
      </c>
      <c r="F550" s="5" t="s">
        <v>30</v>
      </c>
      <c r="G550" s="5" t="s">
        <v>19</v>
      </c>
      <c r="H550" s="5">
        <v>57</v>
      </c>
      <c r="I550" s="5">
        <v>793</v>
      </c>
      <c r="J550" s="5">
        <v>761</v>
      </c>
      <c r="K550" s="6">
        <f t="shared" si="32"/>
        <v>45201</v>
      </c>
      <c r="L550" s="6">
        <f t="shared" si="33"/>
        <v>43377</v>
      </c>
      <c r="M550" s="6">
        <f t="shared" si="34"/>
        <v>-1824</v>
      </c>
      <c r="N550" s="6" t="str">
        <f t="shared" si="35"/>
        <v>loss</v>
      </c>
    </row>
    <row r="551" spans="1:14" ht="16.5" thickTop="1" thickBot="1" x14ac:dyDescent="0.3">
      <c r="A551" s="4">
        <v>45450</v>
      </c>
      <c r="B551" s="4" t="s">
        <v>14</v>
      </c>
      <c r="C551" s="5" t="s">
        <v>282</v>
      </c>
      <c r="D551" s="5" t="s">
        <v>33</v>
      </c>
      <c r="E551" s="5" t="s">
        <v>120</v>
      </c>
      <c r="F551" s="5" t="s">
        <v>113</v>
      </c>
      <c r="G551" s="5" t="s">
        <v>19</v>
      </c>
      <c r="H551" s="5">
        <v>84</v>
      </c>
      <c r="I551" s="5">
        <v>931</v>
      </c>
      <c r="J551" s="5">
        <v>1475</v>
      </c>
      <c r="K551" s="6">
        <f t="shared" si="32"/>
        <v>78204</v>
      </c>
      <c r="L551" s="6">
        <f t="shared" si="33"/>
        <v>123900</v>
      </c>
      <c r="M551" s="6">
        <f t="shared" si="34"/>
        <v>45696</v>
      </c>
      <c r="N551" s="6" t="str">
        <f t="shared" si="35"/>
        <v>profit</v>
      </c>
    </row>
    <row r="552" spans="1:14" ht="16.5" thickTop="1" thickBot="1" x14ac:dyDescent="0.3">
      <c r="A552" s="4">
        <v>45602</v>
      </c>
      <c r="B552" s="4" t="s">
        <v>161</v>
      </c>
      <c r="C552" s="5" t="s">
        <v>162</v>
      </c>
      <c r="D552" s="5" t="s">
        <v>33</v>
      </c>
      <c r="E552" s="5" t="s">
        <v>163</v>
      </c>
      <c r="F552" s="5" t="s">
        <v>30</v>
      </c>
      <c r="G552" s="5" t="s">
        <v>19</v>
      </c>
      <c r="H552" s="5">
        <v>74</v>
      </c>
      <c r="I552" s="5">
        <v>714</v>
      </c>
      <c r="J552" s="5">
        <v>1148</v>
      </c>
      <c r="K552" s="6">
        <f t="shared" si="32"/>
        <v>52836</v>
      </c>
      <c r="L552" s="6">
        <f t="shared" si="33"/>
        <v>84952</v>
      </c>
      <c r="M552" s="6">
        <f t="shared" si="34"/>
        <v>32116</v>
      </c>
      <c r="N552" s="6" t="str">
        <f t="shared" si="35"/>
        <v>profit</v>
      </c>
    </row>
    <row r="553" spans="1:14" ht="16.5" thickTop="1" thickBot="1" x14ac:dyDescent="0.3">
      <c r="A553" s="4">
        <v>45451</v>
      </c>
      <c r="B553" s="4" t="s">
        <v>14</v>
      </c>
      <c r="C553" s="5" t="s">
        <v>283</v>
      </c>
      <c r="D553" s="5" t="s">
        <v>33</v>
      </c>
      <c r="E553" s="5" t="s">
        <v>120</v>
      </c>
      <c r="F553" s="5" t="s">
        <v>44</v>
      </c>
      <c r="G553" s="5" t="s">
        <v>19</v>
      </c>
      <c r="H553" s="5">
        <v>76</v>
      </c>
      <c r="I553" s="5">
        <v>901</v>
      </c>
      <c r="J553" s="5">
        <v>1471</v>
      </c>
      <c r="K553" s="6">
        <f t="shared" si="32"/>
        <v>68476</v>
      </c>
      <c r="L553" s="6">
        <f t="shared" si="33"/>
        <v>111796</v>
      </c>
      <c r="M553" s="6">
        <f t="shared" si="34"/>
        <v>43320</v>
      </c>
      <c r="N553" s="6" t="str">
        <f t="shared" si="35"/>
        <v>profit</v>
      </c>
    </row>
    <row r="554" spans="1:14" ht="16.5" thickTop="1" thickBot="1" x14ac:dyDescent="0.3">
      <c r="A554" s="4">
        <v>45452</v>
      </c>
      <c r="B554" s="4" t="s">
        <v>14</v>
      </c>
      <c r="C554" s="5" t="s">
        <v>284</v>
      </c>
      <c r="D554" s="5" t="s">
        <v>33</v>
      </c>
      <c r="E554" s="5" t="s">
        <v>120</v>
      </c>
      <c r="F554" s="5" t="s">
        <v>153</v>
      </c>
      <c r="G554" s="5" t="s">
        <v>19</v>
      </c>
      <c r="H554" s="5">
        <v>93</v>
      </c>
      <c r="I554" s="5">
        <v>658</v>
      </c>
      <c r="J554" s="5">
        <v>1303</v>
      </c>
      <c r="K554" s="6">
        <f t="shared" si="32"/>
        <v>61194</v>
      </c>
      <c r="L554" s="6">
        <f t="shared" si="33"/>
        <v>121179</v>
      </c>
      <c r="M554" s="6">
        <f t="shared" si="34"/>
        <v>59985</v>
      </c>
      <c r="N554" s="6" t="str">
        <f t="shared" si="35"/>
        <v>profit</v>
      </c>
    </row>
    <row r="555" spans="1:14" ht="16.5" thickTop="1" thickBot="1" x14ac:dyDescent="0.3">
      <c r="A555" s="4">
        <v>45605</v>
      </c>
      <c r="B555" s="4" t="s">
        <v>161</v>
      </c>
      <c r="C555" s="5" t="s">
        <v>166</v>
      </c>
      <c r="D555" s="5" t="s">
        <v>33</v>
      </c>
      <c r="E555" s="5" t="s">
        <v>163</v>
      </c>
      <c r="F555" s="5" t="s">
        <v>71</v>
      </c>
      <c r="G555" s="5" t="s">
        <v>19</v>
      </c>
      <c r="H555" s="5">
        <v>73</v>
      </c>
      <c r="I555" s="5">
        <v>957</v>
      </c>
      <c r="J555" s="5">
        <v>814</v>
      </c>
      <c r="K555" s="6">
        <f t="shared" si="32"/>
        <v>69861</v>
      </c>
      <c r="L555" s="6">
        <f t="shared" si="33"/>
        <v>59422</v>
      </c>
      <c r="M555" s="6">
        <f t="shared" si="34"/>
        <v>-10439</v>
      </c>
      <c r="N555" s="6" t="str">
        <f t="shared" si="35"/>
        <v>loss</v>
      </c>
    </row>
    <row r="556" spans="1:14" ht="16.5" thickTop="1" thickBot="1" x14ac:dyDescent="0.3">
      <c r="A556" s="4">
        <v>45453</v>
      </c>
      <c r="B556" s="4" t="s">
        <v>14</v>
      </c>
      <c r="C556" s="5" t="s">
        <v>285</v>
      </c>
      <c r="D556" s="5" t="s">
        <v>33</v>
      </c>
      <c r="E556" s="5" t="s">
        <v>120</v>
      </c>
      <c r="F556" s="5" t="s">
        <v>155</v>
      </c>
      <c r="G556" s="5" t="s">
        <v>19</v>
      </c>
      <c r="H556" s="5">
        <v>68</v>
      </c>
      <c r="I556" s="5">
        <v>651</v>
      </c>
      <c r="J556" s="5">
        <v>1061</v>
      </c>
      <c r="K556" s="6">
        <f t="shared" si="32"/>
        <v>44268</v>
      </c>
      <c r="L556" s="6">
        <f t="shared" si="33"/>
        <v>72148</v>
      </c>
      <c r="M556" s="6">
        <f t="shared" si="34"/>
        <v>27880</v>
      </c>
      <c r="N556" s="6" t="str">
        <f t="shared" si="35"/>
        <v>profit</v>
      </c>
    </row>
    <row r="557" spans="1:14" ht="16.5" thickTop="1" thickBot="1" x14ac:dyDescent="0.3">
      <c r="A557" s="4">
        <v>45461</v>
      </c>
      <c r="B557" s="4" t="s">
        <v>14</v>
      </c>
      <c r="C557" s="5" t="s">
        <v>286</v>
      </c>
      <c r="D557" s="5" t="s">
        <v>33</v>
      </c>
      <c r="E557" s="5" t="s">
        <v>99</v>
      </c>
      <c r="F557" s="5" t="s">
        <v>25</v>
      </c>
      <c r="G557" s="5" t="s">
        <v>28</v>
      </c>
      <c r="H557" s="5">
        <v>98</v>
      </c>
      <c r="I557" s="5">
        <v>596</v>
      </c>
      <c r="J557" s="5">
        <v>1155</v>
      </c>
      <c r="K557" s="6">
        <f t="shared" si="32"/>
        <v>58408</v>
      </c>
      <c r="L557" s="6">
        <f t="shared" si="33"/>
        <v>113190</v>
      </c>
      <c r="M557" s="6">
        <f t="shared" si="34"/>
        <v>54782</v>
      </c>
      <c r="N557" s="6" t="str">
        <f t="shared" si="35"/>
        <v>profit</v>
      </c>
    </row>
    <row r="558" spans="1:14" ht="16.5" thickTop="1" thickBot="1" x14ac:dyDescent="0.3">
      <c r="A558" s="4">
        <v>45462</v>
      </c>
      <c r="B558" s="4" t="s">
        <v>14</v>
      </c>
      <c r="C558" s="5" t="s">
        <v>287</v>
      </c>
      <c r="D558" s="5" t="s">
        <v>33</v>
      </c>
      <c r="E558" s="5" t="s">
        <v>99</v>
      </c>
      <c r="F558" s="5" t="s">
        <v>76</v>
      </c>
      <c r="G558" s="5" t="s">
        <v>28</v>
      </c>
      <c r="H558" s="5">
        <v>84</v>
      </c>
      <c r="I558" s="5">
        <v>911</v>
      </c>
      <c r="J558" s="5">
        <v>1370</v>
      </c>
      <c r="K558" s="6">
        <f t="shared" si="32"/>
        <v>76524</v>
      </c>
      <c r="L558" s="6">
        <f t="shared" si="33"/>
        <v>115080</v>
      </c>
      <c r="M558" s="6">
        <f t="shared" si="34"/>
        <v>38556</v>
      </c>
      <c r="N558" s="6" t="str">
        <f t="shared" si="35"/>
        <v>profit</v>
      </c>
    </row>
    <row r="559" spans="1:14" ht="16.5" thickTop="1" thickBot="1" x14ac:dyDescent="0.3">
      <c r="A559" s="4">
        <v>45463</v>
      </c>
      <c r="B559" s="4" t="s">
        <v>14</v>
      </c>
      <c r="C559" s="5" t="s">
        <v>288</v>
      </c>
      <c r="D559" s="5" t="s">
        <v>33</v>
      </c>
      <c r="E559" s="5" t="s">
        <v>99</v>
      </c>
      <c r="F559" s="5" t="s">
        <v>71</v>
      </c>
      <c r="G559" s="5" t="s">
        <v>28</v>
      </c>
      <c r="H559" s="5">
        <v>81</v>
      </c>
      <c r="I559" s="5">
        <v>702</v>
      </c>
      <c r="J559" s="5">
        <v>1494</v>
      </c>
      <c r="K559" s="6">
        <f t="shared" si="32"/>
        <v>56862</v>
      </c>
      <c r="L559" s="6">
        <f t="shared" si="33"/>
        <v>121014</v>
      </c>
      <c r="M559" s="6">
        <f t="shared" si="34"/>
        <v>64152</v>
      </c>
      <c r="N559" s="6" t="str">
        <f t="shared" si="35"/>
        <v>profit</v>
      </c>
    </row>
    <row r="560" spans="1:14" ht="16.5" thickTop="1" thickBot="1" x14ac:dyDescent="0.3">
      <c r="A560" s="4">
        <v>45610</v>
      </c>
      <c r="B560" s="4" t="s">
        <v>161</v>
      </c>
      <c r="C560" s="5" t="s">
        <v>171</v>
      </c>
      <c r="D560" s="5" t="s">
        <v>46</v>
      </c>
      <c r="E560" s="5" t="s">
        <v>63</v>
      </c>
      <c r="F560" s="5" t="s">
        <v>78</v>
      </c>
      <c r="G560" s="5" t="s">
        <v>28</v>
      </c>
      <c r="H560" s="5">
        <v>24</v>
      </c>
      <c r="I560" s="5">
        <v>553</v>
      </c>
      <c r="J560" s="5">
        <v>964</v>
      </c>
      <c r="K560" s="6">
        <f t="shared" si="32"/>
        <v>13272</v>
      </c>
      <c r="L560" s="6">
        <f t="shared" si="33"/>
        <v>23136</v>
      </c>
      <c r="M560" s="6">
        <f t="shared" si="34"/>
        <v>9864</v>
      </c>
      <c r="N560" s="6" t="str">
        <f t="shared" si="35"/>
        <v>profit</v>
      </c>
    </row>
    <row r="561" spans="1:14" ht="16.5" thickTop="1" thickBot="1" x14ac:dyDescent="0.3">
      <c r="A561" s="4">
        <v>45465</v>
      </c>
      <c r="B561" s="4" t="s">
        <v>14</v>
      </c>
      <c r="C561" s="5" t="s">
        <v>289</v>
      </c>
      <c r="D561" s="5" t="s">
        <v>33</v>
      </c>
      <c r="E561" s="5" t="s">
        <v>99</v>
      </c>
      <c r="F561" s="5" t="s">
        <v>25</v>
      </c>
      <c r="G561" s="5" t="s">
        <v>19</v>
      </c>
      <c r="H561" s="5">
        <v>58</v>
      </c>
      <c r="I561" s="5">
        <v>510</v>
      </c>
      <c r="J561" s="5">
        <v>1456</v>
      </c>
      <c r="K561" s="6">
        <f t="shared" si="32"/>
        <v>29580</v>
      </c>
      <c r="L561" s="6">
        <f t="shared" si="33"/>
        <v>84448</v>
      </c>
      <c r="M561" s="6">
        <f t="shared" si="34"/>
        <v>54868</v>
      </c>
      <c r="N561" s="6" t="str">
        <f t="shared" si="35"/>
        <v>profit</v>
      </c>
    </row>
    <row r="562" spans="1:14" ht="16.5" thickTop="1" thickBot="1" x14ac:dyDescent="0.3">
      <c r="A562" s="4">
        <v>45466</v>
      </c>
      <c r="B562" s="4" t="s">
        <v>14</v>
      </c>
      <c r="C562" s="5" t="s">
        <v>290</v>
      </c>
      <c r="D562" s="5" t="s">
        <v>33</v>
      </c>
      <c r="E562" s="5" t="s">
        <v>120</v>
      </c>
      <c r="F562" s="5" t="s">
        <v>64</v>
      </c>
      <c r="G562" s="5" t="s">
        <v>19</v>
      </c>
      <c r="H562" s="5">
        <v>59</v>
      </c>
      <c r="I562" s="5">
        <v>506</v>
      </c>
      <c r="J562" s="5">
        <v>1498</v>
      </c>
      <c r="K562" s="6">
        <f t="shared" si="32"/>
        <v>29854</v>
      </c>
      <c r="L562" s="6">
        <f t="shared" si="33"/>
        <v>88382</v>
      </c>
      <c r="M562" s="6">
        <f t="shared" si="34"/>
        <v>58528</v>
      </c>
      <c r="N562" s="6" t="str">
        <f t="shared" si="35"/>
        <v>profit</v>
      </c>
    </row>
    <row r="563" spans="1:14" ht="16.5" thickTop="1" thickBot="1" x14ac:dyDescent="0.3">
      <c r="A563" s="4">
        <v>45467</v>
      </c>
      <c r="B563" s="4" t="s">
        <v>14</v>
      </c>
      <c r="C563" s="5" t="s">
        <v>291</v>
      </c>
      <c r="D563" s="5" t="s">
        <v>33</v>
      </c>
      <c r="E563" s="5" t="s">
        <v>120</v>
      </c>
      <c r="F563" s="5" t="s">
        <v>76</v>
      </c>
      <c r="G563" s="5" t="s">
        <v>28</v>
      </c>
      <c r="H563" s="5">
        <v>51</v>
      </c>
      <c r="I563" s="5">
        <v>868</v>
      </c>
      <c r="J563" s="5">
        <v>938</v>
      </c>
      <c r="K563" s="6">
        <f t="shared" si="32"/>
        <v>44268</v>
      </c>
      <c r="L563" s="6">
        <f t="shared" si="33"/>
        <v>47838</v>
      </c>
      <c r="M563" s="6">
        <f t="shared" si="34"/>
        <v>3570</v>
      </c>
      <c r="N563" s="6" t="str">
        <f t="shared" si="35"/>
        <v>profit</v>
      </c>
    </row>
    <row r="564" spans="1:14" ht="16.5" thickTop="1" thickBot="1" x14ac:dyDescent="0.3">
      <c r="A564" s="4">
        <v>45614</v>
      </c>
      <c r="B564" s="4" t="s">
        <v>161</v>
      </c>
      <c r="C564" s="5" t="s">
        <v>175</v>
      </c>
      <c r="D564" s="5" t="s">
        <v>46</v>
      </c>
      <c r="E564" s="5" t="s">
        <v>63</v>
      </c>
      <c r="F564" s="5" t="s">
        <v>35</v>
      </c>
      <c r="G564" s="5" t="s">
        <v>19</v>
      </c>
      <c r="H564" s="5">
        <v>22</v>
      </c>
      <c r="I564" s="5">
        <v>688</v>
      </c>
      <c r="J564" s="5">
        <v>985</v>
      </c>
      <c r="K564" s="6">
        <f t="shared" si="32"/>
        <v>15136</v>
      </c>
      <c r="L564" s="6">
        <f t="shared" si="33"/>
        <v>21670</v>
      </c>
      <c r="M564" s="6">
        <f t="shared" si="34"/>
        <v>6534</v>
      </c>
      <c r="N564" s="6" t="str">
        <f t="shared" si="35"/>
        <v>profit</v>
      </c>
    </row>
    <row r="565" spans="1:14" ht="16.5" thickTop="1" thickBot="1" x14ac:dyDescent="0.3">
      <c r="A565" s="4">
        <v>45468</v>
      </c>
      <c r="B565" s="4" t="s">
        <v>14</v>
      </c>
      <c r="C565" s="5" t="s">
        <v>292</v>
      </c>
      <c r="D565" s="5" t="s">
        <v>33</v>
      </c>
      <c r="E565" s="5" t="s">
        <v>120</v>
      </c>
      <c r="F565" s="5" t="s">
        <v>78</v>
      </c>
      <c r="G565" s="5" t="s">
        <v>28</v>
      </c>
      <c r="H565" s="5">
        <v>76</v>
      </c>
      <c r="I565" s="5">
        <v>602</v>
      </c>
      <c r="J565" s="5">
        <v>1356</v>
      </c>
      <c r="K565" s="6">
        <f t="shared" si="32"/>
        <v>45752</v>
      </c>
      <c r="L565" s="6">
        <f t="shared" si="33"/>
        <v>103056</v>
      </c>
      <c r="M565" s="6">
        <f t="shared" si="34"/>
        <v>57304</v>
      </c>
      <c r="N565" s="6" t="str">
        <f t="shared" si="35"/>
        <v>profit</v>
      </c>
    </row>
    <row r="566" spans="1:14" ht="16.5" thickTop="1" thickBot="1" x14ac:dyDescent="0.3">
      <c r="A566" s="4">
        <v>45616</v>
      </c>
      <c r="B566" s="4" t="s">
        <v>161</v>
      </c>
      <c r="C566" s="5" t="s">
        <v>177</v>
      </c>
      <c r="D566" s="5" t="s">
        <v>46</v>
      </c>
      <c r="E566" s="5" t="s">
        <v>63</v>
      </c>
      <c r="F566" s="5" t="s">
        <v>39</v>
      </c>
      <c r="G566" s="5" t="s">
        <v>19</v>
      </c>
      <c r="H566" s="5">
        <v>27</v>
      </c>
      <c r="I566" s="5">
        <v>933</v>
      </c>
      <c r="J566" s="5">
        <v>983</v>
      </c>
      <c r="K566" s="6">
        <f t="shared" si="32"/>
        <v>25191</v>
      </c>
      <c r="L566" s="6">
        <f t="shared" si="33"/>
        <v>26541</v>
      </c>
      <c r="M566" s="6">
        <f t="shared" si="34"/>
        <v>1350</v>
      </c>
      <c r="N566" s="6" t="str">
        <f t="shared" si="35"/>
        <v>profit</v>
      </c>
    </row>
    <row r="567" spans="1:14" ht="16.5" thickTop="1" thickBot="1" x14ac:dyDescent="0.3">
      <c r="A567" s="4">
        <v>45469</v>
      </c>
      <c r="B567" s="4" t="s">
        <v>14</v>
      </c>
      <c r="C567" s="5" t="s">
        <v>293</v>
      </c>
      <c r="D567" s="5" t="s">
        <v>33</v>
      </c>
      <c r="E567" s="5" t="s">
        <v>120</v>
      </c>
      <c r="F567" s="5" t="s">
        <v>35</v>
      </c>
      <c r="G567" s="5" t="s">
        <v>28</v>
      </c>
      <c r="H567" s="5">
        <v>55</v>
      </c>
      <c r="I567" s="5">
        <v>928</v>
      </c>
      <c r="J567" s="5">
        <v>1264</v>
      </c>
      <c r="K567" s="6">
        <f t="shared" si="32"/>
        <v>51040</v>
      </c>
      <c r="L567" s="6">
        <f t="shared" si="33"/>
        <v>69520</v>
      </c>
      <c r="M567" s="6">
        <f t="shared" si="34"/>
        <v>18480</v>
      </c>
      <c r="N567" s="6" t="str">
        <f t="shared" si="35"/>
        <v>profit</v>
      </c>
    </row>
    <row r="568" spans="1:14" ht="16.5" thickTop="1" thickBot="1" x14ac:dyDescent="0.3">
      <c r="A568" s="4">
        <v>45470</v>
      </c>
      <c r="B568" s="4" t="s">
        <v>14</v>
      </c>
      <c r="C568" s="5" t="s">
        <v>294</v>
      </c>
      <c r="D568" s="5" t="s">
        <v>33</v>
      </c>
      <c r="E568" s="5" t="s">
        <v>120</v>
      </c>
      <c r="F568" s="5" t="s">
        <v>44</v>
      </c>
      <c r="G568" s="5" t="s">
        <v>28</v>
      </c>
      <c r="H568" s="5">
        <v>74</v>
      </c>
      <c r="I568" s="5">
        <v>758</v>
      </c>
      <c r="J568" s="5">
        <v>765</v>
      </c>
      <c r="K568" s="6">
        <f t="shared" si="32"/>
        <v>56092</v>
      </c>
      <c r="L568" s="6">
        <f t="shared" si="33"/>
        <v>56610</v>
      </c>
      <c r="M568" s="6">
        <f t="shared" si="34"/>
        <v>518</v>
      </c>
      <c r="N568" s="6" t="str">
        <f t="shared" si="35"/>
        <v>profit</v>
      </c>
    </row>
    <row r="569" spans="1:14" ht="16.5" thickTop="1" thickBot="1" x14ac:dyDescent="0.3">
      <c r="A569" s="4">
        <v>45471</v>
      </c>
      <c r="B569" s="4" t="s">
        <v>14</v>
      </c>
      <c r="C569" s="5" t="s">
        <v>295</v>
      </c>
      <c r="D569" s="5" t="s">
        <v>33</v>
      </c>
      <c r="E569" s="5" t="s">
        <v>120</v>
      </c>
      <c r="F569" s="5" t="s">
        <v>60</v>
      </c>
      <c r="G569" s="5" t="s">
        <v>28</v>
      </c>
      <c r="H569" s="5">
        <v>88</v>
      </c>
      <c r="I569" s="5">
        <v>566</v>
      </c>
      <c r="J569" s="5">
        <v>1093</v>
      </c>
      <c r="K569" s="6">
        <f t="shared" si="32"/>
        <v>49808</v>
      </c>
      <c r="L569" s="6">
        <f t="shared" si="33"/>
        <v>96184</v>
      </c>
      <c r="M569" s="6">
        <f t="shared" si="34"/>
        <v>46376</v>
      </c>
      <c r="N569" s="6" t="str">
        <f t="shared" si="35"/>
        <v>profit</v>
      </c>
    </row>
    <row r="570" spans="1:14" ht="16.5" thickTop="1" thickBot="1" x14ac:dyDescent="0.3">
      <c r="A570" s="4">
        <v>45495</v>
      </c>
      <c r="B570" s="4" t="s">
        <v>40</v>
      </c>
      <c r="C570" s="5" t="s">
        <v>296</v>
      </c>
      <c r="D570" s="5" t="s">
        <v>33</v>
      </c>
      <c r="E570" s="5" t="s">
        <v>99</v>
      </c>
      <c r="F570" s="5" t="s">
        <v>21</v>
      </c>
      <c r="G570" s="5" t="s">
        <v>19</v>
      </c>
      <c r="H570" s="5">
        <v>58</v>
      </c>
      <c r="I570" s="5">
        <v>898</v>
      </c>
      <c r="J570" s="5">
        <v>1068</v>
      </c>
      <c r="K570" s="6">
        <f t="shared" si="32"/>
        <v>52084</v>
      </c>
      <c r="L570" s="6">
        <f t="shared" si="33"/>
        <v>61944</v>
      </c>
      <c r="M570" s="6">
        <f t="shared" si="34"/>
        <v>9860</v>
      </c>
      <c r="N570" s="6" t="str">
        <f t="shared" si="35"/>
        <v>profit</v>
      </c>
    </row>
    <row r="571" spans="1:14" ht="16.5" thickTop="1" thickBot="1" x14ac:dyDescent="0.3">
      <c r="A571" s="4">
        <v>45496</v>
      </c>
      <c r="B571" s="4" t="s">
        <v>40</v>
      </c>
      <c r="C571" s="5" t="s">
        <v>297</v>
      </c>
      <c r="D571" s="5" t="s">
        <v>33</v>
      </c>
      <c r="E571" s="5" t="s">
        <v>99</v>
      </c>
      <c r="F571" s="5" t="s">
        <v>23</v>
      </c>
      <c r="G571" s="5" t="s">
        <v>19</v>
      </c>
      <c r="H571" s="5">
        <v>83</v>
      </c>
      <c r="I571" s="5">
        <v>943</v>
      </c>
      <c r="J571" s="5">
        <v>867</v>
      </c>
      <c r="K571" s="6">
        <f t="shared" si="32"/>
        <v>78269</v>
      </c>
      <c r="L571" s="6">
        <f t="shared" si="33"/>
        <v>71961</v>
      </c>
      <c r="M571" s="6">
        <f t="shared" si="34"/>
        <v>-6308</v>
      </c>
      <c r="N571" s="6" t="str">
        <f t="shared" si="35"/>
        <v>loss</v>
      </c>
    </row>
    <row r="572" spans="1:14" ht="16.5" thickTop="1" thickBot="1" x14ac:dyDescent="0.3">
      <c r="A572" s="4">
        <v>45497</v>
      </c>
      <c r="B572" s="4" t="s">
        <v>40</v>
      </c>
      <c r="C572" s="5" t="s">
        <v>298</v>
      </c>
      <c r="D572" s="5" t="s">
        <v>33</v>
      </c>
      <c r="E572" s="5" t="s">
        <v>99</v>
      </c>
      <c r="F572" s="5" t="s">
        <v>25</v>
      </c>
      <c r="G572" s="5" t="s">
        <v>19</v>
      </c>
      <c r="H572" s="5">
        <v>85</v>
      </c>
      <c r="I572" s="5">
        <v>641</v>
      </c>
      <c r="J572" s="5">
        <v>892</v>
      </c>
      <c r="K572" s="6">
        <f t="shared" si="32"/>
        <v>54485</v>
      </c>
      <c r="L572" s="6">
        <f t="shared" si="33"/>
        <v>75820</v>
      </c>
      <c r="M572" s="6">
        <f t="shared" si="34"/>
        <v>21335</v>
      </c>
      <c r="N572" s="6" t="str">
        <f t="shared" si="35"/>
        <v>profit</v>
      </c>
    </row>
    <row r="573" spans="1:14" ht="16.5" thickTop="1" thickBot="1" x14ac:dyDescent="0.3">
      <c r="A573" s="4">
        <v>45498</v>
      </c>
      <c r="B573" s="4" t="s">
        <v>40</v>
      </c>
      <c r="C573" s="5" t="s">
        <v>299</v>
      </c>
      <c r="D573" s="5" t="s">
        <v>33</v>
      </c>
      <c r="E573" s="5" t="s">
        <v>99</v>
      </c>
      <c r="F573" s="5" t="s">
        <v>25</v>
      </c>
      <c r="G573" s="5" t="s">
        <v>19</v>
      </c>
      <c r="H573" s="5">
        <v>57</v>
      </c>
      <c r="I573" s="5">
        <v>784</v>
      </c>
      <c r="J573" s="5">
        <v>859</v>
      </c>
      <c r="K573" s="6">
        <f t="shared" si="32"/>
        <v>44688</v>
      </c>
      <c r="L573" s="6">
        <f t="shared" si="33"/>
        <v>48963</v>
      </c>
      <c r="M573" s="6">
        <f t="shared" si="34"/>
        <v>4275</v>
      </c>
      <c r="N573" s="6" t="str">
        <f t="shared" si="35"/>
        <v>profit</v>
      </c>
    </row>
    <row r="574" spans="1:14" ht="16.5" thickTop="1" thickBot="1" x14ac:dyDescent="0.3">
      <c r="A574" s="4">
        <v>45499</v>
      </c>
      <c r="B574" s="4" t="s">
        <v>40</v>
      </c>
      <c r="C574" s="5" t="s">
        <v>300</v>
      </c>
      <c r="D574" s="5" t="s">
        <v>33</v>
      </c>
      <c r="E574" s="5" t="s">
        <v>99</v>
      </c>
      <c r="F574" s="5" t="s">
        <v>27</v>
      </c>
      <c r="G574" s="5" t="s">
        <v>19</v>
      </c>
      <c r="H574" s="5">
        <v>98</v>
      </c>
      <c r="I574" s="5">
        <v>579</v>
      </c>
      <c r="J574" s="5">
        <v>1046</v>
      </c>
      <c r="K574" s="6">
        <f t="shared" si="32"/>
        <v>56742</v>
      </c>
      <c r="L574" s="6">
        <f t="shared" si="33"/>
        <v>102508</v>
      </c>
      <c r="M574" s="6">
        <f t="shared" si="34"/>
        <v>45766</v>
      </c>
      <c r="N574" s="6" t="str">
        <f t="shared" si="35"/>
        <v>profit</v>
      </c>
    </row>
    <row r="575" spans="1:14" ht="16.5" thickTop="1" thickBot="1" x14ac:dyDescent="0.3">
      <c r="A575" s="4">
        <v>45500</v>
      </c>
      <c r="B575" s="4" t="s">
        <v>40</v>
      </c>
      <c r="C575" s="5" t="s">
        <v>301</v>
      </c>
      <c r="D575" s="5" t="s">
        <v>33</v>
      </c>
      <c r="E575" s="5" t="s">
        <v>99</v>
      </c>
      <c r="F575" s="5" t="s">
        <v>30</v>
      </c>
      <c r="G575" s="5" t="s">
        <v>19</v>
      </c>
      <c r="H575" s="5">
        <v>98</v>
      </c>
      <c r="I575" s="5">
        <v>605</v>
      </c>
      <c r="J575" s="5">
        <v>1155</v>
      </c>
      <c r="K575" s="6">
        <f t="shared" si="32"/>
        <v>59290</v>
      </c>
      <c r="L575" s="6">
        <f t="shared" si="33"/>
        <v>113190</v>
      </c>
      <c r="M575" s="6">
        <f t="shared" si="34"/>
        <v>53900</v>
      </c>
      <c r="N575" s="6" t="str">
        <f t="shared" si="35"/>
        <v>profit</v>
      </c>
    </row>
    <row r="576" spans="1:14" ht="16.5" thickTop="1" thickBot="1" x14ac:dyDescent="0.3">
      <c r="A576" s="4">
        <v>45626</v>
      </c>
      <c r="B576" s="4" t="s">
        <v>161</v>
      </c>
      <c r="C576" s="5" t="s">
        <v>187</v>
      </c>
      <c r="D576" s="5" t="s">
        <v>46</v>
      </c>
      <c r="E576" s="5" t="s">
        <v>118</v>
      </c>
      <c r="F576" s="5" t="s">
        <v>39</v>
      </c>
      <c r="G576" s="5" t="s">
        <v>19</v>
      </c>
      <c r="H576" s="5">
        <v>20</v>
      </c>
      <c r="I576" s="5">
        <v>989</v>
      </c>
      <c r="J576" s="5">
        <v>1298</v>
      </c>
      <c r="K576" s="6">
        <f t="shared" si="32"/>
        <v>19780</v>
      </c>
      <c r="L576" s="6">
        <f t="shared" si="33"/>
        <v>25960</v>
      </c>
      <c r="M576" s="6">
        <f t="shared" si="34"/>
        <v>6180</v>
      </c>
      <c r="N576" s="6" t="str">
        <f t="shared" si="35"/>
        <v>profit</v>
      </c>
    </row>
    <row r="577" spans="1:14" ht="16.5" thickTop="1" thickBot="1" x14ac:dyDescent="0.3">
      <c r="A577" s="4">
        <v>45501</v>
      </c>
      <c r="B577" s="4" t="s">
        <v>40</v>
      </c>
      <c r="C577" s="5" t="s">
        <v>302</v>
      </c>
      <c r="D577" s="5" t="s">
        <v>33</v>
      </c>
      <c r="E577" s="5" t="s">
        <v>99</v>
      </c>
      <c r="F577" s="5" t="s">
        <v>25</v>
      </c>
      <c r="G577" s="5" t="s">
        <v>19</v>
      </c>
      <c r="H577" s="5">
        <v>63</v>
      </c>
      <c r="I577" s="5">
        <v>952</v>
      </c>
      <c r="J577" s="5">
        <v>824</v>
      </c>
      <c r="K577" s="6">
        <f t="shared" si="32"/>
        <v>59976</v>
      </c>
      <c r="L577" s="6">
        <f t="shared" si="33"/>
        <v>51912</v>
      </c>
      <c r="M577" s="6">
        <f t="shared" si="34"/>
        <v>-8064</v>
      </c>
      <c r="N577" s="6" t="str">
        <f t="shared" si="35"/>
        <v>loss</v>
      </c>
    </row>
    <row r="578" spans="1:14" ht="16.5" thickTop="1" thickBot="1" x14ac:dyDescent="0.3">
      <c r="A578" s="4">
        <v>45502</v>
      </c>
      <c r="B578" s="4" t="s">
        <v>40</v>
      </c>
      <c r="C578" s="5" t="s">
        <v>303</v>
      </c>
      <c r="D578" s="5" t="s">
        <v>33</v>
      </c>
      <c r="E578" s="5" t="s">
        <v>99</v>
      </c>
      <c r="F578" s="5" t="s">
        <v>76</v>
      </c>
      <c r="G578" s="5" t="s">
        <v>19</v>
      </c>
      <c r="H578" s="5">
        <v>91</v>
      </c>
      <c r="I578" s="5">
        <v>938</v>
      </c>
      <c r="J578" s="5">
        <v>1156</v>
      </c>
      <c r="K578" s="6">
        <f t="shared" ref="K578:K641" si="36">H578*I578</f>
        <v>85358</v>
      </c>
      <c r="L578" s="6">
        <f t="shared" ref="L578:L641" si="37">H578*J578</f>
        <v>105196</v>
      </c>
      <c r="M578" s="6">
        <f t="shared" ref="M578:M641" si="38">L578-K578</f>
        <v>19838</v>
      </c>
      <c r="N578" s="6" t="str">
        <f t="shared" ref="N578:N641" si="39">IF(M578&gt;0,"profit","loss")</f>
        <v>profit</v>
      </c>
    </row>
    <row r="579" spans="1:14" ht="16.5" thickTop="1" thickBot="1" x14ac:dyDescent="0.3">
      <c r="A579" s="4">
        <v>45629</v>
      </c>
      <c r="B579" s="4" t="s">
        <v>190</v>
      </c>
      <c r="C579" s="5" t="s">
        <v>191</v>
      </c>
      <c r="D579" s="5" t="s">
        <v>46</v>
      </c>
      <c r="E579" s="5" t="s">
        <v>118</v>
      </c>
      <c r="F579" s="5" t="s">
        <v>60</v>
      </c>
      <c r="G579" s="5" t="s">
        <v>28</v>
      </c>
      <c r="H579" s="5">
        <v>26</v>
      </c>
      <c r="I579" s="5">
        <v>870</v>
      </c>
      <c r="J579" s="5">
        <v>1123</v>
      </c>
      <c r="K579" s="6">
        <f t="shared" si="36"/>
        <v>22620</v>
      </c>
      <c r="L579" s="6">
        <f t="shared" si="37"/>
        <v>29198</v>
      </c>
      <c r="M579" s="6">
        <f t="shared" si="38"/>
        <v>6578</v>
      </c>
      <c r="N579" s="6" t="str">
        <f t="shared" si="39"/>
        <v>profit</v>
      </c>
    </row>
    <row r="580" spans="1:14" ht="16.5" thickTop="1" thickBot="1" x14ac:dyDescent="0.3">
      <c r="A580" s="4">
        <v>45503</v>
      </c>
      <c r="B580" s="4" t="s">
        <v>40</v>
      </c>
      <c r="C580" s="5" t="s">
        <v>304</v>
      </c>
      <c r="D580" s="5" t="s">
        <v>33</v>
      </c>
      <c r="E580" s="5" t="s">
        <v>99</v>
      </c>
      <c r="F580" s="5" t="s">
        <v>71</v>
      </c>
      <c r="G580" s="5" t="s">
        <v>28</v>
      </c>
      <c r="H580" s="5">
        <v>66</v>
      </c>
      <c r="I580" s="5">
        <v>512</v>
      </c>
      <c r="J580" s="5">
        <v>1208</v>
      </c>
      <c r="K580" s="6">
        <f t="shared" si="36"/>
        <v>33792</v>
      </c>
      <c r="L580" s="6">
        <f t="shared" si="37"/>
        <v>79728</v>
      </c>
      <c r="M580" s="6">
        <f t="shared" si="38"/>
        <v>45936</v>
      </c>
      <c r="N580" s="6" t="str">
        <f t="shared" si="39"/>
        <v>profit</v>
      </c>
    </row>
    <row r="581" spans="1:14" ht="16.5" thickTop="1" thickBot="1" x14ac:dyDescent="0.3">
      <c r="A581" s="4">
        <v>45504</v>
      </c>
      <c r="B581" s="4" t="s">
        <v>40</v>
      </c>
      <c r="C581" s="5" t="s">
        <v>305</v>
      </c>
      <c r="D581" s="5" t="s">
        <v>33</v>
      </c>
      <c r="E581" s="5" t="s">
        <v>99</v>
      </c>
      <c r="F581" s="5" t="s">
        <v>44</v>
      </c>
      <c r="G581" s="5" t="s">
        <v>28</v>
      </c>
      <c r="H581" s="5">
        <v>88</v>
      </c>
      <c r="I581" s="5">
        <v>691</v>
      </c>
      <c r="J581" s="5">
        <v>1394</v>
      </c>
      <c r="K581" s="6">
        <f t="shared" si="36"/>
        <v>60808</v>
      </c>
      <c r="L581" s="6">
        <f t="shared" si="37"/>
        <v>122672</v>
      </c>
      <c r="M581" s="6">
        <f t="shared" si="38"/>
        <v>61864</v>
      </c>
      <c r="N581" s="6" t="str">
        <f t="shared" si="39"/>
        <v>profit</v>
      </c>
    </row>
    <row r="582" spans="1:14" ht="16.5" thickTop="1" thickBot="1" x14ac:dyDescent="0.3">
      <c r="A582" s="4">
        <v>45505</v>
      </c>
      <c r="B582" s="4" t="s">
        <v>57</v>
      </c>
      <c r="C582" s="5" t="s">
        <v>306</v>
      </c>
      <c r="D582" s="5" t="s">
        <v>33</v>
      </c>
      <c r="E582" s="5" t="s">
        <v>99</v>
      </c>
      <c r="F582" s="5" t="s">
        <v>25</v>
      </c>
      <c r="G582" s="5" t="s">
        <v>28</v>
      </c>
      <c r="H582" s="5">
        <v>54</v>
      </c>
      <c r="I582" s="5">
        <v>518</v>
      </c>
      <c r="J582" s="5">
        <v>1106</v>
      </c>
      <c r="K582" s="6">
        <f t="shared" si="36"/>
        <v>27972</v>
      </c>
      <c r="L582" s="6">
        <f t="shared" si="37"/>
        <v>59724</v>
      </c>
      <c r="M582" s="6">
        <f t="shared" si="38"/>
        <v>31752</v>
      </c>
      <c r="N582" s="6" t="str">
        <f t="shared" si="39"/>
        <v>profit</v>
      </c>
    </row>
    <row r="583" spans="1:14" ht="16.5" thickTop="1" thickBot="1" x14ac:dyDescent="0.3">
      <c r="A583" s="4">
        <v>45506</v>
      </c>
      <c r="B583" s="4" t="s">
        <v>57</v>
      </c>
      <c r="C583" s="5" t="s">
        <v>307</v>
      </c>
      <c r="D583" s="5" t="s">
        <v>33</v>
      </c>
      <c r="E583" s="5" t="s">
        <v>99</v>
      </c>
      <c r="F583" s="5" t="s">
        <v>64</v>
      </c>
      <c r="G583" s="5" t="s">
        <v>28</v>
      </c>
      <c r="H583" s="5">
        <v>67</v>
      </c>
      <c r="I583" s="5">
        <v>780</v>
      </c>
      <c r="J583" s="5">
        <v>864</v>
      </c>
      <c r="K583" s="6">
        <f t="shared" si="36"/>
        <v>52260</v>
      </c>
      <c r="L583" s="6">
        <f t="shared" si="37"/>
        <v>57888</v>
      </c>
      <c r="M583" s="6">
        <f t="shared" si="38"/>
        <v>5628</v>
      </c>
      <c r="N583" s="6" t="str">
        <f t="shared" si="39"/>
        <v>profit</v>
      </c>
    </row>
    <row r="584" spans="1:14" ht="16.5" thickTop="1" thickBot="1" x14ac:dyDescent="0.3">
      <c r="A584" s="4">
        <v>45634</v>
      </c>
      <c r="B584" s="4" t="s">
        <v>190</v>
      </c>
      <c r="C584" s="5" t="s">
        <v>196</v>
      </c>
      <c r="D584" s="5" t="s">
        <v>46</v>
      </c>
      <c r="E584" s="5" t="s">
        <v>118</v>
      </c>
      <c r="F584" s="5" t="s">
        <v>153</v>
      </c>
      <c r="G584" s="5" t="s">
        <v>28</v>
      </c>
      <c r="H584" s="5">
        <v>23</v>
      </c>
      <c r="I584" s="5">
        <v>945</v>
      </c>
      <c r="J584" s="5">
        <v>1268</v>
      </c>
      <c r="K584" s="6">
        <f t="shared" si="36"/>
        <v>21735</v>
      </c>
      <c r="L584" s="6">
        <f t="shared" si="37"/>
        <v>29164</v>
      </c>
      <c r="M584" s="6">
        <f t="shared" si="38"/>
        <v>7429</v>
      </c>
      <c r="N584" s="6" t="str">
        <f t="shared" si="39"/>
        <v>profit</v>
      </c>
    </row>
    <row r="585" spans="1:14" ht="16.5" thickTop="1" thickBot="1" x14ac:dyDescent="0.3">
      <c r="A585" s="4">
        <v>45508</v>
      </c>
      <c r="B585" s="4" t="s">
        <v>57</v>
      </c>
      <c r="C585" s="5" t="s">
        <v>308</v>
      </c>
      <c r="D585" s="5" t="s">
        <v>33</v>
      </c>
      <c r="E585" s="5" t="s">
        <v>120</v>
      </c>
      <c r="F585" s="5" t="s">
        <v>78</v>
      </c>
      <c r="G585" s="5" t="s">
        <v>19</v>
      </c>
      <c r="H585" s="5">
        <v>85</v>
      </c>
      <c r="I585" s="5">
        <v>853</v>
      </c>
      <c r="J585" s="5">
        <v>1453</v>
      </c>
      <c r="K585" s="6">
        <f t="shared" si="36"/>
        <v>72505</v>
      </c>
      <c r="L585" s="6">
        <f t="shared" si="37"/>
        <v>123505</v>
      </c>
      <c r="M585" s="6">
        <f t="shared" si="38"/>
        <v>51000</v>
      </c>
      <c r="N585" s="6" t="str">
        <f t="shared" si="39"/>
        <v>profit</v>
      </c>
    </row>
    <row r="586" spans="1:14" ht="16.5" thickTop="1" thickBot="1" x14ac:dyDescent="0.3">
      <c r="A586" s="4">
        <v>45509</v>
      </c>
      <c r="B586" s="4" t="s">
        <v>57</v>
      </c>
      <c r="C586" s="5" t="s">
        <v>309</v>
      </c>
      <c r="D586" s="5" t="s">
        <v>33</v>
      </c>
      <c r="E586" s="5" t="s">
        <v>120</v>
      </c>
      <c r="F586" s="5" t="s">
        <v>35</v>
      </c>
      <c r="G586" s="5" t="s">
        <v>19</v>
      </c>
      <c r="H586" s="5">
        <v>69</v>
      </c>
      <c r="I586" s="5">
        <v>745</v>
      </c>
      <c r="J586" s="5">
        <v>1075</v>
      </c>
      <c r="K586" s="6">
        <f t="shared" si="36"/>
        <v>51405</v>
      </c>
      <c r="L586" s="6">
        <f t="shared" si="37"/>
        <v>74175</v>
      </c>
      <c r="M586" s="6">
        <f t="shared" si="38"/>
        <v>22770</v>
      </c>
      <c r="N586" s="6" t="str">
        <f t="shared" si="39"/>
        <v>profit</v>
      </c>
    </row>
    <row r="587" spans="1:14" ht="16.5" thickTop="1" thickBot="1" x14ac:dyDescent="0.3">
      <c r="A587" s="4">
        <v>45637</v>
      </c>
      <c r="B587" s="4" t="s">
        <v>190</v>
      </c>
      <c r="C587" s="5" t="s">
        <v>198</v>
      </c>
      <c r="D587" s="5" t="s">
        <v>33</v>
      </c>
      <c r="E587" s="5" t="s">
        <v>99</v>
      </c>
      <c r="F587" s="5" t="s">
        <v>21</v>
      </c>
      <c r="G587" s="5" t="s">
        <v>28</v>
      </c>
      <c r="H587" s="5">
        <v>78</v>
      </c>
      <c r="I587" s="5">
        <v>522</v>
      </c>
      <c r="J587" s="5">
        <v>1064</v>
      </c>
      <c r="K587" s="6">
        <f t="shared" si="36"/>
        <v>40716</v>
      </c>
      <c r="L587" s="6">
        <f t="shared" si="37"/>
        <v>82992</v>
      </c>
      <c r="M587" s="6">
        <f t="shared" si="38"/>
        <v>42276</v>
      </c>
      <c r="N587" s="6" t="str">
        <f t="shared" si="39"/>
        <v>profit</v>
      </c>
    </row>
    <row r="588" spans="1:14" ht="16.5" thickTop="1" thickBot="1" x14ac:dyDescent="0.3">
      <c r="A588" s="4">
        <v>45528</v>
      </c>
      <c r="B588" s="4" t="s">
        <v>57</v>
      </c>
      <c r="C588" s="5" t="s">
        <v>310</v>
      </c>
      <c r="D588" s="5" t="s">
        <v>33</v>
      </c>
      <c r="E588" s="5" t="s">
        <v>99</v>
      </c>
      <c r="F588" s="5" t="s">
        <v>39</v>
      </c>
      <c r="G588" s="5" t="s">
        <v>19</v>
      </c>
      <c r="H588" s="5">
        <v>63</v>
      </c>
      <c r="I588" s="5">
        <v>525</v>
      </c>
      <c r="J588" s="5">
        <v>1182</v>
      </c>
      <c r="K588" s="6">
        <f t="shared" si="36"/>
        <v>33075</v>
      </c>
      <c r="L588" s="6">
        <f t="shared" si="37"/>
        <v>74466</v>
      </c>
      <c r="M588" s="6">
        <f t="shared" si="38"/>
        <v>41391</v>
      </c>
      <c r="N588" s="6" t="str">
        <f t="shared" si="39"/>
        <v>profit</v>
      </c>
    </row>
    <row r="589" spans="1:14" ht="16.5" thickTop="1" thickBot="1" x14ac:dyDescent="0.3">
      <c r="A589" s="4">
        <v>45529</v>
      </c>
      <c r="B589" s="4" t="s">
        <v>57</v>
      </c>
      <c r="C589" s="5" t="s">
        <v>311</v>
      </c>
      <c r="D589" s="5" t="s">
        <v>33</v>
      </c>
      <c r="E589" s="5" t="s">
        <v>99</v>
      </c>
      <c r="F589" s="5" t="s">
        <v>30</v>
      </c>
      <c r="G589" s="5" t="s">
        <v>19</v>
      </c>
      <c r="H589" s="5">
        <v>73</v>
      </c>
      <c r="I589" s="5">
        <v>709</v>
      </c>
      <c r="J589" s="5">
        <v>1344</v>
      </c>
      <c r="K589" s="6">
        <f t="shared" si="36"/>
        <v>51757</v>
      </c>
      <c r="L589" s="6">
        <f t="shared" si="37"/>
        <v>98112</v>
      </c>
      <c r="M589" s="6">
        <f t="shared" si="38"/>
        <v>46355</v>
      </c>
      <c r="N589" s="6" t="str">
        <f t="shared" si="39"/>
        <v>profit</v>
      </c>
    </row>
    <row r="590" spans="1:14" ht="16.5" thickTop="1" thickBot="1" x14ac:dyDescent="0.3">
      <c r="A590" s="4">
        <v>45530</v>
      </c>
      <c r="B590" s="4" t="s">
        <v>57</v>
      </c>
      <c r="C590" s="5" t="s">
        <v>312</v>
      </c>
      <c r="D590" s="5" t="s">
        <v>33</v>
      </c>
      <c r="E590" s="5" t="s">
        <v>99</v>
      </c>
      <c r="F590" s="5" t="s">
        <v>113</v>
      </c>
      <c r="G590" s="5" t="s">
        <v>19</v>
      </c>
      <c r="H590" s="5">
        <v>74</v>
      </c>
      <c r="I590" s="5">
        <v>914</v>
      </c>
      <c r="J590" s="5">
        <v>1031</v>
      </c>
      <c r="K590" s="6">
        <f t="shared" si="36"/>
        <v>67636</v>
      </c>
      <c r="L590" s="6">
        <f t="shared" si="37"/>
        <v>76294</v>
      </c>
      <c r="M590" s="6">
        <f t="shared" si="38"/>
        <v>8658</v>
      </c>
      <c r="N590" s="6" t="str">
        <f t="shared" si="39"/>
        <v>profit</v>
      </c>
    </row>
    <row r="591" spans="1:14" ht="16.5" thickTop="1" thickBot="1" x14ac:dyDescent="0.3">
      <c r="A591" s="4">
        <v>45531</v>
      </c>
      <c r="B591" s="4" t="s">
        <v>57</v>
      </c>
      <c r="C591" s="5" t="s">
        <v>313</v>
      </c>
      <c r="D591" s="5" t="s">
        <v>33</v>
      </c>
      <c r="E591" s="5" t="s">
        <v>99</v>
      </c>
      <c r="F591" s="5" t="s">
        <v>44</v>
      </c>
      <c r="G591" s="5" t="s">
        <v>19</v>
      </c>
      <c r="H591" s="5">
        <v>84</v>
      </c>
      <c r="I591" s="5">
        <v>558</v>
      </c>
      <c r="J591" s="5">
        <v>1477</v>
      </c>
      <c r="K591" s="6">
        <f t="shared" si="36"/>
        <v>46872</v>
      </c>
      <c r="L591" s="6">
        <f t="shared" si="37"/>
        <v>124068</v>
      </c>
      <c r="M591" s="6">
        <f t="shared" si="38"/>
        <v>77196</v>
      </c>
      <c r="N591" s="6" t="str">
        <f t="shared" si="39"/>
        <v>profit</v>
      </c>
    </row>
    <row r="592" spans="1:14" ht="16.5" thickTop="1" thickBot="1" x14ac:dyDescent="0.3">
      <c r="A592" s="4">
        <v>45642</v>
      </c>
      <c r="B592" s="4" t="s">
        <v>190</v>
      </c>
      <c r="C592" s="5" t="s">
        <v>202</v>
      </c>
      <c r="D592" s="5" t="s">
        <v>33</v>
      </c>
      <c r="E592" s="5" t="s">
        <v>99</v>
      </c>
      <c r="F592" s="5" t="s">
        <v>39</v>
      </c>
      <c r="G592" s="5" t="s">
        <v>19</v>
      </c>
      <c r="H592" s="5">
        <v>60</v>
      </c>
      <c r="I592" s="5">
        <v>642</v>
      </c>
      <c r="J592" s="5">
        <v>1110</v>
      </c>
      <c r="K592" s="6">
        <f t="shared" si="36"/>
        <v>38520</v>
      </c>
      <c r="L592" s="6">
        <f t="shared" si="37"/>
        <v>66600</v>
      </c>
      <c r="M592" s="6">
        <f t="shared" si="38"/>
        <v>28080</v>
      </c>
      <c r="N592" s="6" t="str">
        <f t="shared" si="39"/>
        <v>profit</v>
      </c>
    </row>
    <row r="593" spans="1:14" ht="16.5" thickTop="1" thickBot="1" x14ac:dyDescent="0.3">
      <c r="A593" s="4">
        <v>45532</v>
      </c>
      <c r="B593" s="4" t="s">
        <v>57</v>
      </c>
      <c r="C593" s="5" t="s">
        <v>314</v>
      </c>
      <c r="D593" s="5" t="s">
        <v>33</v>
      </c>
      <c r="E593" s="5" t="s">
        <v>99</v>
      </c>
      <c r="F593" s="5" t="s">
        <v>153</v>
      </c>
      <c r="G593" s="5" t="s">
        <v>19</v>
      </c>
      <c r="H593" s="5">
        <v>99</v>
      </c>
      <c r="I593" s="5">
        <v>934</v>
      </c>
      <c r="J593" s="5">
        <v>1318</v>
      </c>
      <c r="K593" s="6">
        <f t="shared" si="36"/>
        <v>92466</v>
      </c>
      <c r="L593" s="6">
        <f t="shared" si="37"/>
        <v>130482</v>
      </c>
      <c r="M593" s="6">
        <f t="shared" si="38"/>
        <v>38016</v>
      </c>
      <c r="N593" s="6" t="str">
        <f t="shared" si="39"/>
        <v>profit</v>
      </c>
    </row>
    <row r="594" spans="1:14" ht="16.5" thickTop="1" thickBot="1" x14ac:dyDescent="0.3">
      <c r="A594" s="4">
        <v>45533</v>
      </c>
      <c r="B594" s="4" t="s">
        <v>57</v>
      </c>
      <c r="C594" s="5" t="s">
        <v>315</v>
      </c>
      <c r="D594" s="5" t="s">
        <v>33</v>
      </c>
      <c r="E594" s="5" t="s">
        <v>99</v>
      </c>
      <c r="F594" s="5" t="s">
        <v>155</v>
      </c>
      <c r="G594" s="5" t="s">
        <v>19</v>
      </c>
      <c r="H594" s="5">
        <v>52</v>
      </c>
      <c r="I594" s="5">
        <v>576</v>
      </c>
      <c r="J594" s="5">
        <v>1419</v>
      </c>
      <c r="K594" s="6">
        <f t="shared" si="36"/>
        <v>29952</v>
      </c>
      <c r="L594" s="6">
        <f t="shared" si="37"/>
        <v>73788</v>
      </c>
      <c r="M594" s="6">
        <f t="shared" si="38"/>
        <v>43836</v>
      </c>
      <c r="N594" s="6" t="str">
        <f t="shared" si="39"/>
        <v>profit</v>
      </c>
    </row>
    <row r="595" spans="1:14" ht="16.5" thickTop="1" thickBot="1" x14ac:dyDescent="0.3">
      <c r="A595" s="4">
        <v>45534</v>
      </c>
      <c r="B595" s="4" t="s">
        <v>57</v>
      </c>
      <c r="C595" s="5" t="s">
        <v>316</v>
      </c>
      <c r="D595" s="5" t="s">
        <v>33</v>
      </c>
      <c r="E595" s="5" t="s">
        <v>99</v>
      </c>
      <c r="F595" s="5" t="s">
        <v>18</v>
      </c>
      <c r="G595" s="5" t="s">
        <v>28</v>
      </c>
      <c r="H595" s="5">
        <v>98</v>
      </c>
      <c r="I595" s="5">
        <v>769</v>
      </c>
      <c r="J595" s="5">
        <v>1277</v>
      </c>
      <c r="K595" s="6">
        <f t="shared" si="36"/>
        <v>75362</v>
      </c>
      <c r="L595" s="6">
        <f t="shared" si="37"/>
        <v>125146</v>
      </c>
      <c r="M595" s="6">
        <f t="shared" si="38"/>
        <v>49784</v>
      </c>
      <c r="N595" s="6" t="str">
        <f t="shared" si="39"/>
        <v>profit</v>
      </c>
    </row>
    <row r="596" spans="1:14" ht="16.5" thickTop="1" thickBot="1" x14ac:dyDescent="0.3">
      <c r="A596" s="4">
        <v>45646</v>
      </c>
      <c r="B596" s="4" t="s">
        <v>190</v>
      </c>
      <c r="C596" s="5" t="s">
        <v>206</v>
      </c>
      <c r="D596" s="5" t="s">
        <v>33</v>
      </c>
      <c r="E596" s="5" t="s">
        <v>99</v>
      </c>
      <c r="F596" s="5" t="s">
        <v>39</v>
      </c>
      <c r="G596" s="5" t="s">
        <v>19</v>
      </c>
      <c r="H596" s="5">
        <v>86</v>
      </c>
      <c r="I596" s="5">
        <v>668</v>
      </c>
      <c r="J596" s="5">
        <v>1278</v>
      </c>
      <c r="K596" s="6">
        <f t="shared" si="36"/>
        <v>57448</v>
      </c>
      <c r="L596" s="6">
        <f t="shared" si="37"/>
        <v>109908</v>
      </c>
      <c r="M596" s="6">
        <f t="shared" si="38"/>
        <v>52460</v>
      </c>
      <c r="N596" s="6" t="str">
        <f t="shared" si="39"/>
        <v>profit</v>
      </c>
    </row>
    <row r="597" spans="1:14" ht="16.5" thickTop="1" thickBot="1" x14ac:dyDescent="0.3">
      <c r="A597" s="4">
        <v>45536</v>
      </c>
      <c r="B597" s="4" t="s">
        <v>69</v>
      </c>
      <c r="C597" s="5" t="s">
        <v>317</v>
      </c>
      <c r="D597" s="5" t="s">
        <v>33</v>
      </c>
      <c r="E597" s="5" t="s">
        <v>99</v>
      </c>
      <c r="F597" s="5" t="s">
        <v>23</v>
      </c>
      <c r="G597" s="5" t="s">
        <v>28</v>
      </c>
      <c r="H597" s="5">
        <v>73</v>
      </c>
      <c r="I597" s="5">
        <v>627</v>
      </c>
      <c r="J597" s="5">
        <v>769</v>
      </c>
      <c r="K597" s="6">
        <f t="shared" si="36"/>
        <v>45771</v>
      </c>
      <c r="L597" s="6">
        <f t="shared" si="37"/>
        <v>56137</v>
      </c>
      <c r="M597" s="6">
        <f t="shared" si="38"/>
        <v>10366</v>
      </c>
      <c r="N597" s="6" t="str">
        <f t="shared" si="39"/>
        <v>profit</v>
      </c>
    </row>
    <row r="598" spans="1:14" ht="16.5" thickTop="1" thickBot="1" x14ac:dyDescent="0.3">
      <c r="A598" s="4">
        <v>45648</v>
      </c>
      <c r="B598" s="4" t="s">
        <v>190</v>
      </c>
      <c r="C598" s="5" t="s">
        <v>208</v>
      </c>
      <c r="D598" s="5" t="s">
        <v>33</v>
      </c>
      <c r="E598" s="5" t="s">
        <v>120</v>
      </c>
      <c r="F598" s="5" t="s">
        <v>113</v>
      </c>
      <c r="G598" s="5" t="s">
        <v>19</v>
      </c>
      <c r="H598" s="5">
        <v>57</v>
      </c>
      <c r="I598" s="5">
        <v>995</v>
      </c>
      <c r="J598" s="5">
        <v>912</v>
      </c>
      <c r="K598" s="6">
        <f t="shared" si="36"/>
        <v>56715</v>
      </c>
      <c r="L598" s="6">
        <f t="shared" si="37"/>
        <v>51984</v>
      </c>
      <c r="M598" s="6">
        <f t="shared" si="38"/>
        <v>-4731</v>
      </c>
      <c r="N598" s="6" t="str">
        <f t="shared" si="39"/>
        <v>loss</v>
      </c>
    </row>
    <row r="599" spans="1:14" ht="16.5" thickTop="1" thickBot="1" x14ac:dyDescent="0.3">
      <c r="A599" s="4">
        <v>45537</v>
      </c>
      <c r="B599" s="4" t="s">
        <v>69</v>
      </c>
      <c r="C599" s="5" t="s">
        <v>318</v>
      </c>
      <c r="D599" s="5" t="s">
        <v>33</v>
      </c>
      <c r="E599" s="5" t="s">
        <v>120</v>
      </c>
      <c r="F599" s="5" t="s">
        <v>25</v>
      </c>
      <c r="G599" s="5" t="s">
        <v>28</v>
      </c>
      <c r="H599" s="5">
        <v>93</v>
      </c>
      <c r="I599" s="5">
        <v>847</v>
      </c>
      <c r="J599" s="5">
        <v>1258</v>
      </c>
      <c r="K599" s="6">
        <f t="shared" si="36"/>
        <v>78771</v>
      </c>
      <c r="L599" s="6">
        <f t="shared" si="37"/>
        <v>116994</v>
      </c>
      <c r="M599" s="6">
        <f t="shared" si="38"/>
        <v>38223</v>
      </c>
      <c r="N599" s="6" t="str">
        <f t="shared" si="39"/>
        <v>profit</v>
      </c>
    </row>
    <row r="600" spans="1:14" ht="16.5" thickTop="1" thickBot="1" x14ac:dyDescent="0.3">
      <c r="A600" s="4">
        <v>45538</v>
      </c>
      <c r="B600" s="4" t="s">
        <v>69</v>
      </c>
      <c r="C600" s="5" t="s">
        <v>319</v>
      </c>
      <c r="D600" s="5" t="s">
        <v>33</v>
      </c>
      <c r="E600" s="5" t="s">
        <v>120</v>
      </c>
      <c r="F600" s="5" t="s">
        <v>25</v>
      </c>
      <c r="G600" s="5" t="s">
        <v>28</v>
      </c>
      <c r="H600" s="5">
        <v>84</v>
      </c>
      <c r="I600" s="5">
        <v>522</v>
      </c>
      <c r="J600" s="5">
        <v>929</v>
      </c>
      <c r="K600" s="6">
        <f t="shared" si="36"/>
        <v>43848</v>
      </c>
      <c r="L600" s="6">
        <f t="shared" si="37"/>
        <v>78036</v>
      </c>
      <c r="M600" s="6">
        <f t="shared" si="38"/>
        <v>34188</v>
      </c>
      <c r="N600" s="6" t="str">
        <f t="shared" si="39"/>
        <v>profit</v>
      </c>
    </row>
    <row r="601" spans="1:14" ht="16.5" thickTop="1" thickBot="1" x14ac:dyDescent="0.3">
      <c r="A601" s="4">
        <v>45539</v>
      </c>
      <c r="B601" s="4" t="s">
        <v>69</v>
      </c>
      <c r="C601" s="5" t="s">
        <v>320</v>
      </c>
      <c r="D601" s="5" t="s">
        <v>33</v>
      </c>
      <c r="E601" s="5" t="s">
        <v>120</v>
      </c>
      <c r="F601" s="5" t="s">
        <v>27</v>
      </c>
      <c r="G601" s="5" t="s">
        <v>19</v>
      </c>
      <c r="H601" s="5">
        <v>85</v>
      </c>
      <c r="I601" s="5">
        <v>564</v>
      </c>
      <c r="J601" s="5">
        <v>1049</v>
      </c>
      <c r="K601" s="6">
        <f t="shared" si="36"/>
        <v>47940</v>
      </c>
      <c r="L601" s="6">
        <f t="shared" si="37"/>
        <v>89165</v>
      </c>
      <c r="M601" s="6">
        <f t="shared" si="38"/>
        <v>41225</v>
      </c>
      <c r="N601" s="6" t="str">
        <f t="shared" si="39"/>
        <v>profit</v>
      </c>
    </row>
    <row r="602" spans="1:14" ht="16.5" thickTop="1" thickBot="1" x14ac:dyDescent="0.3">
      <c r="A602" s="4">
        <v>45541</v>
      </c>
      <c r="B602" s="4" t="s">
        <v>69</v>
      </c>
      <c r="C602" s="5" t="s">
        <v>321</v>
      </c>
      <c r="D602" s="5" t="s">
        <v>33</v>
      </c>
      <c r="E602" s="5" t="s">
        <v>120</v>
      </c>
      <c r="F602" s="5" t="s">
        <v>25</v>
      </c>
      <c r="G602" s="5" t="s">
        <v>19</v>
      </c>
      <c r="H602" s="5">
        <v>93</v>
      </c>
      <c r="I602" s="5">
        <v>579</v>
      </c>
      <c r="J602" s="5">
        <v>1402</v>
      </c>
      <c r="K602" s="6">
        <f t="shared" si="36"/>
        <v>53847</v>
      </c>
      <c r="L602" s="6">
        <f t="shared" si="37"/>
        <v>130386</v>
      </c>
      <c r="M602" s="6">
        <f t="shared" si="38"/>
        <v>76539</v>
      </c>
      <c r="N602" s="6" t="str">
        <f t="shared" si="39"/>
        <v>profit</v>
      </c>
    </row>
    <row r="603" spans="1:14" ht="16.5" thickTop="1" thickBot="1" x14ac:dyDescent="0.3">
      <c r="A603" s="4">
        <v>45653</v>
      </c>
      <c r="B603" s="4" t="s">
        <v>190</v>
      </c>
      <c r="C603" s="5" t="s">
        <v>213</v>
      </c>
      <c r="D603" s="5" t="s">
        <v>33</v>
      </c>
      <c r="E603" s="5" t="s">
        <v>120</v>
      </c>
      <c r="F603" s="5" t="s">
        <v>21</v>
      </c>
      <c r="G603" s="5" t="s">
        <v>28</v>
      </c>
      <c r="H603" s="5">
        <v>93</v>
      </c>
      <c r="I603" s="5">
        <v>886</v>
      </c>
      <c r="J603" s="5">
        <v>1199</v>
      </c>
      <c r="K603" s="6">
        <f t="shared" si="36"/>
        <v>82398</v>
      </c>
      <c r="L603" s="6">
        <f t="shared" si="37"/>
        <v>111507</v>
      </c>
      <c r="M603" s="6">
        <f t="shared" si="38"/>
        <v>29109</v>
      </c>
      <c r="N603" s="6" t="str">
        <f t="shared" si="39"/>
        <v>profit</v>
      </c>
    </row>
    <row r="604" spans="1:14" ht="16.5" thickTop="1" thickBot="1" x14ac:dyDescent="0.3">
      <c r="A604" s="4">
        <v>45542</v>
      </c>
      <c r="B604" s="4" t="s">
        <v>69</v>
      </c>
      <c r="C604" s="5" t="s">
        <v>322</v>
      </c>
      <c r="D604" s="5" t="s">
        <v>33</v>
      </c>
      <c r="E604" s="5" t="s">
        <v>120</v>
      </c>
      <c r="F604" s="5" t="s">
        <v>76</v>
      </c>
      <c r="G604" s="5" t="s">
        <v>28</v>
      </c>
      <c r="H604" s="5">
        <v>56</v>
      </c>
      <c r="I604" s="5">
        <v>724</v>
      </c>
      <c r="J604" s="5">
        <v>1391</v>
      </c>
      <c r="K604" s="6">
        <f t="shared" si="36"/>
        <v>40544</v>
      </c>
      <c r="L604" s="6">
        <f t="shared" si="37"/>
        <v>77896</v>
      </c>
      <c r="M604" s="6">
        <f t="shared" si="38"/>
        <v>37352</v>
      </c>
      <c r="N604" s="6" t="str">
        <f t="shared" si="39"/>
        <v>profit</v>
      </c>
    </row>
    <row r="605" spans="1:14" ht="16.5" thickTop="1" thickBot="1" x14ac:dyDescent="0.3">
      <c r="A605" s="4">
        <v>45555</v>
      </c>
      <c r="B605" s="4" t="s">
        <v>69</v>
      </c>
      <c r="C605" s="5" t="s">
        <v>323</v>
      </c>
      <c r="D605" s="5" t="s">
        <v>33</v>
      </c>
      <c r="E605" s="5" t="s">
        <v>120</v>
      </c>
      <c r="F605" s="5" t="s">
        <v>44</v>
      </c>
      <c r="G605" s="5" t="s">
        <v>28</v>
      </c>
      <c r="H605" s="5">
        <v>60</v>
      </c>
      <c r="I605" s="5">
        <v>783</v>
      </c>
      <c r="J605" s="5">
        <v>881</v>
      </c>
      <c r="K605" s="6">
        <f t="shared" si="36"/>
        <v>46980</v>
      </c>
      <c r="L605" s="6">
        <f t="shared" si="37"/>
        <v>52860</v>
      </c>
      <c r="M605" s="6">
        <f t="shared" si="38"/>
        <v>5880</v>
      </c>
      <c r="N605" s="6" t="str">
        <f t="shared" si="39"/>
        <v>profit</v>
      </c>
    </row>
    <row r="606" spans="1:14" ht="16.5" thickTop="1" thickBot="1" x14ac:dyDescent="0.3">
      <c r="A606" s="4">
        <v>45556</v>
      </c>
      <c r="B606" s="4" t="s">
        <v>69</v>
      </c>
      <c r="C606" s="5" t="s">
        <v>324</v>
      </c>
      <c r="D606" s="5" t="s">
        <v>33</v>
      </c>
      <c r="E606" s="5" t="s">
        <v>120</v>
      </c>
      <c r="F606" s="5" t="s">
        <v>27</v>
      </c>
      <c r="G606" s="5" t="s">
        <v>28</v>
      </c>
      <c r="H606" s="5">
        <v>81</v>
      </c>
      <c r="I606" s="5">
        <v>948</v>
      </c>
      <c r="J606" s="5">
        <v>904</v>
      </c>
      <c r="K606" s="6">
        <f t="shared" si="36"/>
        <v>76788</v>
      </c>
      <c r="L606" s="6">
        <f t="shared" si="37"/>
        <v>73224</v>
      </c>
      <c r="M606" s="6">
        <f t="shared" si="38"/>
        <v>-3564</v>
      </c>
      <c r="N606" s="6" t="str">
        <f t="shared" si="39"/>
        <v>loss</v>
      </c>
    </row>
    <row r="607" spans="1:14" ht="16.5" thickTop="1" thickBot="1" x14ac:dyDescent="0.3">
      <c r="A607" s="4">
        <v>45557</v>
      </c>
      <c r="B607" s="4" t="s">
        <v>69</v>
      </c>
      <c r="C607" s="5" t="s">
        <v>325</v>
      </c>
      <c r="D607" s="5" t="s">
        <v>33</v>
      </c>
      <c r="E607" s="5" t="s">
        <v>120</v>
      </c>
      <c r="F607" s="5" t="s">
        <v>44</v>
      </c>
      <c r="G607" s="5" t="s">
        <v>28</v>
      </c>
      <c r="H607" s="5">
        <v>80</v>
      </c>
      <c r="I607" s="5">
        <v>771</v>
      </c>
      <c r="J607" s="5">
        <v>1090</v>
      </c>
      <c r="K607" s="6">
        <f t="shared" si="36"/>
        <v>61680</v>
      </c>
      <c r="L607" s="6">
        <f t="shared" si="37"/>
        <v>87200</v>
      </c>
      <c r="M607" s="6">
        <f t="shared" si="38"/>
        <v>25520</v>
      </c>
      <c r="N607" s="6" t="str">
        <f t="shared" si="39"/>
        <v>profit</v>
      </c>
    </row>
    <row r="608" spans="1:14" ht="16.5" thickTop="1" thickBot="1" x14ac:dyDescent="0.3">
      <c r="A608" s="4">
        <v>45558</v>
      </c>
      <c r="B608" s="4" t="s">
        <v>69</v>
      </c>
      <c r="C608" s="5" t="s">
        <v>326</v>
      </c>
      <c r="D608" s="5" t="s">
        <v>33</v>
      </c>
      <c r="E608" s="5" t="s">
        <v>120</v>
      </c>
      <c r="F608" s="5" t="s">
        <v>49</v>
      </c>
      <c r="G608" s="5" t="s">
        <v>19</v>
      </c>
      <c r="H608" s="5">
        <v>88</v>
      </c>
      <c r="I608" s="5">
        <v>943</v>
      </c>
      <c r="J608" s="5">
        <v>1082</v>
      </c>
      <c r="K608" s="6">
        <f t="shared" si="36"/>
        <v>82984</v>
      </c>
      <c r="L608" s="6">
        <f t="shared" si="37"/>
        <v>95216</v>
      </c>
      <c r="M608" s="6">
        <f t="shared" si="38"/>
        <v>12232</v>
      </c>
      <c r="N608" s="6" t="str">
        <f t="shared" si="39"/>
        <v>profit</v>
      </c>
    </row>
    <row r="609" spans="1:14" ht="16.5" thickTop="1" thickBot="1" x14ac:dyDescent="0.3">
      <c r="A609" s="4">
        <v>45559</v>
      </c>
      <c r="B609" s="4" t="s">
        <v>69</v>
      </c>
      <c r="C609" s="5" t="s">
        <v>327</v>
      </c>
      <c r="D609" s="5" t="s">
        <v>33</v>
      </c>
      <c r="E609" s="5" t="s">
        <v>120</v>
      </c>
      <c r="F609" s="5" t="s">
        <v>27</v>
      </c>
      <c r="G609" s="5" t="s">
        <v>28</v>
      </c>
      <c r="H609" s="5">
        <v>68</v>
      </c>
      <c r="I609" s="5">
        <v>909</v>
      </c>
      <c r="J609" s="5">
        <v>1329</v>
      </c>
      <c r="K609" s="6">
        <f t="shared" si="36"/>
        <v>61812</v>
      </c>
      <c r="L609" s="6">
        <f t="shared" si="37"/>
        <v>90372</v>
      </c>
      <c r="M609" s="6">
        <f t="shared" si="38"/>
        <v>28560</v>
      </c>
      <c r="N609" s="6" t="str">
        <f t="shared" si="39"/>
        <v>profit</v>
      </c>
    </row>
    <row r="610" spans="1:14" ht="16.5" thickTop="1" thickBot="1" x14ac:dyDescent="0.3">
      <c r="A610" s="4">
        <v>45660</v>
      </c>
      <c r="B610" s="4" t="s">
        <v>95</v>
      </c>
      <c r="C610" s="5" t="s">
        <v>220</v>
      </c>
      <c r="D610" s="5" t="s">
        <v>16</v>
      </c>
      <c r="E610" s="5" t="s">
        <v>17</v>
      </c>
      <c r="F610" s="5" t="s">
        <v>76</v>
      </c>
      <c r="G610" s="5" t="s">
        <v>19</v>
      </c>
      <c r="H610" s="5">
        <v>11</v>
      </c>
      <c r="I610" s="5">
        <v>676</v>
      </c>
      <c r="J610" s="5">
        <v>1050</v>
      </c>
      <c r="K610" s="6">
        <f t="shared" si="36"/>
        <v>7436</v>
      </c>
      <c r="L610" s="6">
        <f t="shared" si="37"/>
        <v>11550</v>
      </c>
      <c r="M610" s="6">
        <f t="shared" si="38"/>
        <v>4114</v>
      </c>
      <c r="N610" s="6" t="str">
        <f t="shared" si="39"/>
        <v>profit</v>
      </c>
    </row>
    <row r="611" spans="1:14" ht="16.5" thickTop="1" thickBot="1" x14ac:dyDescent="0.3">
      <c r="A611" s="4">
        <v>45560</v>
      </c>
      <c r="B611" s="4" t="s">
        <v>69</v>
      </c>
      <c r="C611" s="5" t="s">
        <v>328</v>
      </c>
      <c r="D611" s="5" t="s">
        <v>33</v>
      </c>
      <c r="E611" s="5" t="s">
        <v>120</v>
      </c>
      <c r="F611" s="5" t="s">
        <v>52</v>
      </c>
      <c r="G611" s="5" t="s">
        <v>28</v>
      </c>
      <c r="H611" s="5">
        <v>65</v>
      </c>
      <c r="I611" s="5">
        <v>568</v>
      </c>
      <c r="J611" s="5">
        <v>1482</v>
      </c>
      <c r="K611" s="6">
        <f t="shared" si="36"/>
        <v>36920</v>
      </c>
      <c r="L611" s="6">
        <f t="shared" si="37"/>
        <v>96330</v>
      </c>
      <c r="M611" s="6">
        <f t="shared" si="38"/>
        <v>59410</v>
      </c>
      <c r="N611" s="6" t="str">
        <f t="shared" si="39"/>
        <v>profit</v>
      </c>
    </row>
    <row r="612" spans="1:14" ht="16.5" thickTop="1" thickBot="1" x14ac:dyDescent="0.3">
      <c r="A612" s="4">
        <v>45662</v>
      </c>
      <c r="B612" s="4" t="s">
        <v>95</v>
      </c>
      <c r="C612" s="5" t="s">
        <v>222</v>
      </c>
      <c r="D612" s="5" t="s">
        <v>16</v>
      </c>
      <c r="E612" s="5" t="s">
        <v>17</v>
      </c>
      <c r="F612" s="5" t="s">
        <v>44</v>
      </c>
      <c r="G612" s="5" t="s">
        <v>19</v>
      </c>
      <c r="H612" s="5">
        <v>13</v>
      </c>
      <c r="I612" s="5">
        <v>521</v>
      </c>
      <c r="J612" s="5">
        <v>1433</v>
      </c>
      <c r="K612" s="6">
        <f t="shared" si="36"/>
        <v>6773</v>
      </c>
      <c r="L612" s="6">
        <f t="shared" si="37"/>
        <v>18629</v>
      </c>
      <c r="M612" s="6">
        <f t="shared" si="38"/>
        <v>11856</v>
      </c>
      <c r="N612" s="6" t="str">
        <f t="shared" si="39"/>
        <v>profit</v>
      </c>
    </row>
    <row r="613" spans="1:14" ht="16.5" thickTop="1" thickBot="1" x14ac:dyDescent="0.3">
      <c r="A613" s="4">
        <v>45561</v>
      </c>
      <c r="B613" s="4" t="s">
        <v>69</v>
      </c>
      <c r="C613" s="5" t="s">
        <v>329</v>
      </c>
      <c r="D613" s="5" t="s">
        <v>33</v>
      </c>
      <c r="E613" s="5" t="s">
        <v>120</v>
      </c>
      <c r="F613" s="5" t="s">
        <v>54</v>
      </c>
      <c r="G613" s="5" t="s">
        <v>28</v>
      </c>
      <c r="H613" s="5">
        <v>58</v>
      </c>
      <c r="I613" s="5">
        <v>758</v>
      </c>
      <c r="J613" s="5">
        <v>1241</v>
      </c>
      <c r="K613" s="6">
        <f t="shared" si="36"/>
        <v>43964</v>
      </c>
      <c r="L613" s="6">
        <f t="shared" si="37"/>
        <v>71978</v>
      </c>
      <c r="M613" s="6">
        <f t="shared" si="38"/>
        <v>28014</v>
      </c>
      <c r="N613" s="6" t="str">
        <f t="shared" si="39"/>
        <v>profit</v>
      </c>
    </row>
    <row r="614" spans="1:14" ht="16.5" thickTop="1" thickBot="1" x14ac:dyDescent="0.3">
      <c r="A614" s="4">
        <v>45664</v>
      </c>
      <c r="B614" s="4" t="s">
        <v>95</v>
      </c>
      <c r="C614" s="5" t="s">
        <v>224</v>
      </c>
      <c r="D614" s="5" t="s">
        <v>16</v>
      </c>
      <c r="E614" s="5" t="s">
        <v>17</v>
      </c>
      <c r="F614" s="5" t="s">
        <v>23</v>
      </c>
      <c r="G614" s="5" t="s">
        <v>19</v>
      </c>
      <c r="H614" s="5">
        <v>16</v>
      </c>
      <c r="I614" s="5">
        <v>887</v>
      </c>
      <c r="J614" s="5">
        <v>1059</v>
      </c>
      <c r="K614" s="6">
        <f t="shared" si="36"/>
        <v>14192</v>
      </c>
      <c r="L614" s="6">
        <f t="shared" si="37"/>
        <v>16944</v>
      </c>
      <c r="M614" s="6">
        <f t="shared" si="38"/>
        <v>2752</v>
      </c>
      <c r="N614" s="6" t="str">
        <f t="shared" si="39"/>
        <v>profit</v>
      </c>
    </row>
    <row r="615" spans="1:14" ht="16.5" thickTop="1" thickBot="1" x14ac:dyDescent="0.3">
      <c r="A615" s="4">
        <v>45569</v>
      </c>
      <c r="B615" s="4" t="s">
        <v>85</v>
      </c>
      <c r="C615" s="5" t="s">
        <v>330</v>
      </c>
      <c r="D615" s="5" t="s">
        <v>33</v>
      </c>
      <c r="E615" s="5" t="s">
        <v>99</v>
      </c>
      <c r="F615" s="5" t="s">
        <v>30</v>
      </c>
      <c r="G615" s="5" t="s">
        <v>19</v>
      </c>
      <c r="H615" s="5">
        <v>61</v>
      </c>
      <c r="I615" s="5">
        <v>604</v>
      </c>
      <c r="J615" s="5">
        <v>1251</v>
      </c>
      <c r="K615" s="6">
        <f t="shared" si="36"/>
        <v>36844</v>
      </c>
      <c r="L615" s="6">
        <f t="shared" si="37"/>
        <v>76311</v>
      </c>
      <c r="M615" s="6">
        <f t="shared" si="38"/>
        <v>39467</v>
      </c>
      <c r="N615" s="6" t="str">
        <f t="shared" si="39"/>
        <v>profit</v>
      </c>
    </row>
    <row r="616" spans="1:14" ht="16.5" thickTop="1" thickBot="1" x14ac:dyDescent="0.3">
      <c r="A616" s="4">
        <v>45570</v>
      </c>
      <c r="B616" s="4" t="s">
        <v>85</v>
      </c>
      <c r="C616" s="5" t="s">
        <v>331</v>
      </c>
      <c r="D616" s="5" t="s">
        <v>33</v>
      </c>
      <c r="E616" s="5" t="s">
        <v>99</v>
      </c>
      <c r="F616" s="5" t="s">
        <v>113</v>
      </c>
      <c r="G616" s="5" t="s">
        <v>19</v>
      </c>
      <c r="H616" s="5">
        <v>62</v>
      </c>
      <c r="I616" s="5">
        <v>641</v>
      </c>
      <c r="J616" s="5">
        <v>869</v>
      </c>
      <c r="K616" s="6">
        <f t="shared" si="36"/>
        <v>39742</v>
      </c>
      <c r="L616" s="6">
        <f t="shared" si="37"/>
        <v>53878</v>
      </c>
      <c r="M616" s="6">
        <f t="shared" si="38"/>
        <v>14136</v>
      </c>
      <c r="N616" s="6" t="str">
        <f t="shared" si="39"/>
        <v>profit</v>
      </c>
    </row>
    <row r="617" spans="1:14" ht="16.5" thickTop="1" thickBot="1" x14ac:dyDescent="0.3">
      <c r="A617" s="4">
        <v>45572</v>
      </c>
      <c r="B617" s="4" t="s">
        <v>85</v>
      </c>
      <c r="C617" s="5" t="s">
        <v>332</v>
      </c>
      <c r="D617" s="5" t="s">
        <v>33</v>
      </c>
      <c r="E617" s="5" t="s">
        <v>99</v>
      </c>
      <c r="F617" s="5" t="s">
        <v>153</v>
      </c>
      <c r="G617" s="5" t="s">
        <v>19</v>
      </c>
      <c r="H617" s="5">
        <v>53</v>
      </c>
      <c r="I617" s="5">
        <v>913</v>
      </c>
      <c r="J617" s="5">
        <v>1369</v>
      </c>
      <c r="K617" s="6">
        <f t="shared" si="36"/>
        <v>48389</v>
      </c>
      <c r="L617" s="6">
        <f t="shared" si="37"/>
        <v>72557</v>
      </c>
      <c r="M617" s="6">
        <f t="shared" si="38"/>
        <v>24168</v>
      </c>
      <c r="N617" s="6" t="str">
        <f t="shared" si="39"/>
        <v>profit</v>
      </c>
    </row>
    <row r="618" spans="1:14" ht="16.5" thickTop="1" thickBot="1" x14ac:dyDescent="0.3">
      <c r="A618" s="4">
        <v>45573</v>
      </c>
      <c r="B618" s="4" t="s">
        <v>85</v>
      </c>
      <c r="C618" s="5" t="s">
        <v>333</v>
      </c>
      <c r="D618" s="5" t="s">
        <v>33</v>
      </c>
      <c r="E618" s="5" t="s">
        <v>99</v>
      </c>
      <c r="F618" s="5" t="s">
        <v>155</v>
      </c>
      <c r="G618" s="5" t="s">
        <v>19</v>
      </c>
      <c r="H618" s="5">
        <v>56</v>
      </c>
      <c r="I618" s="5">
        <v>840</v>
      </c>
      <c r="J618" s="5">
        <v>1353</v>
      </c>
      <c r="K618" s="6">
        <f t="shared" si="36"/>
        <v>47040</v>
      </c>
      <c r="L618" s="6">
        <f t="shared" si="37"/>
        <v>75768</v>
      </c>
      <c r="M618" s="6">
        <f t="shared" si="38"/>
        <v>28728</v>
      </c>
      <c r="N618" s="6" t="str">
        <f t="shared" si="39"/>
        <v>profit</v>
      </c>
    </row>
    <row r="619" spans="1:14" ht="16.5" thickTop="1" thickBot="1" x14ac:dyDescent="0.3">
      <c r="A619" s="4">
        <v>45574</v>
      </c>
      <c r="B619" s="4" t="s">
        <v>85</v>
      </c>
      <c r="C619" s="5" t="s">
        <v>334</v>
      </c>
      <c r="D619" s="5" t="s">
        <v>33</v>
      </c>
      <c r="E619" s="5" t="s">
        <v>120</v>
      </c>
      <c r="F619" s="5" t="s">
        <v>18</v>
      </c>
      <c r="G619" s="5" t="s">
        <v>19</v>
      </c>
      <c r="H619" s="5">
        <v>85</v>
      </c>
      <c r="I619" s="5">
        <v>541</v>
      </c>
      <c r="J619" s="5">
        <v>1331</v>
      </c>
      <c r="K619" s="6">
        <f t="shared" si="36"/>
        <v>45985</v>
      </c>
      <c r="L619" s="6">
        <f t="shared" si="37"/>
        <v>113135</v>
      </c>
      <c r="M619" s="6">
        <f t="shared" si="38"/>
        <v>67150</v>
      </c>
      <c r="N619" s="6" t="str">
        <f t="shared" si="39"/>
        <v>profit</v>
      </c>
    </row>
    <row r="620" spans="1:14" ht="16.5" thickTop="1" thickBot="1" x14ac:dyDescent="0.3">
      <c r="A620" s="4">
        <v>45575</v>
      </c>
      <c r="B620" s="4" t="s">
        <v>85</v>
      </c>
      <c r="C620" s="5" t="s">
        <v>335</v>
      </c>
      <c r="D620" s="5" t="s">
        <v>33</v>
      </c>
      <c r="E620" s="5" t="s">
        <v>120</v>
      </c>
      <c r="F620" s="5" t="s">
        <v>21</v>
      </c>
      <c r="G620" s="5" t="s">
        <v>19</v>
      </c>
      <c r="H620" s="5">
        <v>56</v>
      </c>
      <c r="I620" s="5">
        <v>611</v>
      </c>
      <c r="J620" s="5">
        <v>1240</v>
      </c>
      <c r="K620" s="6">
        <f t="shared" si="36"/>
        <v>34216</v>
      </c>
      <c r="L620" s="6">
        <f t="shared" si="37"/>
        <v>69440</v>
      </c>
      <c r="M620" s="6">
        <f t="shared" si="38"/>
        <v>35224</v>
      </c>
      <c r="N620" s="6" t="str">
        <f t="shared" si="39"/>
        <v>profit</v>
      </c>
    </row>
    <row r="621" spans="1:14" ht="16.5" thickTop="1" thickBot="1" x14ac:dyDescent="0.3">
      <c r="A621" s="4">
        <v>45671</v>
      </c>
      <c r="B621" s="4" t="s">
        <v>95</v>
      </c>
      <c r="C621" s="5" t="s">
        <v>231</v>
      </c>
      <c r="D621" s="5" t="s">
        <v>33</v>
      </c>
      <c r="E621" s="5" t="s">
        <v>120</v>
      </c>
      <c r="F621" s="5" t="s">
        <v>60</v>
      </c>
      <c r="G621" s="5" t="s">
        <v>28</v>
      </c>
      <c r="H621" s="5">
        <v>90</v>
      </c>
      <c r="I621" s="5">
        <v>554</v>
      </c>
      <c r="J621" s="5">
        <v>940</v>
      </c>
      <c r="K621" s="6">
        <f t="shared" si="36"/>
        <v>49860</v>
      </c>
      <c r="L621" s="6">
        <f t="shared" si="37"/>
        <v>84600</v>
      </c>
      <c r="M621" s="6">
        <f t="shared" si="38"/>
        <v>34740</v>
      </c>
      <c r="N621" s="6" t="str">
        <f t="shared" si="39"/>
        <v>profit</v>
      </c>
    </row>
    <row r="622" spans="1:14" ht="16.5" thickTop="1" thickBot="1" x14ac:dyDescent="0.3">
      <c r="A622" s="4">
        <v>45576</v>
      </c>
      <c r="B622" s="4" t="s">
        <v>85</v>
      </c>
      <c r="C622" s="5" t="s">
        <v>336</v>
      </c>
      <c r="D622" s="5" t="s">
        <v>33</v>
      </c>
      <c r="E622" s="5" t="s">
        <v>120</v>
      </c>
      <c r="F622" s="5" t="s">
        <v>23</v>
      </c>
      <c r="G622" s="5" t="s">
        <v>19</v>
      </c>
      <c r="H622" s="5">
        <v>91</v>
      </c>
      <c r="I622" s="5">
        <v>867</v>
      </c>
      <c r="J622" s="5">
        <v>957</v>
      </c>
      <c r="K622" s="6">
        <f t="shared" si="36"/>
        <v>78897</v>
      </c>
      <c r="L622" s="6">
        <f t="shared" si="37"/>
        <v>87087</v>
      </c>
      <c r="M622" s="6">
        <f t="shared" si="38"/>
        <v>8190</v>
      </c>
      <c r="N622" s="6" t="str">
        <f t="shared" si="39"/>
        <v>profit</v>
      </c>
    </row>
    <row r="623" spans="1:14" ht="16.5" thickTop="1" thickBot="1" x14ac:dyDescent="0.3">
      <c r="A623" s="4">
        <v>45577</v>
      </c>
      <c r="B623" s="4" t="s">
        <v>85</v>
      </c>
      <c r="C623" s="5" t="s">
        <v>337</v>
      </c>
      <c r="D623" s="5" t="s">
        <v>33</v>
      </c>
      <c r="E623" s="5" t="s">
        <v>120</v>
      </c>
      <c r="F623" s="5" t="s">
        <v>25</v>
      </c>
      <c r="G623" s="5" t="s">
        <v>19</v>
      </c>
      <c r="H623" s="5">
        <v>95</v>
      </c>
      <c r="I623" s="5">
        <v>508</v>
      </c>
      <c r="J623" s="5">
        <v>783</v>
      </c>
      <c r="K623" s="6">
        <f t="shared" si="36"/>
        <v>48260</v>
      </c>
      <c r="L623" s="6">
        <f t="shared" si="37"/>
        <v>74385</v>
      </c>
      <c r="M623" s="6">
        <f t="shared" si="38"/>
        <v>26125</v>
      </c>
      <c r="N623" s="6" t="str">
        <f t="shared" si="39"/>
        <v>profit</v>
      </c>
    </row>
    <row r="624" spans="1:14" ht="16.5" thickTop="1" thickBot="1" x14ac:dyDescent="0.3">
      <c r="A624" s="4">
        <v>45579</v>
      </c>
      <c r="B624" s="4" t="s">
        <v>85</v>
      </c>
      <c r="C624" s="5" t="s">
        <v>338</v>
      </c>
      <c r="D624" s="5" t="s">
        <v>33</v>
      </c>
      <c r="E624" s="5" t="s">
        <v>120</v>
      </c>
      <c r="F624" s="5" t="s">
        <v>27</v>
      </c>
      <c r="G624" s="5" t="s">
        <v>28</v>
      </c>
      <c r="H624" s="5">
        <v>75</v>
      </c>
      <c r="I624" s="5">
        <v>549</v>
      </c>
      <c r="J624" s="5">
        <v>1108</v>
      </c>
      <c r="K624" s="6">
        <f t="shared" si="36"/>
        <v>41175</v>
      </c>
      <c r="L624" s="6">
        <f t="shared" si="37"/>
        <v>83100</v>
      </c>
      <c r="M624" s="6">
        <f t="shared" si="38"/>
        <v>41925</v>
      </c>
      <c r="N624" s="6" t="str">
        <f t="shared" si="39"/>
        <v>profit</v>
      </c>
    </row>
    <row r="625" spans="1:14" ht="16.5" thickTop="1" thickBot="1" x14ac:dyDescent="0.3">
      <c r="A625" s="4">
        <v>45592</v>
      </c>
      <c r="B625" s="4" t="s">
        <v>85</v>
      </c>
      <c r="C625" s="5" t="s">
        <v>339</v>
      </c>
      <c r="D625" s="5" t="s">
        <v>33</v>
      </c>
      <c r="E625" s="5" t="s">
        <v>34</v>
      </c>
      <c r="F625" s="5" t="s">
        <v>113</v>
      </c>
      <c r="G625" s="5" t="s">
        <v>28</v>
      </c>
      <c r="H625" s="5">
        <v>95</v>
      </c>
      <c r="I625" s="5">
        <v>845</v>
      </c>
      <c r="J625" s="5">
        <v>1102</v>
      </c>
      <c r="K625" s="6">
        <f t="shared" si="36"/>
        <v>80275</v>
      </c>
      <c r="L625" s="6">
        <f t="shared" si="37"/>
        <v>104690</v>
      </c>
      <c r="M625" s="6">
        <f t="shared" si="38"/>
        <v>24415</v>
      </c>
      <c r="N625" s="6" t="str">
        <f t="shared" si="39"/>
        <v>profit</v>
      </c>
    </row>
    <row r="626" spans="1:14" ht="16.5" thickTop="1" thickBot="1" x14ac:dyDescent="0.3">
      <c r="A626" s="4">
        <v>45593</v>
      </c>
      <c r="B626" s="4" t="s">
        <v>85</v>
      </c>
      <c r="C626" s="5" t="s">
        <v>340</v>
      </c>
      <c r="D626" s="5" t="s">
        <v>33</v>
      </c>
      <c r="E626" s="5" t="s">
        <v>34</v>
      </c>
      <c r="F626" s="5" t="s">
        <v>44</v>
      </c>
      <c r="G626" s="5" t="s">
        <v>28</v>
      </c>
      <c r="H626" s="5">
        <v>86</v>
      </c>
      <c r="I626" s="5">
        <v>949</v>
      </c>
      <c r="J626" s="5">
        <v>924</v>
      </c>
      <c r="K626" s="6">
        <f t="shared" si="36"/>
        <v>81614</v>
      </c>
      <c r="L626" s="6">
        <f t="shared" si="37"/>
        <v>79464</v>
      </c>
      <c r="M626" s="6">
        <f t="shared" si="38"/>
        <v>-2150</v>
      </c>
      <c r="N626" s="6" t="str">
        <f t="shared" si="39"/>
        <v>loss</v>
      </c>
    </row>
    <row r="627" spans="1:14" ht="16.5" thickTop="1" thickBot="1" x14ac:dyDescent="0.3">
      <c r="A627" s="4">
        <v>45677</v>
      </c>
      <c r="B627" s="4" t="s">
        <v>95</v>
      </c>
      <c r="C627" s="5" t="s">
        <v>129</v>
      </c>
      <c r="D627" s="5" t="s">
        <v>16</v>
      </c>
      <c r="E627" s="5" t="s">
        <v>37</v>
      </c>
      <c r="F627" s="5" t="s">
        <v>155</v>
      </c>
      <c r="G627" s="5" t="s">
        <v>19</v>
      </c>
      <c r="H627" s="5">
        <v>11</v>
      </c>
      <c r="I627" s="5">
        <v>587</v>
      </c>
      <c r="J627" s="5">
        <v>1386</v>
      </c>
      <c r="K627" s="6">
        <f t="shared" si="36"/>
        <v>6457</v>
      </c>
      <c r="L627" s="6">
        <f t="shared" si="37"/>
        <v>15246</v>
      </c>
      <c r="M627" s="6">
        <f t="shared" si="38"/>
        <v>8789</v>
      </c>
      <c r="N627" s="6" t="str">
        <f t="shared" si="39"/>
        <v>profit</v>
      </c>
    </row>
    <row r="628" spans="1:14" ht="16.5" thickTop="1" thickBot="1" x14ac:dyDescent="0.3">
      <c r="A628" s="4">
        <v>45594</v>
      </c>
      <c r="B628" s="4" t="s">
        <v>85</v>
      </c>
      <c r="C628" s="5" t="s">
        <v>341</v>
      </c>
      <c r="D628" s="5" t="s">
        <v>33</v>
      </c>
      <c r="E628" s="5" t="s">
        <v>34</v>
      </c>
      <c r="F628" s="5" t="s">
        <v>153</v>
      </c>
      <c r="G628" s="5" t="s">
        <v>19</v>
      </c>
      <c r="H628" s="5">
        <v>73</v>
      </c>
      <c r="I628" s="5">
        <v>801</v>
      </c>
      <c r="J628" s="5">
        <v>1092</v>
      </c>
      <c r="K628" s="6">
        <f t="shared" si="36"/>
        <v>58473</v>
      </c>
      <c r="L628" s="6">
        <f t="shared" si="37"/>
        <v>79716</v>
      </c>
      <c r="M628" s="6">
        <f t="shared" si="38"/>
        <v>21243</v>
      </c>
      <c r="N628" s="6" t="str">
        <f t="shared" si="39"/>
        <v>profit</v>
      </c>
    </row>
    <row r="629" spans="1:14" ht="16.5" thickTop="1" thickBot="1" x14ac:dyDescent="0.3">
      <c r="A629" s="4">
        <v>45595</v>
      </c>
      <c r="B629" s="4" t="s">
        <v>85</v>
      </c>
      <c r="C629" s="5" t="s">
        <v>342</v>
      </c>
      <c r="D629" s="5" t="s">
        <v>33</v>
      </c>
      <c r="E629" s="5" t="s">
        <v>34</v>
      </c>
      <c r="F629" s="5" t="s">
        <v>155</v>
      </c>
      <c r="G629" s="5" t="s">
        <v>28</v>
      </c>
      <c r="H629" s="5">
        <v>70</v>
      </c>
      <c r="I629" s="5">
        <v>699</v>
      </c>
      <c r="J629" s="5">
        <v>1090</v>
      </c>
      <c r="K629" s="6">
        <f t="shared" si="36"/>
        <v>48930</v>
      </c>
      <c r="L629" s="6">
        <f t="shared" si="37"/>
        <v>76300</v>
      </c>
      <c r="M629" s="6">
        <f t="shared" si="38"/>
        <v>27370</v>
      </c>
      <c r="N629" s="6" t="str">
        <f t="shared" si="39"/>
        <v>profit</v>
      </c>
    </row>
    <row r="630" spans="1:14" ht="16.5" thickTop="1" thickBot="1" x14ac:dyDescent="0.3">
      <c r="A630" s="4">
        <v>45603</v>
      </c>
      <c r="B630" s="4" t="s">
        <v>161</v>
      </c>
      <c r="C630" s="5" t="s">
        <v>343</v>
      </c>
      <c r="D630" s="5" t="s">
        <v>33</v>
      </c>
      <c r="E630" s="5" t="s">
        <v>163</v>
      </c>
      <c r="F630" s="5" t="s">
        <v>25</v>
      </c>
      <c r="G630" s="5" t="s">
        <v>19</v>
      </c>
      <c r="H630" s="5">
        <v>67</v>
      </c>
      <c r="I630" s="5">
        <v>674</v>
      </c>
      <c r="J630" s="5">
        <v>1413</v>
      </c>
      <c r="K630" s="6">
        <f t="shared" si="36"/>
        <v>45158</v>
      </c>
      <c r="L630" s="6">
        <f t="shared" si="37"/>
        <v>94671</v>
      </c>
      <c r="M630" s="6">
        <f t="shared" si="38"/>
        <v>49513</v>
      </c>
      <c r="N630" s="6" t="str">
        <f t="shared" si="39"/>
        <v>profit</v>
      </c>
    </row>
    <row r="631" spans="1:14" ht="16.5" thickTop="1" thickBot="1" x14ac:dyDescent="0.3">
      <c r="A631" s="4">
        <v>45604</v>
      </c>
      <c r="B631" s="4" t="s">
        <v>161</v>
      </c>
      <c r="C631" s="5" t="s">
        <v>344</v>
      </c>
      <c r="D631" s="5" t="s">
        <v>33</v>
      </c>
      <c r="E631" s="5" t="s">
        <v>163</v>
      </c>
      <c r="F631" s="5" t="s">
        <v>76</v>
      </c>
      <c r="G631" s="5" t="s">
        <v>19</v>
      </c>
      <c r="H631" s="5">
        <v>55</v>
      </c>
      <c r="I631" s="5">
        <v>599</v>
      </c>
      <c r="J631" s="5">
        <v>1482</v>
      </c>
      <c r="K631" s="6">
        <f t="shared" si="36"/>
        <v>32945</v>
      </c>
      <c r="L631" s="6">
        <f t="shared" si="37"/>
        <v>81510</v>
      </c>
      <c r="M631" s="6">
        <f t="shared" si="38"/>
        <v>48565</v>
      </c>
      <c r="N631" s="6" t="str">
        <f t="shared" si="39"/>
        <v>profit</v>
      </c>
    </row>
    <row r="632" spans="1:14" ht="16.5" thickTop="1" thickBot="1" x14ac:dyDescent="0.3">
      <c r="A632" s="4">
        <v>45606</v>
      </c>
      <c r="B632" s="4" t="s">
        <v>161</v>
      </c>
      <c r="C632" s="5" t="s">
        <v>345</v>
      </c>
      <c r="D632" s="5" t="s">
        <v>33</v>
      </c>
      <c r="E632" s="5" t="s">
        <v>163</v>
      </c>
      <c r="F632" s="5" t="s">
        <v>44</v>
      </c>
      <c r="G632" s="5" t="s">
        <v>19</v>
      </c>
      <c r="H632" s="5">
        <v>90</v>
      </c>
      <c r="I632" s="5">
        <v>962</v>
      </c>
      <c r="J632" s="5">
        <v>1495</v>
      </c>
      <c r="K632" s="6">
        <f t="shared" si="36"/>
        <v>86580</v>
      </c>
      <c r="L632" s="6">
        <f t="shared" si="37"/>
        <v>134550</v>
      </c>
      <c r="M632" s="6">
        <f t="shared" si="38"/>
        <v>47970</v>
      </c>
      <c r="N632" s="6" t="str">
        <f t="shared" si="39"/>
        <v>profit</v>
      </c>
    </row>
    <row r="633" spans="1:14" ht="16.5" thickTop="1" thickBot="1" x14ac:dyDescent="0.3">
      <c r="A633" s="4">
        <v>45683</v>
      </c>
      <c r="B633" s="4" t="s">
        <v>95</v>
      </c>
      <c r="C633" s="5" t="s">
        <v>243</v>
      </c>
      <c r="D633" s="5" t="s">
        <v>16</v>
      </c>
      <c r="E633" s="5" t="s">
        <v>37</v>
      </c>
      <c r="F633" s="5" t="s">
        <v>27</v>
      </c>
      <c r="G633" s="5" t="s">
        <v>19</v>
      </c>
      <c r="H633" s="5">
        <v>18</v>
      </c>
      <c r="I633" s="5">
        <v>910</v>
      </c>
      <c r="J633" s="5">
        <v>1065</v>
      </c>
      <c r="K633" s="6">
        <f t="shared" si="36"/>
        <v>16380</v>
      </c>
      <c r="L633" s="6">
        <f t="shared" si="37"/>
        <v>19170</v>
      </c>
      <c r="M633" s="6">
        <f t="shared" si="38"/>
        <v>2790</v>
      </c>
      <c r="N633" s="6" t="str">
        <f t="shared" si="39"/>
        <v>profit</v>
      </c>
    </row>
    <row r="634" spans="1:14" ht="16.5" thickTop="1" thickBot="1" x14ac:dyDescent="0.3">
      <c r="A634" s="4">
        <v>45607</v>
      </c>
      <c r="B634" s="4" t="s">
        <v>161</v>
      </c>
      <c r="C634" s="5" t="s">
        <v>346</v>
      </c>
      <c r="D634" s="5" t="s">
        <v>33</v>
      </c>
      <c r="E634" s="5" t="s">
        <v>163</v>
      </c>
      <c r="F634" s="5" t="s">
        <v>25</v>
      </c>
      <c r="G634" s="5" t="s">
        <v>19</v>
      </c>
      <c r="H634" s="5">
        <v>71</v>
      </c>
      <c r="I634" s="5">
        <v>739</v>
      </c>
      <c r="J634" s="5">
        <v>1353</v>
      </c>
      <c r="K634" s="6">
        <f t="shared" si="36"/>
        <v>52469</v>
      </c>
      <c r="L634" s="6">
        <f t="shared" si="37"/>
        <v>96063</v>
      </c>
      <c r="M634" s="6">
        <f t="shared" si="38"/>
        <v>43594</v>
      </c>
      <c r="N634" s="6" t="str">
        <f t="shared" si="39"/>
        <v>profit</v>
      </c>
    </row>
    <row r="635" spans="1:14" ht="16.5" thickTop="1" thickBot="1" x14ac:dyDescent="0.3">
      <c r="A635" s="4">
        <v>45608</v>
      </c>
      <c r="B635" s="4" t="s">
        <v>161</v>
      </c>
      <c r="C635" s="5" t="s">
        <v>347</v>
      </c>
      <c r="D635" s="5" t="s">
        <v>33</v>
      </c>
      <c r="E635" s="5" t="s">
        <v>163</v>
      </c>
      <c r="F635" s="5" t="s">
        <v>64</v>
      </c>
      <c r="G635" s="5" t="s">
        <v>19</v>
      </c>
      <c r="H635" s="5">
        <v>63</v>
      </c>
      <c r="I635" s="5">
        <v>691</v>
      </c>
      <c r="J635" s="5">
        <v>1058</v>
      </c>
      <c r="K635" s="6">
        <f t="shared" si="36"/>
        <v>43533</v>
      </c>
      <c r="L635" s="6">
        <f t="shared" si="37"/>
        <v>66654</v>
      </c>
      <c r="M635" s="6">
        <f t="shared" si="38"/>
        <v>23121</v>
      </c>
      <c r="N635" s="6" t="str">
        <f t="shared" si="39"/>
        <v>profit</v>
      </c>
    </row>
    <row r="636" spans="1:14" ht="16.5" thickTop="1" thickBot="1" x14ac:dyDescent="0.3">
      <c r="A636" s="4">
        <v>45636</v>
      </c>
      <c r="B636" s="4" t="s">
        <v>190</v>
      </c>
      <c r="C636" s="5" t="s">
        <v>192</v>
      </c>
      <c r="D636" s="5" t="s">
        <v>33</v>
      </c>
      <c r="E636" s="5" t="s">
        <v>99</v>
      </c>
      <c r="F636" s="5" t="s">
        <v>18</v>
      </c>
      <c r="G636" s="5" t="s">
        <v>28</v>
      </c>
      <c r="H636" s="5">
        <v>99</v>
      </c>
      <c r="I636" s="5">
        <v>705</v>
      </c>
      <c r="J636" s="5">
        <v>1356</v>
      </c>
      <c r="K636" s="6">
        <f t="shared" si="36"/>
        <v>69795</v>
      </c>
      <c r="L636" s="6">
        <f t="shared" si="37"/>
        <v>134244</v>
      </c>
      <c r="M636" s="6">
        <f t="shared" si="38"/>
        <v>64449</v>
      </c>
      <c r="N636" s="6" t="str">
        <f t="shared" si="39"/>
        <v>profit</v>
      </c>
    </row>
    <row r="637" spans="1:14" ht="16.5" thickTop="1" thickBot="1" x14ac:dyDescent="0.3">
      <c r="A637" s="4">
        <v>45687</v>
      </c>
      <c r="B637" s="4" t="s">
        <v>95</v>
      </c>
      <c r="C637" s="5" t="s">
        <v>247</v>
      </c>
      <c r="D637" s="5" t="s">
        <v>16</v>
      </c>
      <c r="E637" s="5" t="s">
        <v>37</v>
      </c>
      <c r="F637" s="5" t="s">
        <v>30</v>
      </c>
      <c r="G637" s="5" t="s">
        <v>28</v>
      </c>
      <c r="H637" s="5">
        <v>11</v>
      </c>
      <c r="I637" s="5">
        <v>543</v>
      </c>
      <c r="J637" s="5">
        <v>1153</v>
      </c>
      <c r="K637" s="6">
        <f t="shared" si="36"/>
        <v>5973</v>
      </c>
      <c r="L637" s="6">
        <f t="shared" si="37"/>
        <v>12683</v>
      </c>
      <c r="M637" s="6">
        <f t="shared" si="38"/>
        <v>6710</v>
      </c>
      <c r="N637" s="6" t="str">
        <f t="shared" si="39"/>
        <v>profit</v>
      </c>
    </row>
    <row r="638" spans="1:14" ht="16.5" thickTop="1" thickBot="1" x14ac:dyDescent="0.3">
      <c r="A638" s="4">
        <v>45638</v>
      </c>
      <c r="B638" s="4" t="s">
        <v>190</v>
      </c>
      <c r="C638" s="5" t="s">
        <v>348</v>
      </c>
      <c r="D638" s="5" t="s">
        <v>33</v>
      </c>
      <c r="E638" s="5" t="s">
        <v>99</v>
      </c>
      <c r="F638" s="5" t="s">
        <v>23</v>
      </c>
      <c r="G638" s="5" t="s">
        <v>19</v>
      </c>
      <c r="H638" s="5">
        <v>74</v>
      </c>
      <c r="I638" s="5">
        <v>922</v>
      </c>
      <c r="J638" s="5">
        <v>970</v>
      </c>
      <c r="K638" s="6">
        <f t="shared" si="36"/>
        <v>68228</v>
      </c>
      <c r="L638" s="6">
        <f t="shared" si="37"/>
        <v>71780</v>
      </c>
      <c r="M638" s="6">
        <f t="shared" si="38"/>
        <v>3552</v>
      </c>
      <c r="N638" s="6" t="str">
        <f t="shared" si="39"/>
        <v>profit</v>
      </c>
    </row>
    <row r="639" spans="1:14" ht="16.5" thickTop="1" thickBot="1" x14ac:dyDescent="0.3">
      <c r="A639" s="4">
        <v>45639</v>
      </c>
      <c r="B639" s="4" t="s">
        <v>190</v>
      </c>
      <c r="C639" s="5" t="s">
        <v>349</v>
      </c>
      <c r="D639" s="5" t="s">
        <v>33</v>
      </c>
      <c r="E639" s="5" t="s">
        <v>99</v>
      </c>
      <c r="F639" s="5" t="s">
        <v>25</v>
      </c>
      <c r="G639" s="5" t="s">
        <v>19</v>
      </c>
      <c r="H639" s="5">
        <v>72</v>
      </c>
      <c r="I639" s="5">
        <v>560</v>
      </c>
      <c r="J639" s="5">
        <v>918</v>
      </c>
      <c r="K639" s="6">
        <f t="shared" si="36"/>
        <v>40320</v>
      </c>
      <c r="L639" s="6">
        <f t="shared" si="37"/>
        <v>66096</v>
      </c>
      <c r="M639" s="6">
        <f t="shared" si="38"/>
        <v>25776</v>
      </c>
      <c r="N639" s="6" t="str">
        <f t="shared" si="39"/>
        <v>profit</v>
      </c>
    </row>
    <row r="640" spans="1:14" ht="16.5" thickTop="1" thickBot="1" x14ac:dyDescent="0.3">
      <c r="A640" s="4">
        <v>45640</v>
      </c>
      <c r="B640" s="4" t="s">
        <v>190</v>
      </c>
      <c r="C640" s="5" t="s">
        <v>350</v>
      </c>
      <c r="D640" s="5" t="s">
        <v>33</v>
      </c>
      <c r="E640" s="5" t="s">
        <v>99</v>
      </c>
      <c r="F640" s="5" t="s">
        <v>35</v>
      </c>
      <c r="G640" s="5" t="s">
        <v>19</v>
      </c>
      <c r="H640" s="5">
        <v>59</v>
      </c>
      <c r="I640" s="5">
        <v>834</v>
      </c>
      <c r="J640" s="5">
        <v>951</v>
      </c>
      <c r="K640" s="6">
        <f t="shared" si="36"/>
        <v>49206</v>
      </c>
      <c r="L640" s="6">
        <f t="shared" si="37"/>
        <v>56109</v>
      </c>
      <c r="M640" s="6">
        <f t="shared" si="38"/>
        <v>6903</v>
      </c>
      <c r="N640" s="6" t="str">
        <f t="shared" si="39"/>
        <v>profit</v>
      </c>
    </row>
    <row r="641" spans="1:14" ht="16.5" thickTop="1" thickBot="1" x14ac:dyDescent="0.3">
      <c r="A641" s="4">
        <v>45641</v>
      </c>
      <c r="B641" s="4" t="s">
        <v>190</v>
      </c>
      <c r="C641" s="5" t="s">
        <v>351</v>
      </c>
      <c r="D641" s="5" t="s">
        <v>33</v>
      </c>
      <c r="E641" s="5" t="s">
        <v>99</v>
      </c>
      <c r="F641" s="5" t="s">
        <v>39</v>
      </c>
      <c r="G641" s="5" t="s">
        <v>19</v>
      </c>
      <c r="H641" s="5">
        <v>83</v>
      </c>
      <c r="I641" s="5">
        <v>840</v>
      </c>
      <c r="J641" s="5">
        <v>828</v>
      </c>
      <c r="K641" s="6">
        <f t="shared" si="36"/>
        <v>69720</v>
      </c>
      <c r="L641" s="6">
        <f t="shared" si="37"/>
        <v>68724</v>
      </c>
      <c r="M641" s="6">
        <f t="shared" si="38"/>
        <v>-996</v>
      </c>
      <c r="N641" s="6" t="str">
        <f t="shared" si="39"/>
        <v>loss</v>
      </c>
    </row>
    <row r="642" spans="1:14" ht="16.5" thickTop="1" thickBot="1" x14ac:dyDescent="0.3">
      <c r="A642" s="4">
        <v>45643</v>
      </c>
      <c r="B642" s="4" t="s">
        <v>190</v>
      </c>
      <c r="C642" s="5" t="s">
        <v>352</v>
      </c>
      <c r="D642" s="5" t="s">
        <v>33</v>
      </c>
      <c r="E642" s="5" t="s">
        <v>99</v>
      </c>
      <c r="F642" s="5" t="s">
        <v>64</v>
      </c>
      <c r="G642" s="5" t="s">
        <v>19</v>
      </c>
      <c r="H642" s="5">
        <v>64</v>
      </c>
      <c r="I642" s="5">
        <v>965</v>
      </c>
      <c r="J642" s="5">
        <v>1357</v>
      </c>
      <c r="K642" s="6">
        <f t="shared" ref="K642:K705" si="40">H642*I642</f>
        <v>61760</v>
      </c>
      <c r="L642" s="6">
        <f t="shared" ref="L642:L705" si="41">H642*J642</f>
        <v>86848</v>
      </c>
      <c r="M642" s="6">
        <f t="shared" ref="M642:M705" si="42">L642-K642</f>
        <v>25088</v>
      </c>
      <c r="N642" s="6" t="str">
        <f t="shared" ref="N642:N705" si="43">IF(M642&gt;0,"profit","loss")</f>
        <v>profit</v>
      </c>
    </row>
    <row r="643" spans="1:14" ht="16.5" thickTop="1" thickBot="1" x14ac:dyDescent="0.3">
      <c r="A643" s="4">
        <v>45644</v>
      </c>
      <c r="B643" s="4" t="s">
        <v>190</v>
      </c>
      <c r="C643" s="5" t="s">
        <v>353</v>
      </c>
      <c r="D643" s="5" t="s">
        <v>33</v>
      </c>
      <c r="E643" s="5" t="s">
        <v>99</v>
      </c>
      <c r="F643" s="5" t="s">
        <v>64</v>
      </c>
      <c r="G643" s="5" t="s">
        <v>19</v>
      </c>
      <c r="H643" s="5">
        <v>59</v>
      </c>
      <c r="I643" s="5">
        <v>671</v>
      </c>
      <c r="J643" s="5">
        <v>1410</v>
      </c>
      <c r="K643" s="6">
        <f t="shared" si="40"/>
        <v>39589</v>
      </c>
      <c r="L643" s="6">
        <f t="shared" si="41"/>
        <v>83190</v>
      </c>
      <c r="M643" s="6">
        <f t="shared" si="42"/>
        <v>43601</v>
      </c>
      <c r="N643" s="6" t="str">
        <f t="shared" si="43"/>
        <v>profit</v>
      </c>
    </row>
    <row r="644" spans="1:14" ht="16.5" thickTop="1" thickBot="1" x14ac:dyDescent="0.3">
      <c r="A644" s="4">
        <v>45645</v>
      </c>
      <c r="B644" s="4" t="s">
        <v>190</v>
      </c>
      <c r="C644" s="5" t="s">
        <v>354</v>
      </c>
      <c r="D644" s="5" t="s">
        <v>33</v>
      </c>
      <c r="E644" s="5" t="s">
        <v>99</v>
      </c>
      <c r="F644" s="5" t="s">
        <v>60</v>
      </c>
      <c r="G644" s="5" t="s">
        <v>19</v>
      </c>
      <c r="H644" s="5">
        <v>85</v>
      </c>
      <c r="I644" s="5">
        <v>761</v>
      </c>
      <c r="J644" s="5">
        <v>926</v>
      </c>
      <c r="K644" s="6">
        <f t="shared" si="40"/>
        <v>64685</v>
      </c>
      <c r="L644" s="6">
        <f t="shared" si="41"/>
        <v>78710</v>
      </c>
      <c r="M644" s="6">
        <f t="shared" si="42"/>
        <v>14025</v>
      </c>
      <c r="N644" s="6" t="str">
        <f t="shared" si="43"/>
        <v>profit</v>
      </c>
    </row>
    <row r="645" spans="1:14" ht="16.5" thickTop="1" thickBot="1" x14ac:dyDescent="0.3">
      <c r="A645" s="4">
        <v>45647</v>
      </c>
      <c r="B645" s="4" t="s">
        <v>190</v>
      </c>
      <c r="C645" s="5" t="s">
        <v>355</v>
      </c>
      <c r="D645" s="5" t="s">
        <v>33</v>
      </c>
      <c r="E645" s="5" t="s">
        <v>99</v>
      </c>
      <c r="F645" s="5" t="s">
        <v>30</v>
      </c>
      <c r="G645" s="5" t="s">
        <v>19</v>
      </c>
      <c r="H645" s="5">
        <v>81</v>
      </c>
      <c r="I645" s="5">
        <v>522</v>
      </c>
      <c r="J645" s="5">
        <v>1238</v>
      </c>
      <c r="K645" s="6">
        <f t="shared" si="40"/>
        <v>42282</v>
      </c>
      <c r="L645" s="6">
        <f t="shared" si="41"/>
        <v>100278</v>
      </c>
      <c r="M645" s="6">
        <f t="shared" si="42"/>
        <v>57996</v>
      </c>
      <c r="N645" s="6" t="str">
        <f t="shared" si="43"/>
        <v>profit</v>
      </c>
    </row>
    <row r="646" spans="1:14" ht="16.5" thickTop="1" thickBot="1" x14ac:dyDescent="0.3">
      <c r="A646" s="4">
        <v>45649</v>
      </c>
      <c r="B646" s="4" t="s">
        <v>190</v>
      </c>
      <c r="C646" s="5" t="s">
        <v>356</v>
      </c>
      <c r="D646" s="5" t="s">
        <v>33</v>
      </c>
      <c r="E646" s="5" t="s">
        <v>120</v>
      </c>
      <c r="F646" s="5" t="s">
        <v>44</v>
      </c>
      <c r="G646" s="5" t="s">
        <v>19</v>
      </c>
      <c r="H646" s="5">
        <v>72</v>
      </c>
      <c r="I646" s="5">
        <v>943</v>
      </c>
      <c r="J646" s="5">
        <v>1233</v>
      </c>
      <c r="K646" s="6">
        <f t="shared" si="40"/>
        <v>67896</v>
      </c>
      <c r="L646" s="6">
        <f t="shared" si="41"/>
        <v>88776</v>
      </c>
      <c r="M646" s="6">
        <f t="shared" si="42"/>
        <v>20880</v>
      </c>
      <c r="N646" s="6" t="str">
        <f t="shared" si="43"/>
        <v>profit</v>
      </c>
    </row>
    <row r="647" spans="1:14" ht="16.5" thickTop="1" thickBot="1" x14ac:dyDescent="0.3">
      <c r="A647" s="4">
        <v>45650</v>
      </c>
      <c r="B647" s="4" t="s">
        <v>190</v>
      </c>
      <c r="C647" s="5" t="s">
        <v>357</v>
      </c>
      <c r="D647" s="5" t="s">
        <v>33</v>
      </c>
      <c r="E647" s="5" t="s">
        <v>120</v>
      </c>
      <c r="F647" s="5" t="s">
        <v>153</v>
      </c>
      <c r="G647" s="5" t="s">
        <v>19</v>
      </c>
      <c r="H647" s="5">
        <v>67</v>
      </c>
      <c r="I647" s="5">
        <v>801</v>
      </c>
      <c r="J647" s="5">
        <v>1220</v>
      </c>
      <c r="K647" s="6">
        <f t="shared" si="40"/>
        <v>53667</v>
      </c>
      <c r="L647" s="6">
        <f t="shared" si="41"/>
        <v>81740</v>
      </c>
      <c r="M647" s="6">
        <f t="shared" si="42"/>
        <v>28073</v>
      </c>
      <c r="N647" s="6" t="str">
        <f t="shared" si="43"/>
        <v>profit</v>
      </c>
    </row>
    <row r="648" spans="1:14" ht="16.5" thickTop="1" thickBot="1" x14ac:dyDescent="0.3">
      <c r="A648" s="4">
        <v>45698</v>
      </c>
      <c r="B648" s="4" t="s">
        <v>239</v>
      </c>
      <c r="C648" s="5" t="s">
        <v>252</v>
      </c>
      <c r="D648" s="5" t="s">
        <v>46</v>
      </c>
      <c r="E648" s="5" t="s">
        <v>118</v>
      </c>
      <c r="F648" s="5" t="s">
        <v>30</v>
      </c>
      <c r="G648" s="5" t="s">
        <v>19</v>
      </c>
      <c r="H648" s="5">
        <v>29</v>
      </c>
      <c r="I648" s="5">
        <v>725</v>
      </c>
      <c r="J648" s="5">
        <v>792</v>
      </c>
      <c r="K648" s="6">
        <f t="shared" si="40"/>
        <v>21025</v>
      </c>
      <c r="L648" s="6">
        <f t="shared" si="41"/>
        <v>22968</v>
      </c>
      <c r="M648" s="6">
        <f t="shared" si="42"/>
        <v>1943</v>
      </c>
      <c r="N648" s="6" t="str">
        <f t="shared" si="43"/>
        <v>profit</v>
      </c>
    </row>
    <row r="649" spans="1:14" ht="16.5" thickTop="1" thickBot="1" x14ac:dyDescent="0.3">
      <c r="A649" s="4">
        <v>45651</v>
      </c>
      <c r="B649" s="4" t="s">
        <v>190</v>
      </c>
      <c r="C649" s="5" t="s">
        <v>358</v>
      </c>
      <c r="D649" s="5" t="s">
        <v>33</v>
      </c>
      <c r="E649" s="5" t="s">
        <v>120</v>
      </c>
      <c r="F649" s="5" t="s">
        <v>155</v>
      </c>
      <c r="G649" s="5" t="s">
        <v>19</v>
      </c>
      <c r="H649" s="5">
        <v>57</v>
      </c>
      <c r="I649" s="5">
        <v>647</v>
      </c>
      <c r="J649" s="5">
        <v>905</v>
      </c>
      <c r="K649" s="6">
        <f t="shared" si="40"/>
        <v>36879</v>
      </c>
      <c r="L649" s="6">
        <f t="shared" si="41"/>
        <v>51585</v>
      </c>
      <c r="M649" s="6">
        <f t="shared" si="42"/>
        <v>14706</v>
      </c>
      <c r="N649" s="6" t="str">
        <f t="shared" si="43"/>
        <v>profit</v>
      </c>
    </row>
    <row r="650" spans="1:14" ht="16.5" thickTop="1" thickBot="1" x14ac:dyDescent="0.3">
      <c r="A650" s="4">
        <v>45652</v>
      </c>
      <c r="B650" s="4" t="s">
        <v>190</v>
      </c>
      <c r="C650" s="5" t="s">
        <v>359</v>
      </c>
      <c r="D650" s="5" t="s">
        <v>33</v>
      </c>
      <c r="E650" s="5" t="s">
        <v>120</v>
      </c>
      <c r="F650" s="5" t="s">
        <v>18</v>
      </c>
      <c r="G650" s="5" t="s">
        <v>19</v>
      </c>
      <c r="H650" s="5">
        <v>91</v>
      </c>
      <c r="I650" s="5">
        <v>906</v>
      </c>
      <c r="J650" s="5">
        <v>925</v>
      </c>
      <c r="K650" s="6">
        <f t="shared" si="40"/>
        <v>82446</v>
      </c>
      <c r="L650" s="6">
        <f t="shared" si="41"/>
        <v>84175</v>
      </c>
      <c r="M650" s="6">
        <f t="shared" si="42"/>
        <v>1729</v>
      </c>
      <c r="N650" s="6" t="str">
        <f t="shared" si="43"/>
        <v>profit</v>
      </c>
    </row>
    <row r="651" spans="1:14" ht="16.5" thickTop="1" thickBot="1" x14ac:dyDescent="0.3">
      <c r="A651" s="4">
        <v>45654</v>
      </c>
      <c r="B651" s="4" t="s">
        <v>190</v>
      </c>
      <c r="C651" s="5" t="s">
        <v>360</v>
      </c>
      <c r="D651" s="5" t="s">
        <v>33</v>
      </c>
      <c r="E651" s="5" t="s">
        <v>120</v>
      </c>
      <c r="F651" s="5" t="s">
        <v>23</v>
      </c>
      <c r="G651" s="5" t="s">
        <v>28</v>
      </c>
      <c r="H651" s="5">
        <v>82</v>
      </c>
      <c r="I651" s="5">
        <v>955</v>
      </c>
      <c r="J651" s="5">
        <v>1218</v>
      </c>
      <c r="K651" s="6">
        <f t="shared" si="40"/>
        <v>78310</v>
      </c>
      <c r="L651" s="6">
        <f t="shared" si="41"/>
        <v>99876</v>
      </c>
      <c r="M651" s="6">
        <f t="shared" si="42"/>
        <v>21566</v>
      </c>
      <c r="N651" s="6" t="str">
        <f t="shared" si="43"/>
        <v>profit</v>
      </c>
    </row>
    <row r="652" spans="1:14" ht="16.5" thickTop="1" thickBot="1" x14ac:dyDescent="0.3">
      <c r="A652" s="4">
        <v>45702</v>
      </c>
      <c r="B652" s="4" t="s">
        <v>239</v>
      </c>
      <c r="C652" s="5" t="s">
        <v>253</v>
      </c>
      <c r="D652" s="5" t="s">
        <v>33</v>
      </c>
      <c r="E652" s="5" t="s">
        <v>99</v>
      </c>
      <c r="F652" s="5" t="s">
        <v>64</v>
      </c>
      <c r="G652" s="5" t="s">
        <v>19</v>
      </c>
      <c r="H652" s="5">
        <v>59</v>
      </c>
      <c r="I652" s="5">
        <v>725</v>
      </c>
      <c r="J652" s="5">
        <v>1113</v>
      </c>
      <c r="K652" s="6">
        <f t="shared" si="40"/>
        <v>42775</v>
      </c>
      <c r="L652" s="6">
        <f t="shared" si="41"/>
        <v>65667</v>
      </c>
      <c r="M652" s="6">
        <f t="shared" si="42"/>
        <v>22892</v>
      </c>
      <c r="N652" s="6" t="str">
        <f t="shared" si="43"/>
        <v>profit</v>
      </c>
    </row>
    <row r="653" spans="1:14" ht="16.5" thickTop="1" thickBot="1" x14ac:dyDescent="0.3">
      <c r="A653" s="4">
        <v>45655</v>
      </c>
      <c r="B653" s="4" t="s">
        <v>190</v>
      </c>
      <c r="C653" s="5" t="s">
        <v>361</v>
      </c>
      <c r="D653" s="5" t="s">
        <v>33</v>
      </c>
      <c r="E653" s="5" t="s">
        <v>120</v>
      </c>
      <c r="F653" s="5" t="s">
        <v>25</v>
      </c>
      <c r="G653" s="5" t="s">
        <v>28</v>
      </c>
      <c r="H653" s="5">
        <v>72</v>
      </c>
      <c r="I653" s="5">
        <v>829</v>
      </c>
      <c r="J653" s="5">
        <v>1165</v>
      </c>
      <c r="K653" s="6">
        <f t="shared" si="40"/>
        <v>59688</v>
      </c>
      <c r="L653" s="6">
        <f t="shared" si="41"/>
        <v>83880</v>
      </c>
      <c r="M653" s="6">
        <f t="shared" si="42"/>
        <v>24192</v>
      </c>
      <c r="N653" s="6" t="str">
        <f t="shared" si="43"/>
        <v>profit</v>
      </c>
    </row>
    <row r="654" spans="1:14" ht="16.5" thickTop="1" thickBot="1" x14ac:dyDescent="0.3">
      <c r="A654" s="4">
        <v>45656</v>
      </c>
      <c r="B654" s="4" t="s">
        <v>190</v>
      </c>
      <c r="C654" s="5" t="s">
        <v>362</v>
      </c>
      <c r="D654" s="5" t="s">
        <v>33</v>
      </c>
      <c r="E654" s="5" t="s">
        <v>120</v>
      </c>
      <c r="F654" s="5" t="s">
        <v>25</v>
      </c>
      <c r="G654" s="5" t="s">
        <v>28</v>
      </c>
      <c r="H654" s="5">
        <v>62</v>
      </c>
      <c r="I654" s="5">
        <v>680</v>
      </c>
      <c r="J654" s="5">
        <v>912</v>
      </c>
      <c r="K654" s="6">
        <f t="shared" si="40"/>
        <v>42160</v>
      </c>
      <c r="L654" s="6">
        <f t="shared" si="41"/>
        <v>56544</v>
      </c>
      <c r="M654" s="6">
        <f t="shared" si="42"/>
        <v>14384</v>
      </c>
      <c r="N654" s="6" t="str">
        <f t="shared" si="43"/>
        <v>profit</v>
      </c>
    </row>
    <row r="655" spans="1:14" ht="16.5" thickTop="1" thickBot="1" x14ac:dyDescent="0.3">
      <c r="A655" s="4">
        <v>45657</v>
      </c>
      <c r="B655" s="4" t="s">
        <v>190</v>
      </c>
      <c r="C655" s="5" t="s">
        <v>363</v>
      </c>
      <c r="D655" s="5" t="s">
        <v>33</v>
      </c>
      <c r="E655" s="5" t="s">
        <v>120</v>
      </c>
      <c r="F655" s="5" t="s">
        <v>27</v>
      </c>
      <c r="G655" s="5" t="s">
        <v>28</v>
      </c>
      <c r="H655" s="5">
        <v>67</v>
      </c>
      <c r="I655" s="5">
        <v>600</v>
      </c>
      <c r="J655" s="5">
        <v>1328</v>
      </c>
      <c r="K655" s="6">
        <f t="shared" si="40"/>
        <v>40200</v>
      </c>
      <c r="L655" s="6">
        <f t="shared" si="41"/>
        <v>88976</v>
      </c>
      <c r="M655" s="6">
        <f t="shared" si="42"/>
        <v>48776</v>
      </c>
      <c r="N655" s="6" t="str">
        <f t="shared" si="43"/>
        <v>profit</v>
      </c>
    </row>
    <row r="656" spans="1:14" ht="16.5" thickTop="1" thickBot="1" x14ac:dyDescent="0.3">
      <c r="A656" s="4">
        <v>45658</v>
      </c>
      <c r="B656" s="4" t="s">
        <v>95</v>
      </c>
      <c r="C656" s="5" t="s">
        <v>364</v>
      </c>
      <c r="D656" s="5" t="s">
        <v>33</v>
      </c>
      <c r="E656" s="5" t="s">
        <v>120</v>
      </c>
      <c r="F656" s="5" t="s">
        <v>30</v>
      </c>
      <c r="G656" s="5" t="s">
        <v>19</v>
      </c>
      <c r="H656" s="5">
        <v>97</v>
      </c>
      <c r="I656" s="5">
        <v>946</v>
      </c>
      <c r="J656" s="5">
        <v>1297</v>
      </c>
      <c r="K656" s="6">
        <f t="shared" si="40"/>
        <v>91762</v>
      </c>
      <c r="L656" s="6">
        <f t="shared" si="41"/>
        <v>125809</v>
      </c>
      <c r="M656" s="6">
        <f t="shared" si="42"/>
        <v>34047</v>
      </c>
      <c r="N656" s="6" t="str">
        <f t="shared" si="43"/>
        <v>profit</v>
      </c>
    </row>
    <row r="657" spans="1:14" ht="16.5" thickTop="1" thickBot="1" x14ac:dyDescent="0.3">
      <c r="A657" s="4">
        <v>45666</v>
      </c>
      <c r="B657" s="4" t="s">
        <v>95</v>
      </c>
      <c r="C657" s="5" t="s">
        <v>365</v>
      </c>
      <c r="D657" s="5" t="s">
        <v>33</v>
      </c>
      <c r="E657" s="5" t="s">
        <v>99</v>
      </c>
      <c r="F657" s="5" t="s">
        <v>35</v>
      </c>
      <c r="G657" s="5" t="s">
        <v>28</v>
      </c>
      <c r="H657" s="5">
        <v>62</v>
      </c>
      <c r="I657" s="5">
        <v>800</v>
      </c>
      <c r="J657" s="5">
        <v>882</v>
      </c>
      <c r="K657" s="6">
        <f t="shared" si="40"/>
        <v>49600</v>
      </c>
      <c r="L657" s="6">
        <f t="shared" si="41"/>
        <v>54684</v>
      </c>
      <c r="M657" s="6">
        <f t="shared" si="42"/>
        <v>5084</v>
      </c>
      <c r="N657" s="6" t="str">
        <f t="shared" si="43"/>
        <v>profit</v>
      </c>
    </row>
    <row r="658" spans="1:14" ht="16.5" thickTop="1" thickBot="1" x14ac:dyDescent="0.3">
      <c r="A658" s="4">
        <v>45667</v>
      </c>
      <c r="B658" s="4" t="s">
        <v>95</v>
      </c>
      <c r="C658" s="5" t="s">
        <v>366</v>
      </c>
      <c r="D658" s="5" t="s">
        <v>33</v>
      </c>
      <c r="E658" s="5" t="s">
        <v>99</v>
      </c>
      <c r="F658" s="5" t="s">
        <v>39</v>
      </c>
      <c r="G658" s="5" t="s">
        <v>28</v>
      </c>
      <c r="H658" s="5">
        <v>65</v>
      </c>
      <c r="I658" s="5">
        <v>875</v>
      </c>
      <c r="J658" s="5">
        <v>1361</v>
      </c>
      <c r="K658" s="6">
        <f t="shared" si="40"/>
        <v>56875</v>
      </c>
      <c r="L658" s="6">
        <f t="shared" si="41"/>
        <v>88465</v>
      </c>
      <c r="M658" s="6">
        <f t="shared" si="42"/>
        <v>31590</v>
      </c>
      <c r="N658" s="6" t="str">
        <f t="shared" si="43"/>
        <v>profit</v>
      </c>
    </row>
    <row r="659" spans="1:14" ht="16.5" thickTop="1" thickBot="1" x14ac:dyDescent="0.3">
      <c r="A659" s="4">
        <v>45709</v>
      </c>
      <c r="B659" s="4" t="s">
        <v>239</v>
      </c>
      <c r="C659" s="5" t="s">
        <v>254</v>
      </c>
      <c r="D659" s="5" t="s">
        <v>33</v>
      </c>
      <c r="E659" s="5" t="s">
        <v>99</v>
      </c>
      <c r="F659" s="5" t="s">
        <v>153</v>
      </c>
      <c r="G659" s="5" t="s">
        <v>28</v>
      </c>
      <c r="H659" s="5">
        <v>100</v>
      </c>
      <c r="I659" s="5">
        <v>831</v>
      </c>
      <c r="J659" s="5">
        <v>1466</v>
      </c>
      <c r="K659" s="6">
        <f t="shared" si="40"/>
        <v>83100</v>
      </c>
      <c r="L659" s="6">
        <f t="shared" si="41"/>
        <v>146600</v>
      </c>
      <c r="M659" s="6">
        <f t="shared" si="42"/>
        <v>63500</v>
      </c>
      <c r="N659" s="6" t="str">
        <f t="shared" si="43"/>
        <v>profit</v>
      </c>
    </row>
    <row r="660" spans="1:14" ht="16.5" thickTop="1" thickBot="1" x14ac:dyDescent="0.3">
      <c r="A660" s="4">
        <v>45668</v>
      </c>
      <c r="B660" s="4" t="s">
        <v>95</v>
      </c>
      <c r="C660" s="5" t="s">
        <v>367</v>
      </c>
      <c r="D660" s="5" t="s">
        <v>33</v>
      </c>
      <c r="E660" s="5" t="s">
        <v>99</v>
      </c>
      <c r="F660" s="5" t="s">
        <v>39</v>
      </c>
      <c r="G660" s="5" t="s">
        <v>28</v>
      </c>
      <c r="H660" s="5">
        <v>88</v>
      </c>
      <c r="I660" s="5">
        <v>823</v>
      </c>
      <c r="J660" s="5">
        <v>1026</v>
      </c>
      <c r="K660" s="6">
        <f t="shared" si="40"/>
        <v>72424</v>
      </c>
      <c r="L660" s="6">
        <f t="shared" si="41"/>
        <v>90288</v>
      </c>
      <c r="M660" s="6">
        <f t="shared" si="42"/>
        <v>17864</v>
      </c>
      <c r="N660" s="6" t="str">
        <f t="shared" si="43"/>
        <v>profit</v>
      </c>
    </row>
    <row r="661" spans="1:14" ht="16.5" thickTop="1" thickBot="1" x14ac:dyDescent="0.3">
      <c r="A661" s="4">
        <v>45669</v>
      </c>
      <c r="B661" s="4" t="s">
        <v>95</v>
      </c>
      <c r="C661" s="5" t="s">
        <v>368</v>
      </c>
      <c r="D661" s="5" t="s">
        <v>33</v>
      </c>
      <c r="E661" s="5" t="s">
        <v>99</v>
      </c>
      <c r="F661" s="5" t="s">
        <v>64</v>
      </c>
      <c r="G661" s="5" t="s">
        <v>19</v>
      </c>
      <c r="H661" s="5">
        <v>54</v>
      </c>
      <c r="I661" s="5">
        <v>664</v>
      </c>
      <c r="J661" s="5">
        <v>761</v>
      </c>
      <c r="K661" s="6">
        <f t="shared" si="40"/>
        <v>35856</v>
      </c>
      <c r="L661" s="6">
        <f t="shared" si="41"/>
        <v>41094</v>
      </c>
      <c r="M661" s="6">
        <f t="shared" si="42"/>
        <v>5238</v>
      </c>
      <c r="N661" s="6" t="str">
        <f t="shared" si="43"/>
        <v>profit</v>
      </c>
    </row>
    <row r="662" spans="1:14" ht="16.5" thickTop="1" thickBot="1" x14ac:dyDescent="0.3">
      <c r="A662" s="4">
        <v>45670</v>
      </c>
      <c r="B662" s="7" t="s">
        <v>95</v>
      </c>
      <c r="C662" s="8" t="s">
        <v>369</v>
      </c>
      <c r="D662" s="8" t="s">
        <v>33</v>
      </c>
      <c r="E662" s="8" t="s">
        <v>99</v>
      </c>
      <c r="F662" s="8" t="s">
        <v>64</v>
      </c>
      <c r="G662" s="5" t="s">
        <v>28</v>
      </c>
      <c r="H662" s="5">
        <v>52</v>
      </c>
      <c r="I662" s="5">
        <v>538</v>
      </c>
      <c r="J662" s="5">
        <v>1257</v>
      </c>
      <c r="K662" s="6">
        <f t="shared" si="40"/>
        <v>27976</v>
      </c>
      <c r="L662" s="6">
        <f t="shared" si="41"/>
        <v>65364</v>
      </c>
      <c r="M662" s="6">
        <f t="shared" si="42"/>
        <v>37388</v>
      </c>
      <c r="N662" s="6" t="str">
        <f t="shared" si="43"/>
        <v>profit</v>
      </c>
    </row>
    <row r="663" spans="1:14" ht="16.5" thickTop="1" thickBot="1" x14ac:dyDescent="0.3">
      <c r="A663" s="4">
        <v>45672</v>
      </c>
      <c r="B663" s="9" t="s">
        <v>95</v>
      </c>
      <c r="C663" s="10" t="s">
        <v>370</v>
      </c>
      <c r="D663" s="8" t="s">
        <v>33</v>
      </c>
      <c r="E663" s="10" t="s">
        <v>120</v>
      </c>
      <c r="F663" s="8" t="s">
        <v>39</v>
      </c>
      <c r="G663" s="5" t="s">
        <v>28</v>
      </c>
      <c r="H663" s="5">
        <v>81</v>
      </c>
      <c r="I663" s="5">
        <v>556</v>
      </c>
      <c r="J663" s="5">
        <v>1345</v>
      </c>
      <c r="K663" s="6">
        <f t="shared" si="40"/>
        <v>45036</v>
      </c>
      <c r="L663" s="6">
        <f t="shared" si="41"/>
        <v>108945</v>
      </c>
      <c r="M663" s="6">
        <f t="shared" si="42"/>
        <v>63909</v>
      </c>
      <c r="N663" s="6" t="str">
        <f t="shared" si="43"/>
        <v>profit</v>
      </c>
    </row>
    <row r="664" spans="1:14" ht="16.5" thickTop="1" thickBot="1" x14ac:dyDescent="0.3">
      <c r="A664" s="4">
        <v>45673</v>
      </c>
      <c r="B664" s="4" t="s">
        <v>95</v>
      </c>
      <c r="C664" s="5" t="s">
        <v>371</v>
      </c>
      <c r="D664" s="5" t="s">
        <v>33</v>
      </c>
      <c r="E664" s="5" t="s">
        <v>120</v>
      </c>
      <c r="F664" s="5" t="s">
        <v>30</v>
      </c>
      <c r="G664" s="5" t="s">
        <v>28</v>
      </c>
      <c r="H664" s="5">
        <v>72</v>
      </c>
      <c r="I664" s="5">
        <v>608</v>
      </c>
      <c r="J664" s="5">
        <v>1209</v>
      </c>
      <c r="K664" s="6">
        <f t="shared" si="40"/>
        <v>43776</v>
      </c>
      <c r="L664" s="6">
        <f t="shared" si="41"/>
        <v>87048</v>
      </c>
      <c r="M664" s="6">
        <f t="shared" si="42"/>
        <v>43272</v>
      </c>
      <c r="N664" s="6" t="str">
        <f t="shared" si="43"/>
        <v>profit</v>
      </c>
    </row>
    <row r="665" spans="1:14" ht="16.5" thickTop="1" thickBot="1" x14ac:dyDescent="0.3">
      <c r="A665" s="4">
        <v>45674</v>
      </c>
      <c r="B665" s="4" t="s">
        <v>95</v>
      </c>
      <c r="C665" s="5" t="s">
        <v>372</v>
      </c>
      <c r="D665" s="5" t="s">
        <v>33</v>
      </c>
      <c r="E665" s="5" t="s">
        <v>120</v>
      </c>
      <c r="F665" s="5" t="s">
        <v>113</v>
      </c>
      <c r="G665" s="5" t="s">
        <v>19</v>
      </c>
      <c r="H665" s="5">
        <v>61</v>
      </c>
      <c r="I665" s="5">
        <v>994</v>
      </c>
      <c r="J665" s="5">
        <v>886</v>
      </c>
      <c r="K665" s="6">
        <f t="shared" si="40"/>
        <v>60634</v>
      </c>
      <c r="L665" s="6">
        <f t="shared" si="41"/>
        <v>54046</v>
      </c>
      <c r="M665" s="6">
        <f t="shared" si="42"/>
        <v>-6588</v>
      </c>
      <c r="N665" s="6" t="str">
        <f t="shared" si="43"/>
        <v>loss</v>
      </c>
    </row>
    <row r="666" spans="1:14" ht="16.5" thickTop="1" thickBot="1" x14ac:dyDescent="0.3">
      <c r="A666" s="4">
        <v>45675</v>
      </c>
      <c r="B666" s="4" t="s">
        <v>95</v>
      </c>
      <c r="C666" s="5" t="s">
        <v>373</v>
      </c>
      <c r="D666" s="5" t="s">
        <v>33</v>
      </c>
      <c r="E666" s="5" t="s">
        <v>120</v>
      </c>
      <c r="F666" s="5" t="s">
        <v>44</v>
      </c>
      <c r="G666" s="5" t="s">
        <v>19</v>
      </c>
      <c r="H666" s="5">
        <v>57</v>
      </c>
      <c r="I666" s="5">
        <v>566</v>
      </c>
      <c r="J666" s="5">
        <v>830</v>
      </c>
      <c r="K666" s="6">
        <f t="shared" si="40"/>
        <v>32262</v>
      </c>
      <c r="L666" s="6">
        <f t="shared" si="41"/>
        <v>47310</v>
      </c>
      <c r="M666" s="6">
        <f t="shared" si="42"/>
        <v>15048</v>
      </c>
      <c r="N666" s="6" t="str">
        <f t="shared" si="43"/>
        <v>profit</v>
      </c>
    </row>
    <row r="667" spans="1:14" ht="16.5" thickTop="1" thickBot="1" x14ac:dyDescent="0.3">
      <c r="A667" s="4">
        <v>45676</v>
      </c>
      <c r="B667" s="4" t="s">
        <v>95</v>
      </c>
      <c r="C667" s="5" t="s">
        <v>374</v>
      </c>
      <c r="D667" s="5" t="s">
        <v>33</v>
      </c>
      <c r="E667" s="5" t="s">
        <v>120</v>
      </c>
      <c r="F667" s="5" t="s">
        <v>153</v>
      </c>
      <c r="G667" s="5" t="s">
        <v>19</v>
      </c>
      <c r="H667" s="5">
        <v>50</v>
      </c>
      <c r="I667" s="5">
        <v>714</v>
      </c>
      <c r="J667" s="5">
        <v>1071</v>
      </c>
      <c r="K667" s="6">
        <f t="shared" si="40"/>
        <v>35700</v>
      </c>
      <c r="L667" s="6">
        <f t="shared" si="41"/>
        <v>53550</v>
      </c>
      <c r="M667" s="6">
        <f t="shared" si="42"/>
        <v>17850</v>
      </c>
      <c r="N667" s="6" t="str">
        <f t="shared" si="43"/>
        <v>profit</v>
      </c>
    </row>
    <row r="668" spans="1:14" ht="16.5" thickTop="1" thickBot="1" x14ac:dyDescent="0.3">
      <c r="A668" s="4">
        <v>45700</v>
      </c>
      <c r="B668" s="4" t="s">
        <v>239</v>
      </c>
      <c r="C668" s="5" t="s">
        <v>375</v>
      </c>
      <c r="D668" s="5" t="s">
        <v>33</v>
      </c>
      <c r="E668" s="5" t="s">
        <v>99</v>
      </c>
      <c r="F668" s="5" t="s">
        <v>39</v>
      </c>
      <c r="G668" s="5" t="s">
        <v>19</v>
      </c>
      <c r="H668" s="5">
        <v>80</v>
      </c>
      <c r="I668" s="5">
        <v>636</v>
      </c>
      <c r="J668" s="5">
        <v>1259</v>
      </c>
      <c r="K668" s="6">
        <f t="shared" si="40"/>
        <v>50880</v>
      </c>
      <c r="L668" s="6">
        <f t="shared" si="41"/>
        <v>100720</v>
      </c>
      <c r="M668" s="6">
        <f t="shared" si="42"/>
        <v>49840</v>
      </c>
      <c r="N668" s="6" t="str">
        <f t="shared" si="43"/>
        <v>profit</v>
      </c>
    </row>
    <row r="669" spans="1:14" ht="16.5" thickTop="1" thickBot="1" x14ac:dyDescent="0.3">
      <c r="A669" s="4">
        <v>45701</v>
      </c>
      <c r="B669" s="4" t="s">
        <v>239</v>
      </c>
      <c r="C669" s="5" t="s">
        <v>376</v>
      </c>
      <c r="D669" s="5" t="s">
        <v>33</v>
      </c>
      <c r="E669" s="5" t="s">
        <v>99</v>
      </c>
      <c r="F669" s="5" t="s">
        <v>39</v>
      </c>
      <c r="G669" s="5" t="s">
        <v>19</v>
      </c>
      <c r="H669" s="5">
        <v>50</v>
      </c>
      <c r="I669" s="5">
        <v>581</v>
      </c>
      <c r="J669" s="5">
        <v>1380</v>
      </c>
      <c r="K669" s="6">
        <f t="shared" si="40"/>
        <v>29050</v>
      </c>
      <c r="L669" s="6">
        <f t="shared" si="41"/>
        <v>69000</v>
      </c>
      <c r="M669" s="6">
        <f t="shared" si="42"/>
        <v>39950</v>
      </c>
      <c r="N669" s="6" t="str">
        <f t="shared" si="43"/>
        <v>profit</v>
      </c>
    </row>
    <row r="670" spans="1:14" ht="16.5" thickTop="1" thickBot="1" x14ac:dyDescent="0.3">
      <c r="A670" s="4">
        <v>45389</v>
      </c>
      <c r="B670" s="4" t="s">
        <v>31</v>
      </c>
      <c r="C670" s="5" t="s">
        <v>32</v>
      </c>
      <c r="D670" s="5" t="s">
        <v>33</v>
      </c>
      <c r="E670" s="5" t="s">
        <v>34</v>
      </c>
      <c r="F670" s="5" t="s">
        <v>35</v>
      </c>
      <c r="G670" s="5" t="s">
        <v>28</v>
      </c>
      <c r="H670" s="5">
        <v>78</v>
      </c>
      <c r="I670" s="5">
        <v>655</v>
      </c>
      <c r="J670" s="5">
        <v>790</v>
      </c>
      <c r="K670" s="6">
        <f t="shared" si="40"/>
        <v>51090</v>
      </c>
      <c r="L670" s="6">
        <f t="shared" si="41"/>
        <v>61620</v>
      </c>
      <c r="M670" s="6">
        <f t="shared" si="42"/>
        <v>10530</v>
      </c>
      <c r="N670" s="6" t="str">
        <f t="shared" si="43"/>
        <v>profit</v>
      </c>
    </row>
    <row r="671" spans="1:14" ht="16.5" thickTop="1" thickBot="1" x14ac:dyDescent="0.3">
      <c r="A671" s="4">
        <v>45703</v>
      </c>
      <c r="B671" s="4" t="s">
        <v>239</v>
      </c>
      <c r="C671" s="5" t="s">
        <v>377</v>
      </c>
      <c r="D671" s="5" t="s">
        <v>33</v>
      </c>
      <c r="E671" s="5" t="s">
        <v>99</v>
      </c>
      <c r="F671" s="5" t="s">
        <v>64</v>
      </c>
      <c r="G671" s="5" t="s">
        <v>19</v>
      </c>
      <c r="H671" s="5">
        <v>78</v>
      </c>
      <c r="I671" s="5">
        <v>964</v>
      </c>
      <c r="J671" s="5">
        <v>1264</v>
      </c>
      <c r="K671" s="6">
        <f t="shared" si="40"/>
        <v>75192</v>
      </c>
      <c r="L671" s="6">
        <f t="shared" si="41"/>
        <v>98592</v>
      </c>
      <c r="M671" s="6">
        <f t="shared" si="42"/>
        <v>23400</v>
      </c>
      <c r="N671" s="6" t="str">
        <f t="shared" si="43"/>
        <v>profit</v>
      </c>
    </row>
    <row r="672" spans="1:14" ht="16.5" thickTop="1" thickBot="1" x14ac:dyDescent="0.3">
      <c r="A672" s="4">
        <v>45704</v>
      </c>
      <c r="B672" s="4" t="s">
        <v>239</v>
      </c>
      <c r="C672" s="5" t="s">
        <v>378</v>
      </c>
      <c r="D672" s="5" t="s">
        <v>33</v>
      </c>
      <c r="E672" s="5" t="s">
        <v>99</v>
      </c>
      <c r="F672" s="5" t="s">
        <v>60</v>
      </c>
      <c r="G672" s="5" t="s">
        <v>28</v>
      </c>
      <c r="H672" s="5">
        <v>97</v>
      </c>
      <c r="I672" s="5">
        <v>982</v>
      </c>
      <c r="J672" s="5">
        <v>1243</v>
      </c>
      <c r="K672" s="6">
        <f t="shared" si="40"/>
        <v>95254</v>
      </c>
      <c r="L672" s="6">
        <f t="shared" si="41"/>
        <v>120571</v>
      </c>
      <c r="M672" s="6">
        <f t="shared" si="42"/>
        <v>25317</v>
      </c>
      <c r="N672" s="6" t="str">
        <f t="shared" si="43"/>
        <v>profit</v>
      </c>
    </row>
    <row r="673" spans="1:14" ht="16.5" thickTop="1" thickBot="1" x14ac:dyDescent="0.3">
      <c r="A673" s="4">
        <v>45705</v>
      </c>
      <c r="B673" s="4" t="s">
        <v>239</v>
      </c>
      <c r="C673" s="5" t="s">
        <v>379</v>
      </c>
      <c r="D673" s="5" t="s">
        <v>33</v>
      </c>
      <c r="E673" s="5" t="s">
        <v>99</v>
      </c>
      <c r="F673" s="5" t="s">
        <v>39</v>
      </c>
      <c r="G673" s="5" t="s">
        <v>28</v>
      </c>
      <c r="H673" s="5">
        <v>93</v>
      </c>
      <c r="I673" s="5">
        <v>736</v>
      </c>
      <c r="J673" s="5">
        <v>864</v>
      </c>
      <c r="K673" s="6">
        <f t="shared" si="40"/>
        <v>68448</v>
      </c>
      <c r="L673" s="6">
        <f t="shared" si="41"/>
        <v>80352</v>
      </c>
      <c r="M673" s="6">
        <f t="shared" si="42"/>
        <v>11904</v>
      </c>
      <c r="N673" s="6" t="str">
        <f t="shared" si="43"/>
        <v>profit</v>
      </c>
    </row>
    <row r="674" spans="1:14" ht="16.5" thickTop="1" thickBot="1" x14ac:dyDescent="0.3">
      <c r="A674" s="4">
        <v>45706</v>
      </c>
      <c r="B674" s="4" t="s">
        <v>239</v>
      </c>
      <c r="C674" s="5" t="s">
        <v>380</v>
      </c>
      <c r="D674" s="5" t="s">
        <v>33</v>
      </c>
      <c r="E674" s="5" t="s">
        <v>99</v>
      </c>
      <c r="F674" s="5" t="s">
        <v>30</v>
      </c>
      <c r="G674" s="5" t="s">
        <v>28</v>
      </c>
      <c r="H674" s="5">
        <v>51</v>
      </c>
      <c r="I674" s="5">
        <v>608</v>
      </c>
      <c r="J674" s="5">
        <v>1179</v>
      </c>
      <c r="K674" s="6">
        <f t="shared" si="40"/>
        <v>31008</v>
      </c>
      <c r="L674" s="6">
        <f t="shared" si="41"/>
        <v>60129</v>
      </c>
      <c r="M674" s="6">
        <f t="shared" si="42"/>
        <v>29121</v>
      </c>
      <c r="N674" s="6" t="str">
        <f t="shared" si="43"/>
        <v>profit</v>
      </c>
    </row>
    <row r="675" spans="1:14" ht="16.5" thickTop="1" thickBot="1" x14ac:dyDescent="0.3">
      <c r="A675" s="4">
        <v>45707</v>
      </c>
      <c r="B675" s="4" t="s">
        <v>239</v>
      </c>
      <c r="C675" s="5" t="s">
        <v>381</v>
      </c>
      <c r="D675" s="5" t="s">
        <v>33</v>
      </c>
      <c r="E675" s="5" t="s">
        <v>99</v>
      </c>
      <c r="F675" s="5" t="s">
        <v>113</v>
      </c>
      <c r="G675" s="5" t="s">
        <v>28</v>
      </c>
      <c r="H675" s="5">
        <v>95</v>
      </c>
      <c r="I675" s="5">
        <v>642</v>
      </c>
      <c r="J675" s="5">
        <v>796</v>
      </c>
      <c r="K675" s="6">
        <f t="shared" si="40"/>
        <v>60990</v>
      </c>
      <c r="L675" s="6">
        <f t="shared" si="41"/>
        <v>75620</v>
      </c>
      <c r="M675" s="6">
        <f t="shared" si="42"/>
        <v>14630</v>
      </c>
      <c r="N675" s="6" t="str">
        <f t="shared" si="43"/>
        <v>profit</v>
      </c>
    </row>
    <row r="676" spans="1:14" ht="16.5" thickTop="1" thickBot="1" x14ac:dyDescent="0.3">
      <c r="A676" s="4">
        <v>45395</v>
      </c>
      <c r="B676" s="4" t="s">
        <v>31</v>
      </c>
      <c r="C676" s="5" t="s">
        <v>45</v>
      </c>
      <c r="D676" s="5" t="s">
        <v>46</v>
      </c>
      <c r="E676" s="5" t="s">
        <v>47</v>
      </c>
      <c r="F676" s="5" t="s">
        <v>44</v>
      </c>
      <c r="G676" s="5" t="s">
        <v>19</v>
      </c>
      <c r="H676" s="5">
        <v>22</v>
      </c>
      <c r="I676" s="5">
        <v>755</v>
      </c>
      <c r="J676" s="5">
        <v>996</v>
      </c>
      <c r="K676" s="6">
        <f t="shared" si="40"/>
        <v>16610</v>
      </c>
      <c r="L676" s="6">
        <f t="shared" si="41"/>
        <v>21912</v>
      </c>
      <c r="M676" s="6">
        <f t="shared" si="42"/>
        <v>5302</v>
      </c>
      <c r="N676" s="6" t="str">
        <f t="shared" si="43"/>
        <v>profit</v>
      </c>
    </row>
    <row r="677" spans="1:14" ht="16.5" thickTop="1" thickBot="1" x14ac:dyDescent="0.3">
      <c r="A677" s="4">
        <v>45708</v>
      </c>
      <c r="B677" s="4" t="s">
        <v>239</v>
      </c>
      <c r="C677" s="5" t="s">
        <v>382</v>
      </c>
      <c r="D677" s="5" t="s">
        <v>33</v>
      </c>
      <c r="E677" s="5" t="s">
        <v>99</v>
      </c>
      <c r="F677" s="5" t="s">
        <v>44</v>
      </c>
      <c r="G677" s="5" t="s">
        <v>19</v>
      </c>
      <c r="H677" s="5">
        <v>90</v>
      </c>
      <c r="I677" s="5">
        <v>713</v>
      </c>
      <c r="J677" s="5">
        <v>1148</v>
      </c>
      <c r="K677" s="6">
        <f t="shared" si="40"/>
        <v>64170</v>
      </c>
      <c r="L677" s="6">
        <f t="shared" si="41"/>
        <v>103320</v>
      </c>
      <c r="M677" s="6">
        <f t="shared" si="42"/>
        <v>39150</v>
      </c>
      <c r="N677" s="6" t="str">
        <f t="shared" si="43"/>
        <v>profit</v>
      </c>
    </row>
    <row r="678" spans="1:14" ht="16.5" thickTop="1" thickBot="1" x14ac:dyDescent="0.3">
      <c r="A678" s="4">
        <v>45710</v>
      </c>
      <c r="B678" s="4" t="s">
        <v>239</v>
      </c>
      <c r="C678" s="5" t="s">
        <v>383</v>
      </c>
      <c r="D678" s="5" t="s">
        <v>33</v>
      </c>
      <c r="E678" s="5" t="s">
        <v>99</v>
      </c>
      <c r="F678" s="5" t="s">
        <v>155</v>
      </c>
      <c r="G678" s="5" t="s">
        <v>28</v>
      </c>
      <c r="H678" s="5">
        <v>81</v>
      </c>
      <c r="I678" s="5">
        <v>813</v>
      </c>
      <c r="J678" s="5">
        <v>1428</v>
      </c>
      <c r="K678" s="6">
        <f t="shared" si="40"/>
        <v>65853</v>
      </c>
      <c r="L678" s="6">
        <f t="shared" si="41"/>
        <v>115668</v>
      </c>
      <c r="M678" s="6">
        <f t="shared" si="42"/>
        <v>49815</v>
      </c>
      <c r="N678" s="6" t="str">
        <f t="shared" si="43"/>
        <v>profit</v>
      </c>
    </row>
    <row r="679" spans="1:14" ht="16.5" thickTop="1" thickBot="1" x14ac:dyDescent="0.3">
      <c r="A679" s="4">
        <v>45711</v>
      </c>
      <c r="B679" s="4" t="s">
        <v>239</v>
      </c>
      <c r="C679" s="5" t="s">
        <v>384</v>
      </c>
      <c r="D679" s="5" t="s">
        <v>33</v>
      </c>
      <c r="E679" s="5" t="s">
        <v>99</v>
      </c>
      <c r="F679" s="5" t="s">
        <v>18</v>
      </c>
      <c r="G679" s="5" t="s">
        <v>28</v>
      </c>
      <c r="H679" s="5">
        <v>57</v>
      </c>
      <c r="I679" s="5">
        <v>912</v>
      </c>
      <c r="J679" s="5">
        <v>1246</v>
      </c>
      <c r="K679" s="6">
        <f t="shared" si="40"/>
        <v>51984</v>
      </c>
      <c r="L679" s="6">
        <f t="shared" si="41"/>
        <v>71022</v>
      </c>
      <c r="M679" s="6">
        <f t="shared" si="42"/>
        <v>19038</v>
      </c>
      <c r="N679" s="6" t="str">
        <f t="shared" si="43"/>
        <v>profit</v>
      </c>
    </row>
    <row r="680" spans="1:14" ht="16.5" thickTop="1" thickBot="1" x14ac:dyDescent="0.3">
      <c r="A680" s="4">
        <v>45712</v>
      </c>
      <c r="B680" s="4" t="s">
        <v>239</v>
      </c>
      <c r="C680" s="5" t="s">
        <v>385</v>
      </c>
      <c r="D680" s="5" t="s">
        <v>33</v>
      </c>
      <c r="E680" s="5" t="s">
        <v>120</v>
      </c>
      <c r="F680" s="5" t="s">
        <v>21</v>
      </c>
      <c r="G680" s="5" t="s">
        <v>28</v>
      </c>
      <c r="H680" s="5">
        <v>61</v>
      </c>
      <c r="I680" s="5">
        <v>565</v>
      </c>
      <c r="J680" s="5">
        <v>1212</v>
      </c>
      <c r="K680" s="6">
        <f t="shared" si="40"/>
        <v>34465</v>
      </c>
      <c r="L680" s="6">
        <f t="shared" si="41"/>
        <v>73932</v>
      </c>
      <c r="M680" s="6">
        <f t="shared" si="42"/>
        <v>39467</v>
      </c>
      <c r="N680" s="6" t="str">
        <f t="shared" si="43"/>
        <v>profit</v>
      </c>
    </row>
    <row r="681" spans="1:14" ht="16.5" thickTop="1" thickBot="1" x14ac:dyDescent="0.3">
      <c r="A681" s="4">
        <v>45713</v>
      </c>
      <c r="B681" s="4" t="s">
        <v>239</v>
      </c>
      <c r="C681" s="5" t="s">
        <v>386</v>
      </c>
      <c r="D681" s="5" t="s">
        <v>33</v>
      </c>
      <c r="E681" s="5" t="s">
        <v>387</v>
      </c>
      <c r="F681" s="5" t="s">
        <v>21</v>
      </c>
      <c r="G681" s="5" t="s">
        <v>28</v>
      </c>
      <c r="H681" s="5">
        <v>62</v>
      </c>
      <c r="I681" s="5">
        <v>805</v>
      </c>
      <c r="J681" s="5">
        <v>1163</v>
      </c>
      <c r="K681" s="6">
        <f t="shared" si="40"/>
        <v>49910</v>
      </c>
      <c r="L681" s="6">
        <f t="shared" si="41"/>
        <v>72106</v>
      </c>
      <c r="M681" s="6">
        <f t="shared" si="42"/>
        <v>22196</v>
      </c>
      <c r="N681" s="6" t="str">
        <f t="shared" si="43"/>
        <v>profit</v>
      </c>
    </row>
    <row r="682" spans="1:14" ht="16.5" thickTop="1" thickBot="1" x14ac:dyDescent="0.3">
      <c r="A682" s="4">
        <v>45387</v>
      </c>
      <c r="B682" s="4" t="s">
        <v>31</v>
      </c>
      <c r="C682" s="5" t="s">
        <v>255</v>
      </c>
      <c r="D682" s="5" t="s">
        <v>33</v>
      </c>
      <c r="E682" s="5" t="s">
        <v>34</v>
      </c>
      <c r="F682" s="5" t="s">
        <v>76</v>
      </c>
      <c r="G682" s="5" t="s">
        <v>28</v>
      </c>
      <c r="H682" s="5">
        <v>74</v>
      </c>
      <c r="I682" s="5">
        <v>743</v>
      </c>
      <c r="J682" s="5">
        <v>1265</v>
      </c>
      <c r="K682" s="6">
        <f t="shared" si="40"/>
        <v>54982</v>
      </c>
      <c r="L682" s="6">
        <f t="shared" si="41"/>
        <v>93610</v>
      </c>
      <c r="M682" s="6">
        <f t="shared" si="42"/>
        <v>38628</v>
      </c>
      <c r="N682" s="6" t="str">
        <f t="shared" si="43"/>
        <v>profit</v>
      </c>
    </row>
    <row r="683" spans="1:14" ht="16.5" thickTop="1" thickBot="1" x14ac:dyDescent="0.3">
      <c r="A683" s="4">
        <v>45388</v>
      </c>
      <c r="B683" s="4" t="s">
        <v>31</v>
      </c>
      <c r="C683" s="5" t="s">
        <v>256</v>
      </c>
      <c r="D683" s="5" t="s">
        <v>33</v>
      </c>
      <c r="E683" s="5" t="s">
        <v>34</v>
      </c>
      <c r="F683" s="5" t="s">
        <v>78</v>
      </c>
      <c r="G683" s="5" t="s">
        <v>28</v>
      </c>
      <c r="H683" s="5">
        <v>83</v>
      </c>
      <c r="I683" s="5">
        <v>594</v>
      </c>
      <c r="J683" s="5">
        <v>852</v>
      </c>
      <c r="K683" s="6">
        <f t="shared" si="40"/>
        <v>49302</v>
      </c>
      <c r="L683" s="6">
        <f t="shared" si="41"/>
        <v>70716</v>
      </c>
      <c r="M683" s="6">
        <f t="shared" si="42"/>
        <v>21414</v>
      </c>
      <c r="N683" s="6" t="str">
        <f t="shared" si="43"/>
        <v>profit</v>
      </c>
    </row>
    <row r="684" spans="1:14" ht="16.5" thickTop="1" thickBot="1" x14ac:dyDescent="0.3">
      <c r="A684" s="4">
        <v>45390</v>
      </c>
      <c r="B684" s="4" t="s">
        <v>31</v>
      </c>
      <c r="C684" s="5" t="s">
        <v>257</v>
      </c>
      <c r="D684" s="5" t="s">
        <v>33</v>
      </c>
      <c r="E684" s="5" t="s">
        <v>34</v>
      </c>
      <c r="F684" s="5" t="s">
        <v>44</v>
      </c>
      <c r="G684" s="5" t="s">
        <v>28</v>
      </c>
      <c r="H684" s="5">
        <v>70</v>
      </c>
      <c r="I684" s="5">
        <v>878</v>
      </c>
      <c r="J684" s="5">
        <v>844</v>
      </c>
      <c r="K684" s="6">
        <f t="shared" si="40"/>
        <v>61460</v>
      </c>
      <c r="L684" s="6">
        <f t="shared" si="41"/>
        <v>59080</v>
      </c>
      <c r="M684" s="6">
        <f t="shared" si="42"/>
        <v>-2380</v>
      </c>
      <c r="N684" s="6" t="str">
        <f t="shared" si="43"/>
        <v>loss</v>
      </c>
    </row>
    <row r="685" spans="1:14" ht="16.5" thickTop="1" thickBot="1" x14ac:dyDescent="0.3">
      <c r="A685" s="4">
        <v>45397</v>
      </c>
      <c r="B685" s="4" t="s">
        <v>31</v>
      </c>
      <c r="C685" s="5" t="s">
        <v>258</v>
      </c>
      <c r="D685" s="5" t="s">
        <v>33</v>
      </c>
      <c r="E685" s="5" t="s">
        <v>163</v>
      </c>
      <c r="F685" s="5" t="s">
        <v>44</v>
      </c>
      <c r="G685" s="5" t="s">
        <v>19</v>
      </c>
      <c r="H685" s="5">
        <v>57</v>
      </c>
      <c r="I685" s="5">
        <v>724</v>
      </c>
      <c r="J685" s="5">
        <v>839</v>
      </c>
      <c r="K685" s="6">
        <f t="shared" si="40"/>
        <v>41268</v>
      </c>
      <c r="L685" s="6">
        <f t="shared" si="41"/>
        <v>47823</v>
      </c>
      <c r="M685" s="6">
        <f t="shared" si="42"/>
        <v>6555</v>
      </c>
      <c r="N685" s="6" t="str">
        <f t="shared" si="43"/>
        <v>profit</v>
      </c>
    </row>
    <row r="686" spans="1:14" ht="16.5" thickTop="1" thickBot="1" x14ac:dyDescent="0.3">
      <c r="A686" s="4">
        <v>45405</v>
      </c>
      <c r="B686" s="4" t="s">
        <v>31</v>
      </c>
      <c r="C686" s="5" t="s">
        <v>62</v>
      </c>
      <c r="D686" s="5" t="s">
        <v>46</v>
      </c>
      <c r="E686" s="5" t="s">
        <v>63</v>
      </c>
      <c r="F686" s="5" t="s">
        <v>64</v>
      </c>
      <c r="G686" s="5" t="s">
        <v>28</v>
      </c>
      <c r="H686" s="5">
        <v>23</v>
      </c>
      <c r="I686" s="5">
        <v>627</v>
      </c>
      <c r="J686" s="5">
        <v>855</v>
      </c>
      <c r="K686" s="6">
        <f t="shared" si="40"/>
        <v>14421</v>
      </c>
      <c r="L686" s="6">
        <f t="shared" si="41"/>
        <v>19665</v>
      </c>
      <c r="M686" s="6">
        <f t="shared" si="42"/>
        <v>5244</v>
      </c>
      <c r="N686" s="6" t="str">
        <f t="shared" si="43"/>
        <v>profit</v>
      </c>
    </row>
    <row r="687" spans="1:14" ht="16.5" thickTop="1" thickBot="1" x14ac:dyDescent="0.3">
      <c r="A687" s="4">
        <v>45398</v>
      </c>
      <c r="B687" s="4" t="s">
        <v>31</v>
      </c>
      <c r="C687" s="5" t="s">
        <v>259</v>
      </c>
      <c r="D687" s="5" t="s">
        <v>33</v>
      </c>
      <c r="E687" s="5" t="s">
        <v>163</v>
      </c>
      <c r="F687" s="5" t="s">
        <v>49</v>
      </c>
      <c r="G687" s="5" t="s">
        <v>19</v>
      </c>
      <c r="H687" s="5">
        <v>50</v>
      </c>
      <c r="I687" s="5">
        <v>537</v>
      </c>
      <c r="J687" s="5">
        <v>1172</v>
      </c>
      <c r="K687" s="6">
        <f t="shared" si="40"/>
        <v>26850</v>
      </c>
      <c r="L687" s="6">
        <f t="shared" si="41"/>
        <v>58600</v>
      </c>
      <c r="M687" s="6">
        <f t="shared" si="42"/>
        <v>31750</v>
      </c>
      <c r="N687" s="6" t="str">
        <f t="shared" si="43"/>
        <v>profit</v>
      </c>
    </row>
    <row r="688" spans="1:14" ht="16.5" thickTop="1" thickBot="1" x14ac:dyDescent="0.3">
      <c r="A688" s="4">
        <v>45407</v>
      </c>
      <c r="B688" s="4" t="s">
        <v>31</v>
      </c>
      <c r="C688" s="5" t="s">
        <v>66</v>
      </c>
      <c r="D688" s="5" t="s">
        <v>46</v>
      </c>
      <c r="E688" s="5" t="s">
        <v>63</v>
      </c>
      <c r="F688" s="5" t="s">
        <v>60</v>
      </c>
      <c r="G688" s="5" t="s">
        <v>19</v>
      </c>
      <c r="H688" s="5">
        <v>23</v>
      </c>
      <c r="I688" s="5">
        <v>938</v>
      </c>
      <c r="J688" s="5">
        <v>1336</v>
      </c>
      <c r="K688" s="6">
        <f t="shared" si="40"/>
        <v>21574</v>
      </c>
      <c r="L688" s="6">
        <f t="shared" si="41"/>
        <v>30728</v>
      </c>
      <c r="M688" s="6">
        <f t="shared" si="42"/>
        <v>9154</v>
      </c>
      <c r="N688" s="6" t="str">
        <f t="shared" si="43"/>
        <v>profit</v>
      </c>
    </row>
    <row r="689" spans="1:14" ht="16.5" thickTop="1" thickBot="1" x14ac:dyDescent="0.3">
      <c r="A689" s="4">
        <v>45399</v>
      </c>
      <c r="B689" s="4" t="s">
        <v>31</v>
      </c>
      <c r="C689" s="5" t="s">
        <v>260</v>
      </c>
      <c r="D689" s="5" t="s">
        <v>33</v>
      </c>
      <c r="E689" s="5" t="s">
        <v>163</v>
      </c>
      <c r="F689" s="5" t="s">
        <v>27</v>
      </c>
      <c r="G689" s="5" t="s">
        <v>19</v>
      </c>
      <c r="H689" s="5">
        <v>67</v>
      </c>
      <c r="I689" s="5">
        <v>989</v>
      </c>
      <c r="J689" s="5">
        <v>956</v>
      </c>
      <c r="K689" s="6">
        <f t="shared" si="40"/>
        <v>66263</v>
      </c>
      <c r="L689" s="6">
        <f t="shared" si="41"/>
        <v>64052</v>
      </c>
      <c r="M689" s="6">
        <f t="shared" si="42"/>
        <v>-2211</v>
      </c>
      <c r="N689" s="6" t="str">
        <f t="shared" si="43"/>
        <v>loss</v>
      </c>
    </row>
    <row r="690" spans="1:14" ht="16.5" thickTop="1" thickBot="1" x14ac:dyDescent="0.3">
      <c r="A690" s="4">
        <v>45400</v>
      </c>
      <c r="B690" s="4" t="s">
        <v>31</v>
      </c>
      <c r="C690" s="5" t="s">
        <v>261</v>
      </c>
      <c r="D690" s="5" t="s">
        <v>33</v>
      </c>
      <c r="E690" s="5" t="s">
        <v>163</v>
      </c>
      <c r="F690" s="5" t="s">
        <v>52</v>
      </c>
      <c r="G690" s="5" t="s">
        <v>19</v>
      </c>
      <c r="H690" s="5">
        <v>83</v>
      </c>
      <c r="I690" s="5">
        <v>917</v>
      </c>
      <c r="J690" s="5">
        <v>989</v>
      </c>
      <c r="K690" s="6">
        <f t="shared" si="40"/>
        <v>76111</v>
      </c>
      <c r="L690" s="6">
        <f t="shared" si="41"/>
        <v>82087</v>
      </c>
      <c r="M690" s="6">
        <f t="shared" si="42"/>
        <v>5976</v>
      </c>
      <c r="N690" s="6" t="str">
        <f t="shared" si="43"/>
        <v>profit</v>
      </c>
    </row>
    <row r="691" spans="1:14" ht="16.5" thickTop="1" thickBot="1" x14ac:dyDescent="0.3">
      <c r="A691" s="4">
        <v>45401</v>
      </c>
      <c r="B691" s="4" t="s">
        <v>31</v>
      </c>
      <c r="C691" s="5" t="s">
        <v>262</v>
      </c>
      <c r="D691" s="5" t="s">
        <v>33</v>
      </c>
      <c r="E691" s="5" t="s">
        <v>163</v>
      </c>
      <c r="F691" s="5" t="s">
        <v>54</v>
      </c>
      <c r="G691" s="5" t="s">
        <v>19</v>
      </c>
      <c r="H691" s="5">
        <v>74</v>
      </c>
      <c r="I691" s="5">
        <v>645</v>
      </c>
      <c r="J691" s="5">
        <v>879</v>
      </c>
      <c r="K691" s="6">
        <f t="shared" si="40"/>
        <v>47730</v>
      </c>
      <c r="L691" s="6">
        <f t="shared" si="41"/>
        <v>65046</v>
      </c>
      <c r="M691" s="6">
        <f t="shared" si="42"/>
        <v>17316</v>
      </c>
      <c r="N691" s="6" t="str">
        <f t="shared" si="43"/>
        <v>profit</v>
      </c>
    </row>
    <row r="692" spans="1:14" ht="16.5" thickTop="1" thickBot="1" x14ac:dyDescent="0.3">
      <c r="A692" s="4">
        <v>45402</v>
      </c>
      <c r="B692" s="4" t="s">
        <v>31</v>
      </c>
      <c r="C692" s="5" t="s">
        <v>263</v>
      </c>
      <c r="D692" s="5" t="s">
        <v>33</v>
      </c>
      <c r="E692" s="5" t="s">
        <v>163</v>
      </c>
      <c r="F692" s="5" t="s">
        <v>35</v>
      </c>
      <c r="G692" s="5" t="s">
        <v>28</v>
      </c>
      <c r="H692" s="5">
        <v>76</v>
      </c>
      <c r="I692" s="5">
        <v>943</v>
      </c>
      <c r="J692" s="5">
        <v>1394</v>
      </c>
      <c r="K692" s="6">
        <f t="shared" si="40"/>
        <v>71668</v>
      </c>
      <c r="L692" s="6">
        <f t="shared" si="41"/>
        <v>105944</v>
      </c>
      <c r="M692" s="6">
        <f t="shared" si="42"/>
        <v>34276</v>
      </c>
      <c r="N692" s="6" t="str">
        <f t="shared" si="43"/>
        <v>profit</v>
      </c>
    </row>
    <row r="693" spans="1:14" ht="16.5" thickTop="1" thickBot="1" x14ac:dyDescent="0.3">
      <c r="A693" s="4">
        <v>45403</v>
      </c>
      <c r="B693" s="4" t="s">
        <v>31</v>
      </c>
      <c r="C693" s="5" t="s">
        <v>264</v>
      </c>
      <c r="D693" s="5" t="s">
        <v>33</v>
      </c>
      <c r="E693" s="5" t="s">
        <v>163</v>
      </c>
      <c r="F693" s="5" t="s">
        <v>39</v>
      </c>
      <c r="G693" s="5" t="s">
        <v>28</v>
      </c>
      <c r="H693" s="5">
        <v>85</v>
      </c>
      <c r="I693" s="5">
        <v>505</v>
      </c>
      <c r="J693" s="5">
        <v>1435</v>
      </c>
      <c r="K693" s="6">
        <f t="shared" si="40"/>
        <v>42925</v>
      </c>
      <c r="L693" s="6">
        <f t="shared" si="41"/>
        <v>121975</v>
      </c>
      <c r="M693" s="6">
        <f t="shared" si="42"/>
        <v>79050</v>
      </c>
      <c r="N693" s="6" t="str">
        <f t="shared" si="43"/>
        <v>profit</v>
      </c>
    </row>
    <row r="694" spans="1:14" ht="16.5" thickTop="1" thickBot="1" x14ac:dyDescent="0.3">
      <c r="A694" s="4">
        <v>45431</v>
      </c>
      <c r="B694" s="4" t="s">
        <v>97</v>
      </c>
      <c r="C694" s="5" t="s">
        <v>265</v>
      </c>
      <c r="D694" s="5" t="s">
        <v>33</v>
      </c>
      <c r="E694" s="5" t="s">
        <v>99</v>
      </c>
      <c r="F694" s="5" t="s">
        <v>60</v>
      </c>
      <c r="G694" s="5" t="s">
        <v>28</v>
      </c>
      <c r="H694" s="5">
        <v>82</v>
      </c>
      <c r="I694" s="5">
        <v>928</v>
      </c>
      <c r="J694" s="5">
        <v>1428</v>
      </c>
      <c r="K694" s="6">
        <f t="shared" si="40"/>
        <v>76096</v>
      </c>
      <c r="L694" s="6">
        <f t="shared" si="41"/>
        <v>117096</v>
      </c>
      <c r="M694" s="6">
        <f t="shared" si="42"/>
        <v>41000</v>
      </c>
      <c r="N694" s="6" t="str">
        <f t="shared" si="43"/>
        <v>profit</v>
      </c>
    </row>
    <row r="695" spans="1:14" ht="16.5" thickTop="1" thickBot="1" x14ac:dyDescent="0.3">
      <c r="A695" s="4">
        <v>45433</v>
      </c>
      <c r="B695" s="4" t="s">
        <v>97</v>
      </c>
      <c r="C695" s="5" t="s">
        <v>266</v>
      </c>
      <c r="D695" s="5" t="s">
        <v>33</v>
      </c>
      <c r="E695" s="5" t="s">
        <v>99</v>
      </c>
      <c r="F695" s="5" t="s">
        <v>39</v>
      </c>
      <c r="G695" s="5" t="s">
        <v>19</v>
      </c>
      <c r="H695" s="5">
        <v>72</v>
      </c>
      <c r="I695" s="5">
        <v>605</v>
      </c>
      <c r="J695" s="5">
        <v>1081</v>
      </c>
      <c r="K695" s="6">
        <f t="shared" si="40"/>
        <v>43560</v>
      </c>
      <c r="L695" s="6">
        <f t="shared" si="41"/>
        <v>77832</v>
      </c>
      <c r="M695" s="6">
        <f t="shared" si="42"/>
        <v>34272</v>
      </c>
      <c r="N695" s="6" t="str">
        <f t="shared" si="43"/>
        <v>profit</v>
      </c>
    </row>
    <row r="696" spans="1:14" ht="16.5" thickTop="1" thickBot="1" x14ac:dyDescent="0.3">
      <c r="A696" s="4">
        <v>45434</v>
      </c>
      <c r="B696" s="4" t="s">
        <v>97</v>
      </c>
      <c r="C696" s="5" t="s">
        <v>267</v>
      </c>
      <c r="D696" s="5" t="s">
        <v>33</v>
      </c>
      <c r="E696" s="5" t="s">
        <v>99</v>
      </c>
      <c r="F696" s="5" t="s">
        <v>39</v>
      </c>
      <c r="G696" s="5" t="s">
        <v>19</v>
      </c>
      <c r="H696" s="5">
        <v>82</v>
      </c>
      <c r="I696" s="5">
        <v>993</v>
      </c>
      <c r="J696" s="5">
        <v>823</v>
      </c>
      <c r="K696" s="6">
        <f t="shared" si="40"/>
        <v>81426</v>
      </c>
      <c r="L696" s="6">
        <f t="shared" si="41"/>
        <v>67486</v>
      </c>
      <c r="M696" s="6">
        <f t="shared" si="42"/>
        <v>-13940</v>
      </c>
      <c r="N696" s="6" t="str">
        <f t="shared" si="43"/>
        <v>loss</v>
      </c>
    </row>
    <row r="697" spans="1:14" ht="16.5" thickTop="1" thickBot="1" x14ac:dyDescent="0.3">
      <c r="A697" s="4">
        <v>45435</v>
      </c>
      <c r="B697" s="4" t="s">
        <v>97</v>
      </c>
      <c r="C697" s="5" t="s">
        <v>268</v>
      </c>
      <c r="D697" s="5" t="s">
        <v>33</v>
      </c>
      <c r="E697" s="5" t="s">
        <v>99</v>
      </c>
      <c r="F697" s="5" t="s">
        <v>44</v>
      </c>
      <c r="G697" s="5" t="s">
        <v>19</v>
      </c>
      <c r="H697" s="5">
        <v>53</v>
      </c>
      <c r="I697" s="5">
        <v>803</v>
      </c>
      <c r="J697" s="5">
        <v>1335</v>
      </c>
      <c r="K697" s="6">
        <f t="shared" si="40"/>
        <v>42559</v>
      </c>
      <c r="L697" s="6">
        <f t="shared" si="41"/>
        <v>70755</v>
      </c>
      <c r="M697" s="6">
        <f t="shared" si="42"/>
        <v>28196</v>
      </c>
      <c r="N697" s="6" t="str">
        <f t="shared" si="43"/>
        <v>profit</v>
      </c>
    </row>
    <row r="698" spans="1:14" ht="16.5" thickTop="1" thickBot="1" x14ac:dyDescent="0.3">
      <c r="A698" s="4">
        <v>45436</v>
      </c>
      <c r="B698" s="4" t="s">
        <v>97</v>
      </c>
      <c r="C698" s="5" t="s">
        <v>269</v>
      </c>
      <c r="D698" s="5" t="s">
        <v>33</v>
      </c>
      <c r="E698" s="5" t="s">
        <v>99</v>
      </c>
      <c r="F698" s="5" t="s">
        <v>27</v>
      </c>
      <c r="G698" s="5" t="s">
        <v>19</v>
      </c>
      <c r="H698" s="5">
        <v>87</v>
      </c>
      <c r="I698" s="5">
        <v>742</v>
      </c>
      <c r="J698" s="5">
        <v>856</v>
      </c>
      <c r="K698" s="6">
        <f t="shared" si="40"/>
        <v>64554</v>
      </c>
      <c r="L698" s="6">
        <f t="shared" si="41"/>
        <v>74472</v>
      </c>
      <c r="M698" s="6">
        <f t="shared" si="42"/>
        <v>9918</v>
      </c>
      <c r="N698" s="6" t="str">
        <f t="shared" si="43"/>
        <v>profit</v>
      </c>
    </row>
    <row r="699" spans="1:14" ht="16.5" thickTop="1" thickBot="1" x14ac:dyDescent="0.3">
      <c r="A699" s="4">
        <v>45437</v>
      </c>
      <c r="B699" s="4" t="s">
        <v>97</v>
      </c>
      <c r="C699" s="5" t="s">
        <v>270</v>
      </c>
      <c r="D699" s="5" t="s">
        <v>33</v>
      </c>
      <c r="E699" s="5" t="s">
        <v>99</v>
      </c>
      <c r="F699" s="5" t="s">
        <v>44</v>
      </c>
      <c r="G699" s="5" t="s">
        <v>19</v>
      </c>
      <c r="H699" s="5">
        <v>70</v>
      </c>
      <c r="I699" s="5">
        <v>605</v>
      </c>
      <c r="J699" s="5">
        <v>1489</v>
      </c>
      <c r="K699" s="6">
        <f t="shared" si="40"/>
        <v>42350</v>
      </c>
      <c r="L699" s="6">
        <f t="shared" si="41"/>
        <v>104230</v>
      </c>
      <c r="M699" s="6">
        <f t="shared" si="42"/>
        <v>61880</v>
      </c>
      <c r="N699" s="6" t="str">
        <f t="shared" si="43"/>
        <v>profit</v>
      </c>
    </row>
    <row r="700" spans="1:14" ht="16.5" thickTop="1" thickBot="1" x14ac:dyDescent="0.3">
      <c r="A700" s="4">
        <v>45438</v>
      </c>
      <c r="B700" s="4" t="s">
        <v>97</v>
      </c>
      <c r="C700" s="5" t="s">
        <v>271</v>
      </c>
      <c r="D700" s="5" t="s">
        <v>33</v>
      </c>
      <c r="E700" s="5" t="s">
        <v>99</v>
      </c>
      <c r="F700" s="5" t="s">
        <v>49</v>
      </c>
      <c r="G700" s="5" t="s">
        <v>19</v>
      </c>
      <c r="H700" s="5">
        <v>94</v>
      </c>
      <c r="I700" s="5">
        <v>754</v>
      </c>
      <c r="J700" s="5">
        <v>1354</v>
      </c>
      <c r="K700" s="6">
        <f t="shared" si="40"/>
        <v>70876</v>
      </c>
      <c r="L700" s="6">
        <f t="shared" si="41"/>
        <v>127276</v>
      </c>
      <c r="M700" s="6">
        <f t="shared" si="42"/>
        <v>56400</v>
      </c>
      <c r="N700" s="6" t="str">
        <f t="shared" si="43"/>
        <v>profit</v>
      </c>
    </row>
    <row r="701" spans="1:14" ht="16.5" thickTop="1" thickBot="1" x14ac:dyDescent="0.3">
      <c r="A701" s="4">
        <v>45439</v>
      </c>
      <c r="B701" s="4" t="s">
        <v>97</v>
      </c>
      <c r="C701" s="5" t="s">
        <v>272</v>
      </c>
      <c r="D701" s="5" t="s">
        <v>33</v>
      </c>
      <c r="E701" s="5" t="s">
        <v>99</v>
      </c>
      <c r="F701" s="5" t="s">
        <v>27</v>
      </c>
      <c r="G701" s="5" t="s">
        <v>19</v>
      </c>
      <c r="H701" s="5">
        <v>80</v>
      </c>
      <c r="I701" s="5">
        <v>622</v>
      </c>
      <c r="J701" s="5">
        <v>1168</v>
      </c>
      <c r="K701" s="6">
        <f t="shared" si="40"/>
        <v>49760</v>
      </c>
      <c r="L701" s="6">
        <f t="shared" si="41"/>
        <v>93440</v>
      </c>
      <c r="M701" s="6">
        <f t="shared" si="42"/>
        <v>43680</v>
      </c>
      <c r="N701" s="6" t="str">
        <f t="shared" si="43"/>
        <v>profit</v>
      </c>
    </row>
    <row r="702" spans="1:14" ht="16.5" thickTop="1" thickBot="1" x14ac:dyDescent="0.3">
      <c r="A702" s="4">
        <v>45440</v>
      </c>
      <c r="B702" s="4" t="s">
        <v>97</v>
      </c>
      <c r="C702" s="5" t="s">
        <v>273</v>
      </c>
      <c r="D702" s="5" t="s">
        <v>33</v>
      </c>
      <c r="E702" s="5" t="s">
        <v>99</v>
      </c>
      <c r="F702" s="5" t="s">
        <v>52</v>
      </c>
      <c r="G702" s="5" t="s">
        <v>28</v>
      </c>
      <c r="H702" s="5">
        <v>88</v>
      </c>
      <c r="I702" s="5">
        <v>625</v>
      </c>
      <c r="J702" s="5">
        <v>1324</v>
      </c>
      <c r="K702" s="6">
        <f t="shared" si="40"/>
        <v>55000</v>
      </c>
      <c r="L702" s="6">
        <f t="shared" si="41"/>
        <v>116512</v>
      </c>
      <c r="M702" s="6">
        <f t="shared" si="42"/>
        <v>61512</v>
      </c>
      <c r="N702" s="6" t="str">
        <f t="shared" si="43"/>
        <v>profit</v>
      </c>
    </row>
    <row r="703" spans="1:14" ht="16.5" thickTop="1" thickBot="1" x14ac:dyDescent="0.3">
      <c r="A703" s="4">
        <v>45442</v>
      </c>
      <c r="B703" s="4" t="s">
        <v>97</v>
      </c>
      <c r="C703" s="5" t="s">
        <v>274</v>
      </c>
      <c r="D703" s="5" t="s">
        <v>33</v>
      </c>
      <c r="E703" s="5" t="s">
        <v>99</v>
      </c>
      <c r="F703" s="5" t="s">
        <v>35</v>
      </c>
      <c r="G703" s="5" t="s">
        <v>28</v>
      </c>
      <c r="H703" s="5">
        <v>67</v>
      </c>
      <c r="I703" s="5">
        <v>760</v>
      </c>
      <c r="J703" s="5">
        <v>1006</v>
      </c>
      <c r="K703" s="6">
        <f t="shared" si="40"/>
        <v>50920</v>
      </c>
      <c r="L703" s="6">
        <f t="shared" si="41"/>
        <v>67402</v>
      </c>
      <c r="M703" s="6">
        <f t="shared" si="42"/>
        <v>16482</v>
      </c>
      <c r="N703" s="6" t="str">
        <f t="shared" si="43"/>
        <v>profit</v>
      </c>
    </row>
    <row r="704" spans="1:14" ht="16.5" thickTop="1" thickBot="1" x14ac:dyDescent="0.3">
      <c r="A704" s="4">
        <v>45443</v>
      </c>
      <c r="B704" s="4" t="s">
        <v>97</v>
      </c>
      <c r="C704" s="5" t="s">
        <v>275</v>
      </c>
      <c r="D704" s="5" t="s">
        <v>33</v>
      </c>
      <c r="E704" s="5" t="s">
        <v>120</v>
      </c>
      <c r="F704" s="5" t="s">
        <v>39</v>
      </c>
      <c r="G704" s="5" t="s">
        <v>28</v>
      </c>
      <c r="H704" s="5">
        <v>75</v>
      </c>
      <c r="I704" s="5">
        <v>966</v>
      </c>
      <c r="J704" s="5">
        <v>1355</v>
      </c>
      <c r="K704" s="6">
        <f t="shared" si="40"/>
        <v>72450</v>
      </c>
      <c r="L704" s="6">
        <f t="shared" si="41"/>
        <v>101625</v>
      </c>
      <c r="M704" s="6">
        <f t="shared" si="42"/>
        <v>29175</v>
      </c>
      <c r="N704" s="6" t="str">
        <f t="shared" si="43"/>
        <v>profit</v>
      </c>
    </row>
    <row r="705" spans="1:14" ht="16.5" thickTop="1" thickBot="1" x14ac:dyDescent="0.3">
      <c r="A705" s="4">
        <v>45444</v>
      </c>
      <c r="B705" s="4" t="s">
        <v>14</v>
      </c>
      <c r="C705" s="5" t="s">
        <v>276</v>
      </c>
      <c r="D705" s="5" t="s">
        <v>33</v>
      </c>
      <c r="E705" s="5" t="s">
        <v>120</v>
      </c>
      <c r="F705" s="5" t="s">
        <v>39</v>
      </c>
      <c r="G705" s="5" t="s">
        <v>19</v>
      </c>
      <c r="H705" s="5">
        <v>51</v>
      </c>
      <c r="I705" s="5">
        <v>749</v>
      </c>
      <c r="J705" s="5">
        <v>1060</v>
      </c>
      <c r="K705" s="6">
        <f t="shared" si="40"/>
        <v>38199</v>
      </c>
      <c r="L705" s="6">
        <f t="shared" si="41"/>
        <v>54060</v>
      </c>
      <c r="M705" s="6">
        <f t="shared" si="42"/>
        <v>15861</v>
      </c>
      <c r="N705" s="6" t="str">
        <f t="shared" si="43"/>
        <v>profit</v>
      </c>
    </row>
    <row r="706" spans="1:14" ht="16.5" thickTop="1" thickBot="1" x14ac:dyDescent="0.3">
      <c r="A706" s="4">
        <v>45445</v>
      </c>
      <c r="B706" s="4" t="s">
        <v>14</v>
      </c>
      <c r="C706" s="5" t="s">
        <v>277</v>
      </c>
      <c r="D706" s="5" t="s">
        <v>33</v>
      </c>
      <c r="E706" s="5" t="s">
        <v>120</v>
      </c>
      <c r="F706" s="5" t="s">
        <v>64</v>
      </c>
      <c r="G706" s="5" t="s">
        <v>28</v>
      </c>
      <c r="H706" s="5">
        <v>94</v>
      </c>
      <c r="I706" s="5">
        <v>721</v>
      </c>
      <c r="J706" s="5">
        <v>996</v>
      </c>
      <c r="K706" s="6">
        <f t="shared" ref="K706:K769" si="44">H706*I706</f>
        <v>67774</v>
      </c>
      <c r="L706" s="6">
        <f t="shared" ref="L706:L769" si="45">H706*J706</f>
        <v>93624</v>
      </c>
      <c r="M706" s="6">
        <f t="shared" ref="M706:M769" si="46">L706-K706</f>
        <v>25850</v>
      </c>
      <c r="N706" s="6" t="str">
        <f t="shared" ref="N706:N769" si="47">IF(M706&gt;0,"profit","loss")</f>
        <v>profit</v>
      </c>
    </row>
    <row r="707" spans="1:14" ht="16.5" thickTop="1" thickBot="1" x14ac:dyDescent="0.3">
      <c r="A707" s="4">
        <v>45446</v>
      </c>
      <c r="B707" s="4" t="s">
        <v>14</v>
      </c>
      <c r="C707" s="5" t="s">
        <v>278</v>
      </c>
      <c r="D707" s="5" t="s">
        <v>33</v>
      </c>
      <c r="E707" s="5" t="s">
        <v>120</v>
      </c>
      <c r="F707" s="5" t="s">
        <v>64</v>
      </c>
      <c r="G707" s="5" t="s">
        <v>28</v>
      </c>
      <c r="H707" s="5">
        <v>71</v>
      </c>
      <c r="I707" s="5">
        <v>869</v>
      </c>
      <c r="J707" s="5">
        <v>753</v>
      </c>
      <c r="K707" s="6">
        <f t="shared" si="44"/>
        <v>61699</v>
      </c>
      <c r="L707" s="6">
        <f t="shared" si="45"/>
        <v>53463</v>
      </c>
      <c r="M707" s="6">
        <f t="shared" si="46"/>
        <v>-8236</v>
      </c>
      <c r="N707" s="6" t="str">
        <f t="shared" si="47"/>
        <v>loss</v>
      </c>
    </row>
    <row r="708" spans="1:14" ht="16.5" thickTop="1" thickBot="1" x14ac:dyDescent="0.3">
      <c r="A708" s="4">
        <v>45447</v>
      </c>
      <c r="B708" s="4" t="s">
        <v>14</v>
      </c>
      <c r="C708" s="5" t="s">
        <v>279</v>
      </c>
      <c r="D708" s="5" t="s">
        <v>33</v>
      </c>
      <c r="E708" s="5" t="s">
        <v>120</v>
      </c>
      <c r="F708" s="5" t="s">
        <v>60</v>
      </c>
      <c r="G708" s="5" t="s">
        <v>28</v>
      </c>
      <c r="H708" s="5">
        <v>52</v>
      </c>
      <c r="I708" s="5">
        <v>550</v>
      </c>
      <c r="J708" s="5">
        <v>869</v>
      </c>
      <c r="K708" s="6">
        <f t="shared" si="44"/>
        <v>28600</v>
      </c>
      <c r="L708" s="6">
        <f t="shared" si="45"/>
        <v>45188</v>
      </c>
      <c r="M708" s="6">
        <f t="shared" si="46"/>
        <v>16588</v>
      </c>
      <c r="N708" s="6" t="str">
        <f t="shared" si="47"/>
        <v>profit</v>
      </c>
    </row>
    <row r="709" spans="1:14" ht="16.5" thickTop="1" thickBot="1" x14ac:dyDescent="0.3">
      <c r="A709" s="4">
        <v>45448</v>
      </c>
      <c r="B709" s="4" t="s">
        <v>14</v>
      </c>
      <c r="C709" s="5" t="s">
        <v>280</v>
      </c>
      <c r="D709" s="5" t="s">
        <v>33</v>
      </c>
      <c r="E709" s="5" t="s">
        <v>120</v>
      </c>
      <c r="F709" s="5" t="s">
        <v>39</v>
      </c>
      <c r="G709" s="5" t="s">
        <v>28</v>
      </c>
      <c r="H709" s="5">
        <v>77</v>
      </c>
      <c r="I709" s="5">
        <v>513</v>
      </c>
      <c r="J709" s="5">
        <v>871</v>
      </c>
      <c r="K709" s="6">
        <f t="shared" si="44"/>
        <v>39501</v>
      </c>
      <c r="L709" s="6">
        <f t="shared" si="45"/>
        <v>67067</v>
      </c>
      <c r="M709" s="6">
        <f t="shared" si="46"/>
        <v>27566</v>
      </c>
      <c r="N709" s="6" t="str">
        <f t="shared" si="47"/>
        <v>profit</v>
      </c>
    </row>
    <row r="710" spans="1:14" ht="16.5" thickTop="1" thickBot="1" x14ac:dyDescent="0.3">
      <c r="A710" s="4">
        <v>45449</v>
      </c>
      <c r="B710" s="4" t="s">
        <v>14</v>
      </c>
      <c r="C710" s="5" t="s">
        <v>281</v>
      </c>
      <c r="D710" s="5" t="s">
        <v>33</v>
      </c>
      <c r="E710" s="5" t="s">
        <v>120</v>
      </c>
      <c r="F710" s="5" t="s">
        <v>30</v>
      </c>
      <c r="G710" s="5" t="s">
        <v>19</v>
      </c>
      <c r="H710" s="5">
        <v>84</v>
      </c>
      <c r="I710" s="5">
        <v>739</v>
      </c>
      <c r="J710" s="5">
        <v>1161</v>
      </c>
      <c r="K710" s="6">
        <f t="shared" si="44"/>
        <v>62076</v>
      </c>
      <c r="L710" s="6">
        <f t="shared" si="45"/>
        <v>97524</v>
      </c>
      <c r="M710" s="6">
        <f t="shared" si="46"/>
        <v>35448</v>
      </c>
      <c r="N710" s="6" t="str">
        <f t="shared" si="47"/>
        <v>profit</v>
      </c>
    </row>
    <row r="711" spans="1:14" ht="16.5" thickTop="1" thickBot="1" x14ac:dyDescent="0.3">
      <c r="A711" s="4">
        <v>45450</v>
      </c>
      <c r="B711" s="4" t="s">
        <v>14</v>
      </c>
      <c r="C711" s="5" t="s">
        <v>282</v>
      </c>
      <c r="D711" s="5" t="s">
        <v>33</v>
      </c>
      <c r="E711" s="5" t="s">
        <v>120</v>
      </c>
      <c r="F711" s="5" t="s">
        <v>113</v>
      </c>
      <c r="G711" s="5" t="s">
        <v>19</v>
      </c>
      <c r="H711" s="5">
        <v>71</v>
      </c>
      <c r="I711" s="5">
        <v>923</v>
      </c>
      <c r="J711" s="5">
        <v>996</v>
      </c>
      <c r="K711" s="6">
        <f t="shared" si="44"/>
        <v>65533</v>
      </c>
      <c r="L711" s="6">
        <f t="shared" si="45"/>
        <v>70716</v>
      </c>
      <c r="M711" s="6">
        <f t="shared" si="46"/>
        <v>5183</v>
      </c>
      <c r="N711" s="6" t="str">
        <f t="shared" si="47"/>
        <v>profit</v>
      </c>
    </row>
    <row r="712" spans="1:14" ht="16.5" thickTop="1" thickBot="1" x14ac:dyDescent="0.3">
      <c r="A712" s="4">
        <v>45451</v>
      </c>
      <c r="B712" s="4" t="s">
        <v>14</v>
      </c>
      <c r="C712" s="5" t="s">
        <v>283</v>
      </c>
      <c r="D712" s="5" t="s">
        <v>33</v>
      </c>
      <c r="E712" s="5" t="s">
        <v>120</v>
      </c>
      <c r="F712" s="5" t="s">
        <v>44</v>
      </c>
      <c r="G712" s="5" t="s">
        <v>19</v>
      </c>
      <c r="H712" s="5">
        <v>59</v>
      </c>
      <c r="I712" s="5">
        <v>862</v>
      </c>
      <c r="J712" s="5">
        <v>1233</v>
      </c>
      <c r="K712" s="6">
        <f t="shared" si="44"/>
        <v>50858</v>
      </c>
      <c r="L712" s="6">
        <f t="shared" si="45"/>
        <v>72747</v>
      </c>
      <c r="M712" s="6">
        <f t="shared" si="46"/>
        <v>21889</v>
      </c>
      <c r="N712" s="6" t="str">
        <f t="shared" si="47"/>
        <v>profit</v>
      </c>
    </row>
    <row r="713" spans="1:14" ht="16.5" thickTop="1" thickBot="1" x14ac:dyDescent="0.3">
      <c r="A713" s="4">
        <v>45432</v>
      </c>
      <c r="B713" s="4" t="s">
        <v>97</v>
      </c>
      <c r="C713" s="5" t="s">
        <v>98</v>
      </c>
      <c r="D713" s="5" t="s">
        <v>33</v>
      </c>
      <c r="E713" s="5" t="s">
        <v>99</v>
      </c>
      <c r="F713" s="5" t="s">
        <v>35</v>
      </c>
      <c r="G713" s="5" t="s">
        <v>28</v>
      </c>
      <c r="H713" s="5">
        <v>90</v>
      </c>
      <c r="I713" s="5">
        <v>718</v>
      </c>
      <c r="J713" s="5">
        <v>1353</v>
      </c>
      <c r="K713" s="6">
        <f t="shared" si="44"/>
        <v>64620</v>
      </c>
      <c r="L713" s="6">
        <f t="shared" si="45"/>
        <v>121770</v>
      </c>
      <c r="M713" s="6">
        <f t="shared" si="46"/>
        <v>57150</v>
      </c>
      <c r="N713" s="6" t="str">
        <f t="shared" si="47"/>
        <v>profit</v>
      </c>
    </row>
    <row r="714" spans="1:14" ht="16.5" thickTop="1" thickBot="1" x14ac:dyDescent="0.3">
      <c r="A714" s="4">
        <v>45452</v>
      </c>
      <c r="B714" s="4" t="s">
        <v>14</v>
      </c>
      <c r="C714" s="5" t="s">
        <v>284</v>
      </c>
      <c r="D714" s="5" t="s">
        <v>33</v>
      </c>
      <c r="E714" s="5" t="s">
        <v>120</v>
      </c>
      <c r="F714" s="5" t="s">
        <v>153</v>
      </c>
      <c r="G714" s="5" t="s">
        <v>19</v>
      </c>
      <c r="H714" s="5">
        <v>77</v>
      </c>
      <c r="I714" s="5">
        <v>882</v>
      </c>
      <c r="J714" s="5">
        <v>914</v>
      </c>
      <c r="K714" s="6">
        <f t="shared" si="44"/>
        <v>67914</v>
      </c>
      <c r="L714" s="6">
        <f t="shared" si="45"/>
        <v>70378</v>
      </c>
      <c r="M714" s="6">
        <f t="shared" si="46"/>
        <v>2464</v>
      </c>
      <c r="N714" s="6" t="str">
        <f t="shared" si="47"/>
        <v>profit</v>
      </c>
    </row>
    <row r="715" spans="1:14" ht="16.5" thickTop="1" thickBot="1" x14ac:dyDescent="0.3">
      <c r="A715" s="4">
        <v>45453</v>
      </c>
      <c r="B715" s="4" t="s">
        <v>14</v>
      </c>
      <c r="C715" s="5" t="s">
        <v>285</v>
      </c>
      <c r="D715" s="5" t="s">
        <v>33</v>
      </c>
      <c r="E715" s="5" t="s">
        <v>120</v>
      </c>
      <c r="F715" s="5" t="s">
        <v>155</v>
      </c>
      <c r="G715" s="5" t="s">
        <v>19</v>
      </c>
      <c r="H715" s="5">
        <v>90</v>
      </c>
      <c r="I715" s="5">
        <v>862</v>
      </c>
      <c r="J715" s="5">
        <v>902</v>
      </c>
      <c r="K715" s="6">
        <f t="shared" si="44"/>
        <v>77580</v>
      </c>
      <c r="L715" s="6">
        <f t="shared" si="45"/>
        <v>81180</v>
      </c>
      <c r="M715" s="6">
        <f t="shared" si="46"/>
        <v>3600</v>
      </c>
      <c r="N715" s="6" t="str">
        <f t="shared" si="47"/>
        <v>profit</v>
      </c>
    </row>
    <row r="716" spans="1:14" ht="16.5" thickTop="1" thickBot="1" x14ac:dyDescent="0.3">
      <c r="A716" s="4">
        <v>45461</v>
      </c>
      <c r="B716" s="4" t="s">
        <v>14</v>
      </c>
      <c r="C716" s="5" t="s">
        <v>286</v>
      </c>
      <c r="D716" s="5" t="s">
        <v>33</v>
      </c>
      <c r="E716" s="5" t="s">
        <v>99</v>
      </c>
      <c r="F716" s="5" t="s">
        <v>25</v>
      </c>
      <c r="G716" s="5" t="s">
        <v>28</v>
      </c>
      <c r="H716" s="5">
        <v>73</v>
      </c>
      <c r="I716" s="5">
        <v>541</v>
      </c>
      <c r="J716" s="5">
        <v>1114</v>
      </c>
      <c r="K716" s="6">
        <f t="shared" si="44"/>
        <v>39493</v>
      </c>
      <c r="L716" s="6">
        <f t="shared" si="45"/>
        <v>81322</v>
      </c>
      <c r="M716" s="6">
        <f t="shared" si="46"/>
        <v>41829</v>
      </c>
      <c r="N716" s="6" t="str">
        <f t="shared" si="47"/>
        <v>profit</v>
      </c>
    </row>
    <row r="717" spans="1:14" ht="16.5" thickTop="1" thickBot="1" x14ac:dyDescent="0.3">
      <c r="A717" s="4">
        <v>45462</v>
      </c>
      <c r="B717" s="4" t="s">
        <v>14</v>
      </c>
      <c r="C717" s="5" t="s">
        <v>287</v>
      </c>
      <c r="D717" s="5" t="s">
        <v>33</v>
      </c>
      <c r="E717" s="5" t="s">
        <v>99</v>
      </c>
      <c r="F717" s="5" t="s">
        <v>76</v>
      </c>
      <c r="G717" s="5" t="s">
        <v>28</v>
      </c>
      <c r="H717" s="5">
        <v>94</v>
      </c>
      <c r="I717" s="5">
        <v>772</v>
      </c>
      <c r="J717" s="5">
        <v>1390</v>
      </c>
      <c r="K717" s="6">
        <f t="shared" si="44"/>
        <v>72568</v>
      </c>
      <c r="L717" s="6">
        <f t="shared" si="45"/>
        <v>130660</v>
      </c>
      <c r="M717" s="6">
        <f t="shared" si="46"/>
        <v>58092</v>
      </c>
      <c r="N717" s="6" t="str">
        <f t="shared" si="47"/>
        <v>profit</v>
      </c>
    </row>
    <row r="718" spans="1:14" ht="16.5" thickTop="1" thickBot="1" x14ac:dyDescent="0.3">
      <c r="A718" s="4">
        <v>45463</v>
      </c>
      <c r="B718" s="4" t="s">
        <v>14</v>
      </c>
      <c r="C718" s="5" t="s">
        <v>288</v>
      </c>
      <c r="D718" s="5" t="s">
        <v>33</v>
      </c>
      <c r="E718" s="5" t="s">
        <v>99</v>
      </c>
      <c r="F718" s="5" t="s">
        <v>71</v>
      </c>
      <c r="G718" s="5" t="s">
        <v>28</v>
      </c>
      <c r="H718" s="5">
        <v>66</v>
      </c>
      <c r="I718" s="5">
        <v>771</v>
      </c>
      <c r="J718" s="5">
        <v>1419</v>
      </c>
      <c r="K718" s="6">
        <f t="shared" si="44"/>
        <v>50886</v>
      </c>
      <c r="L718" s="6">
        <f t="shared" si="45"/>
        <v>93654</v>
      </c>
      <c r="M718" s="6">
        <f t="shared" si="46"/>
        <v>42768</v>
      </c>
      <c r="N718" s="6" t="str">
        <f t="shared" si="47"/>
        <v>profit</v>
      </c>
    </row>
    <row r="719" spans="1:14" ht="16.5" thickTop="1" thickBot="1" x14ac:dyDescent="0.3">
      <c r="A719" s="4">
        <v>45465</v>
      </c>
      <c r="B719" s="4" t="s">
        <v>14</v>
      </c>
      <c r="C719" s="5" t="s">
        <v>289</v>
      </c>
      <c r="D719" s="5" t="s">
        <v>33</v>
      </c>
      <c r="E719" s="5" t="s">
        <v>99</v>
      </c>
      <c r="F719" s="5" t="s">
        <v>25</v>
      </c>
      <c r="G719" s="5" t="s">
        <v>19</v>
      </c>
      <c r="H719" s="5">
        <v>65</v>
      </c>
      <c r="I719" s="5">
        <v>762</v>
      </c>
      <c r="J719" s="5">
        <v>1394</v>
      </c>
      <c r="K719" s="6">
        <f t="shared" si="44"/>
        <v>49530</v>
      </c>
      <c r="L719" s="6">
        <f t="shared" si="45"/>
        <v>90610</v>
      </c>
      <c r="M719" s="6">
        <f t="shared" si="46"/>
        <v>41080</v>
      </c>
      <c r="N719" s="6" t="str">
        <f t="shared" si="47"/>
        <v>profit</v>
      </c>
    </row>
    <row r="720" spans="1:14" ht="16.5" thickTop="1" thickBot="1" x14ac:dyDescent="0.3">
      <c r="A720" s="4">
        <v>45466</v>
      </c>
      <c r="B720" s="4" t="s">
        <v>14</v>
      </c>
      <c r="C720" s="5" t="s">
        <v>290</v>
      </c>
      <c r="D720" s="5" t="s">
        <v>33</v>
      </c>
      <c r="E720" s="5" t="s">
        <v>120</v>
      </c>
      <c r="F720" s="5" t="s">
        <v>64</v>
      </c>
      <c r="G720" s="5" t="s">
        <v>19</v>
      </c>
      <c r="H720" s="5">
        <v>78</v>
      </c>
      <c r="I720" s="5">
        <v>918</v>
      </c>
      <c r="J720" s="5">
        <v>1469</v>
      </c>
      <c r="K720" s="6">
        <f t="shared" si="44"/>
        <v>71604</v>
      </c>
      <c r="L720" s="6">
        <f t="shared" si="45"/>
        <v>114582</v>
      </c>
      <c r="M720" s="6">
        <f t="shared" si="46"/>
        <v>42978</v>
      </c>
      <c r="N720" s="6" t="str">
        <f t="shared" si="47"/>
        <v>profit</v>
      </c>
    </row>
    <row r="721" spans="1:14" ht="16.5" thickTop="1" thickBot="1" x14ac:dyDescent="0.3">
      <c r="A721" s="4">
        <v>45467</v>
      </c>
      <c r="B721" s="4" t="s">
        <v>14</v>
      </c>
      <c r="C721" s="5" t="s">
        <v>291</v>
      </c>
      <c r="D721" s="5" t="s">
        <v>33</v>
      </c>
      <c r="E721" s="5" t="s">
        <v>120</v>
      </c>
      <c r="F721" s="5" t="s">
        <v>76</v>
      </c>
      <c r="G721" s="5" t="s">
        <v>28</v>
      </c>
      <c r="H721" s="5">
        <v>76</v>
      </c>
      <c r="I721" s="5">
        <v>624</v>
      </c>
      <c r="J721" s="5">
        <v>899</v>
      </c>
      <c r="K721" s="6">
        <f t="shared" si="44"/>
        <v>47424</v>
      </c>
      <c r="L721" s="6">
        <f t="shared" si="45"/>
        <v>68324</v>
      </c>
      <c r="M721" s="6">
        <f t="shared" si="46"/>
        <v>20900</v>
      </c>
      <c r="N721" s="6" t="str">
        <f t="shared" si="47"/>
        <v>profit</v>
      </c>
    </row>
    <row r="722" spans="1:14" ht="16.5" thickTop="1" thickBot="1" x14ac:dyDescent="0.3">
      <c r="A722" s="4">
        <v>45441</v>
      </c>
      <c r="B722" s="4" t="s">
        <v>97</v>
      </c>
      <c r="C722" s="5" t="s">
        <v>108</v>
      </c>
      <c r="D722" s="5" t="s">
        <v>33</v>
      </c>
      <c r="E722" s="5" t="s">
        <v>99</v>
      </c>
      <c r="F722" s="5" t="s">
        <v>54</v>
      </c>
      <c r="G722" s="5" t="s">
        <v>28</v>
      </c>
      <c r="H722" s="5">
        <v>59</v>
      </c>
      <c r="I722" s="5">
        <v>716</v>
      </c>
      <c r="J722" s="5">
        <v>1257</v>
      </c>
      <c r="K722" s="6">
        <f t="shared" si="44"/>
        <v>42244</v>
      </c>
      <c r="L722" s="6">
        <f t="shared" si="45"/>
        <v>74163</v>
      </c>
      <c r="M722" s="6">
        <f t="shared" si="46"/>
        <v>31919</v>
      </c>
      <c r="N722" s="6" t="str">
        <f t="shared" si="47"/>
        <v>profit</v>
      </c>
    </row>
    <row r="723" spans="1:14" ht="16.5" thickTop="1" thickBot="1" x14ac:dyDescent="0.3">
      <c r="A723" s="4">
        <v>45468</v>
      </c>
      <c r="B723" s="4" t="s">
        <v>14</v>
      </c>
      <c r="C723" s="5" t="s">
        <v>292</v>
      </c>
      <c r="D723" s="5" t="s">
        <v>33</v>
      </c>
      <c r="E723" s="5" t="s">
        <v>120</v>
      </c>
      <c r="F723" s="5" t="s">
        <v>78</v>
      </c>
      <c r="G723" s="5" t="s">
        <v>28</v>
      </c>
      <c r="H723" s="5">
        <v>99</v>
      </c>
      <c r="I723" s="5">
        <v>598</v>
      </c>
      <c r="J723" s="5">
        <v>1404</v>
      </c>
      <c r="K723" s="6">
        <f t="shared" si="44"/>
        <v>59202</v>
      </c>
      <c r="L723" s="6">
        <f t="shared" si="45"/>
        <v>138996</v>
      </c>
      <c r="M723" s="6">
        <f t="shared" si="46"/>
        <v>79794</v>
      </c>
      <c r="N723" s="6" t="str">
        <f t="shared" si="47"/>
        <v>profit</v>
      </c>
    </row>
    <row r="724" spans="1:14" ht="16.5" thickTop="1" thickBot="1" x14ac:dyDescent="0.3">
      <c r="A724" s="4">
        <v>45469</v>
      </c>
      <c r="B724" s="4" t="s">
        <v>14</v>
      </c>
      <c r="C724" s="5" t="s">
        <v>293</v>
      </c>
      <c r="D724" s="5" t="s">
        <v>33</v>
      </c>
      <c r="E724" s="5" t="s">
        <v>120</v>
      </c>
      <c r="F724" s="5" t="s">
        <v>35</v>
      </c>
      <c r="G724" s="5" t="s">
        <v>28</v>
      </c>
      <c r="H724" s="5">
        <v>78</v>
      </c>
      <c r="I724" s="5">
        <v>761</v>
      </c>
      <c r="J724" s="5">
        <v>1174</v>
      </c>
      <c r="K724" s="6">
        <f t="shared" si="44"/>
        <v>59358</v>
      </c>
      <c r="L724" s="6">
        <f t="shared" si="45"/>
        <v>91572</v>
      </c>
      <c r="M724" s="6">
        <f t="shared" si="46"/>
        <v>32214</v>
      </c>
      <c r="N724" s="6" t="str">
        <f t="shared" si="47"/>
        <v>profit</v>
      </c>
    </row>
    <row r="725" spans="1:14" ht="16.5" thickTop="1" thickBot="1" x14ac:dyDescent="0.3">
      <c r="A725" s="4">
        <v>45470</v>
      </c>
      <c r="B725" s="4" t="s">
        <v>14</v>
      </c>
      <c r="C725" s="5" t="s">
        <v>294</v>
      </c>
      <c r="D725" s="5" t="s">
        <v>33</v>
      </c>
      <c r="E725" s="5" t="s">
        <v>120</v>
      </c>
      <c r="F725" s="5" t="s">
        <v>44</v>
      </c>
      <c r="G725" s="5" t="s">
        <v>28</v>
      </c>
      <c r="H725" s="5">
        <v>96</v>
      </c>
      <c r="I725" s="5">
        <v>512</v>
      </c>
      <c r="J725" s="5">
        <v>970</v>
      </c>
      <c r="K725" s="6">
        <f t="shared" si="44"/>
        <v>49152</v>
      </c>
      <c r="L725" s="6">
        <f t="shared" si="45"/>
        <v>93120</v>
      </c>
      <c r="M725" s="6">
        <f t="shared" si="46"/>
        <v>43968</v>
      </c>
      <c r="N725" s="6" t="str">
        <f t="shared" si="47"/>
        <v>profit</v>
      </c>
    </row>
    <row r="726" spans="1:14" ht="16.5" thickTop="1" thickBot="1" x14ac:dyDescent="0.3">
      <c r="A726" s="4">
        <v>45471</v>
      </c>
      <c r="B726" s="4" t="s">
        <v>14</v>
      </c>
      <c r="C726" s="5" t="s">
        <v>295</v>
      </c>
      <c r="D726" s="5" t="s">
        <v>33</v>
      </c>
      <c r="E726" s="5" t="s">
        <v>120</v>
      </c>
      <c r="F726" s="5" t="s">
        <v>60</v>
      </c>
      <c r="G726" s="5" t="s">
        <v>28</v>
      </c>
      <c r="H726" s="5">
        <v>85</v>
      </c>
      <c r="I726" s="5">
        <v>765</v>
      </c>
      <c r="J726" s="5">
        <v>1024</v>
      </c>
      <c r="K726" s="6">
        <f t="shared" si="44"/>
        <v>65025</v>
      </c>
      <c r="L726" s="6">
        <f t="shared" si="45"/>
        <v>87040</v>
      </c>
      <c r="M726" s="6">
        <f t="shared" si="46"/>
        <v>22015</v>
      </c>
      <c r="N726" s="6" t="str">
        <f t="shared" si="47"/>
        <v>profit</v>
      </c>
    </row>
    <row r="727" spans="1:14" ht="16.5" thickTop="1" thickBot="1" x14ac:dyDescent="0.3">
      <c r="A727" s="4">
        <v>45495</v>
      </c>
      <c r="B727" s="4" t="s">
        <v>40</v>
      </c>
      <c r="C727" s="5" t="s">
        <v>296</v>
      </c>
      <c r="D727" s="5" t="s">
        <v>33</v>
      </c>
      <c r="E727" s="5" t="s">
        <v>99</v>
      </c>
      <c r="F727" s="5" t="s">
        <v>21</v>
      </c>
      <c r="G727" s="5" t="s">
        <v>19</v>
      </c>
      <c r="H727" s="5">
        <v>59</v>
      </c>
      <c r="I727" s="5">
        <v>663</v>
      </c>
      <c r="J727" s="5">
        <v>872</v>
      </c>
      <c r="K727" s="6">
        <f t="shared" si="44"/>
        <v>39117</v>
      </c>
      <c r="L727" s="6">
        <f t="shared" si="45"/>
        <v>51448</v>
      </c>
      <c r="M727" s="6">
        <f t="shared" si="46"/>
        <v>12331</v>
      </c>
      <c r="N727" s="6" t="str">
        <f t="shared" si="47"/>
        <v>profit</v>
      </c>
    </row>
    <row r="728" spans="1:14" ht="16.5" thickTop="1" thickBot="1" x14ac:dyDescent="0.3">
      <c r="A728" s="4">
        <v>45496</v>
      </c>
      <c r="B728" s="4" t="s">
        <v>40</v>
      </c>
      <c r="C728" s="5" t="s">
        <v>297</v>
      </c>
      <c r="D728" s="5" t="s">
        <v>33</v>
      </c>
      <c r="E728" s="5" t="s">
        <v>99</v>
      </c>
      <c r="F728" s="5" t="s">
        <v>23</v>
      </c>
      <c r="G728" s="5" t="s">
        <v>19</v>
      </c>
      <c r="H728" s="5">
        <v>75</v>
      </c>
      <c r="I728" s="5">
        <v>871</v>
      </c>
      <c r="J728" s="5">
        <v>1274</v>
      </c>
      <c r="K728" s="6">
        <f t="shared" si="44"/>
        <v>65325</v>
      </c>
      <c r="L728" s="6">
        <f t="shared" si="45"/>
        <v>95550</v>
      </c>
      <c r="M728" s="6">
        <f t="shared" si="46"/>
        <v>30225</v>
      </c>
      <c r="N728" s="6" t="str">
        <f t="shared" si="47"/>
        <v>profit</v>
      </c>
    </row>
    <row r="729" spans="1:14" ht="16.5" thickTop="1" thickBot="1" x14ac:dyDescent="0.3">
      <c r="A729" s="4">
        <v>45497</v>
      </c>
      <c r="B729" s="4" t="s">
        <v>40</v>
      </c>
      <c r="C729" s="5" t="s">
        <v>298</v>
      </c>
      <c r="D729" s="5" t="s">
        <v>33</v>
      </c>
      <c r="E729" s="5" t="s">
        <v>99</v>
      </c>
      <c r="F729" s="5" t="s">
        <v>25</v>
      </c>
      <c r="G729" s="5" t="s">
        <v>19</v>
      </c>
      <c r="H729" s="5">
        <v>87</v>
      </c>
      <c r="I729" s="5">
        <v>869</v>
      </c>
      <c r="J729" s="5">
        <v>1247</v>
      </c>
      <c r="K729" s="6">
        <f t="shared" si="44"/>
        <v>75603</v>
      </c>
      <c r="L729" s="6">
        <f t="shared" si="45"/>
        <v>108489</v>
      </c>
      <c r="M729" s="6">
        <f t="shared" si="46"/>
        <v>32886</v>
      </c>
      <c r="N729" s="6" t="str">
        <f t="shared" si="47"/>
        <v>profit</v>
      </c>
    </row>
    <row r="730" spans="1:14" ht="16.5" thickTop="1" thickBot="1" x14ac:dyDescent="0.3">
      <c r="A730" s="4">
        <v>45498</v>
      </c>
      <c r="B730" s="4" t="s">
        <v>40</v>
      </c>
      <c r="C730" s="5" t="s">
        <v>299</v>
      </c>
      <c r="D730" s="5" t="s">
        <v>33</v>
      </c>
      <c r="E730" s="5" t="s">
        <v>99</v>
      </c>
      <c r="F730" s="5" t="s">
        <v>25</v>
      </c>
      <c r="G730" s="5" t="s">
        <v>19</v>
      </c>
      <c r="H730" s="5">
        <v>100</v>
      </c>
      <c r="I730" s="5">
        <v>605</v>
      </c>
      <c r="J730" s="5">
        <v>1249</v>
      </c>
      <c r="K730" s="6">
        <f t="shared" si="44"/>
        <v>60500</v>
      </c>
      <c r="L730" s="6">
        <f t="shared" si="45"/>
        <v>124900</v>
      </c>
      <c r="M730" s="6">
        <f t="shared" si="46"/>
        <v>64400</v>
      </c>
      <c r="N730" s="6" t="str">
        <f t="shared" si="47"/>
        <v>profit</v>
      </c>
    </row>
    <row r="731" spans="1:14" ht="16.5" thickTop="1" thickBot="1" x14ac:dyDescent="0.3">
      <c r="A731" s="4">
        <v>45499</v>
      </c>
      <c r="B731" s="4" t="s">
        <v>40</v>
      </c>
      <c r="C731" s="5" t="s">
        <v>300</v>
      </c>
      <c r="D731" s="5" t="s">
        <v>33</v>
      </c>
      <c r="E731" s="5" t="s">
        <v>99</v>
      </c>
      <c r="F731" s="5" t="s">
        <v>27</v>
      </c>
      <c r="G731" s="5" t="s">
        <v>19</v>
      </c>
      <c r="H731" s="5">
        <v>51</v>
      </c>
      <c r="I731" s="5">
        <v>798</v>
      </c>
      <c r="J731" s="5">
        <v>910</v>
      </c>
      <c r="K731" s="6">
        <f t="shared" si="44"/>
        <v>40698</v>
      </c>
      <c r="L731" s="6">
        <f t="shared" si="45"/>
        <v>46410</v>
      </c>
      <c r="M731" s="6">
        <f t="shared" si="46"/>
        <v>5712</v>
      </c>
      <c r="N731" s="6" t="str">
        <f t="shared" si="47"/>
        <v>profit</v>
      </c>
    </row>
    <row r="732" spans="1:14" ht="16.5" thickTop="1" thickBot="1" x14ac:dyDescent="0.3">
      <c r="A732" s="4">
        <v>45500</v>
      </c>
      <c r="B732" s="4" t="s">
        <v>40</v>
      </c>
      <c r="C732" s="5" t="s">
        <v>301</v>
      </c>
      <c r="D732" s="5" t="s">
        <v>33</v>
      </c>
      <c r="E732" s="5" t="s">
        <v>99</v>
      </c>
      <c r="F732" s="5" t="s">
        <v>30</v>
      </c>
      <c r="G732" s="5" t="s">
        <v>19</v>
      </c>
      <c r="H732" s="5">
        <v>52</v>
      </c>
      <c r="I732" s="5">
        <v>984</v>
      </c>
      <c r="J732" s="5">
        <v>992</v>
      </c>
      <c r="K732" s="6">
        <f t="shared" si="44"/>
        <v>51168</v>
      </c>
      <c r="L732" s="6">
        <f t="shared" si="45"/>
        <v>51584</v>
      </c>
      <c r="M732" s="6">
        <f t="shared" si="46"/>
        <v>416</v>
      </c>
      <c r="N732" s="6" t="str">
        <f t="shared" si="47"/>
        <v>profit</v>
      </c>
    </row>
    <row r="733" spans="1:14" ht="16.5" thickTop="1" thickBot="1" x14ac:dyDescent="0.3">
      <c r="A733" s="4">
        <v>45501</v>
      </c>
      <c r="B733" s="4" t="s">
        <v>40</v>
      </c>
      <c r="C733" s="5" t="s">
        <v>302</v>
      </c>
      <c r="D733" s="5" t="s">
        <v>33</v>
      </c>
      <c r="E733" s="5" t="s">
        <v>99</v>
      </c>
      <c r="F733" s="5" t="s">
        <v>25</v>
      </c>
      <c r="G733" s="5" t="s">
        <v>19</v>
      </c>
      <c r="H733" s="5">
        <v>97</v>
      </c>
      <c r="I733" s="5">
        <v>565</v>
      </c>
      <c r="J733" s="5">
        <v>995</v>
      </c>
      <c r="K733" s="6">
        <f t="shared" si="44"/>
        <v>54805</v>
      </c>
      <c r="L733" s="6">
        <f t="shared" si="45"/>
        <v>96515</v>
      </c>
      <c r="M733" s="6">
        <f t="shared" si="46"/>
        <v>41710</v>
      </c>
      <c r="N733" s="6" t="str">
        <f t="shared" si="47"/>
        <v>profit</v>
      </c>
    </row>
    <row r="734" spans="1:14" ht="16.5" thickTop="1" thickBot="1" x14ac:dyDescent="0.3">
      <c r="A734" s="4">
        <v>45502</v>
      </c>
      <c r="B734" s="4" t="s">
        <v>40</v>
      </c>
      <c r="C734" s="5" t="s">
        <v>303</v>
      </c>
      <c r="D734" s="5" t="s">
        <v>33</v>
      </c>
      <c r="E734" s="5" t="s">
        <v>99</v>
      </c>
      <c r="F734" s="5" t="s">
        <v>76</v>
      </c>
      <c r="G734" s="5" t="s">
        <v>19</v>
      </c>
      <c r="H734" s="5">
        <v>58</v>
      </c>
      <c r="I734" s="5">
        <v>799</v>
      </c>
      <c r="J734" s="5">
        <v>1273</v>
      </c>
      <c r="K734" s="6">
        <f t="shared" si="44"/>
        <v>46342</v>
      </c>
      <c r="L734" s="6">
        <f t="shared" si="45"/>
        <v>73834</v>
      </c>
      <c r="M734" s="6">
        <f t="shared" si="46"/>
        <v>27492</v>
      </c>
      <c r="N734" s="6" t="str">
        <f t="shared" si="47"/>
        <v>profit</v>
      </c>
    </row>
    <row r="735" spans="1:14" ht="16.5" thickTop="1" thickBot="1" x14ac:dyDescent="0.3">
      <c r="A735" s="4">
        <v>45503</v>
      </c>
      <c r="B735" s="4" t="s">
        <v>40</v>
      </c>
      <c r="C735" s="5" t="s">
        <v>304</v>
      </c>
      <c r="D735" s="5" t="s">
        <v>33</v>
      </c>
      <c r="E735" s="5" t="s">
        <v>99</v>
      </c>
      <c r="F735" s="5" t="s">
        <v>71</v>
      </c>
      <c r="G735" s="5" t="s">
        <v>28</v>
      </c>
      <c r="H735" s="5">
        <v>69</v>
      </c>
      <c r="I735" s="5">
        <v>524</v>
      </c>
      <c r="J735" s="5">
        <v>893</v>
      </c>
      <c r="K735" s="6">
        <f t="shared" si="44"/>
        <v>36156</v>
      </c>
      <c r="L735" s="6">
        <f t="shared" si="45"/>
        <v>61617</v>
      </c>
      <c r="M735" s="6">
        <f t="shared" si="46"/>
        <v>25461</v>
      </c>
      <c r="N735" s="6" t="str">
        <f t="shared" si="47"/>
        <v>profit</v>
      </c>
    </row>
    <row r="736" spans="1:14" ht="16.5" thickTop="1" thickBot="1" x14ac:dyDescent="0.3">
      <c r="A736" s="4">
        <v>45504</v>
      </c>
      <c r="B736" s="4" t="s">
        <v>40</v>
      </c>
      <c r="C736" s="5" t="s">
        <v>305</v>
      </c>
      <c r="D736" s="5" t="s">
        <v>33</v>
      </c>
      <c r="E736" s="5" t="s">
        <v>99</v>
      </c>
      <c r="F736" s="5" t="s">
        <v>44</v>
      </c>
      <c r="G736" s="5" t="s">
        <v>28</v>
      </c>
      <c r="H736" s="5">
        <v>81</v>
      </c>
      <c r="I736" s="5">
        <v>903</v>
      </c>
      <c r="J736" s="5">
        <v>1306</v>
      </c>
      <c r="K736" s="6">
        <f t="shared" si="44"/>
        <v>73143</v>
      </c>
      <c r="L736" s="6">
        <f t="shared" si="45"/>
        <v>105786</v>
      </c>
      <c r="M736" s="6">
        <f t="shared" si="46"/>
        <v>32643</v>
      </c>
      <c r="N736" s="6" t="str">
        <f t="shared" si="47"/>
        <v>profit</v>
      </c>
    </row>
    <row r="737" spans="1:14" ht="16.5" thickTop="1" thickBot="1" x14ac:dyDescent="0.3">
      <c r="A737" s="4">
        <v>45505</v>
      </c>
      <c r="B737" s="4" t="s">
        <v>57</v>
      </c>
      <c r="C737" s="5" t="s">
        <v>306</v>
      </c>
      <c r="D737" s="5" t="s">
        <v>33</v>
      </c>
      <c r="E737" s="5" t="s">
        <v>99</v>
      </c>
      <c r="F737" s="5" t="s">
        <v>25</v>
      </c>
      <c r="G737" s="5" t="s">
        <v>28</v>
      </c>
      <c r="H737" s="5">
        <v>89</v>
      </c>
      <c r="I737" s="5">
        <v>584</v>
      </c>
      <c r="J737" s="5">
        <v>777</v>
      </c>
      <c r="K737" s="6">
        <f t="shared" si="44"/>
        <v>51976</v>
      </c>
      <c r="L737" s="6">
        <f t="shared" si="45"/>
        <v>69153</v>
      </c>
      <c r="M737" s="6">
        <f t="shared" si="46"/>
        <v>17177</v>
      </c>
      <c r="N737" s="6" t="str">
        <f t="shared" si="47"/>
        <v>profit</v>
      </c>
    </row>
    <row r="738" spans="1:14" ht="16.5" thickTop="1" thickBot="1" x14ac:dyDescent="0.3">
      <c r="A738" s="4">
        <v>45506</v>
      </c>
      <c r="B738" s="4" t="s">
        <v>57</v>
      </c>
      <c r="C738" s="5" t="s">
        <v>307</v>
      </c>
      <c r="D738" s="5" t="s">
        <v>33</v>
      </c>
      <c r="E738" s="5" t="s">
        <v>99</v>
      </c>
      <c r="F738" s="5" t="s">
        <v>64</v>
      </c>
      <c r="G738" s="5" t="s">
        <v>28</v>
      </c>
      <c r="H738" s="5">
        <v>75</v>
      </c>
      <c r="I738" s="5">
        <v>906</v>
      </c>
      <c r="J738" s="5">
        <v>954</v>
      </c>
      <c r="K738" s="6">
        <f t="shared" si="44"/>
        <v>67950</v>
      </c>
      <c r="L738" s="6">
        <f t="shared" si="45"/>
        <v>71550</v>
      </c>
      <c r="M738" s="6">
        <f t="shared" si="46"/>
        <v>3600</v>
      </c>
      <c r="N738" s="6" t="str">
        <f t="shared" si="47"/>
        <v>profit</v>
      </c>
    </row>
    <row r="739" spans="1:14" ht="16.5" thickTop="1" thickBot="1" x14ac:dyDescent="0.3">
      <c r="A739" s="4">
        <v>45458</v>
      </c>
      <c r="B739" s="4" t="s">
        <v>14</v>
      </c>
      <c r="C739" s="5" t="s">
        <v>114</v>
      </c>
      <c r="D739" s="5" t="s">
        <v>16</v>
      </c>
      <c r="E739" s="5" t="s">
        <v>17</v>
      </c>
      <c r="F739" s="5" t="s">
        <v>25</v>
      </c>
      <c r="G739" s="5" t="s">
        <v>19</v>
      </c>
      <c r="H739" s="5">
        <v>17</v>
      </c>
      <c r="I739" s="5">
        <v>901</v>
      </c>
      <c r="J739" s="5">
        <v>1283</v>
      </c>
      <c r="K739" s="6">
        <f t="shared" si="44"/>
        <v>15317</v>
      </c>
      <c r="L739" s="6">
        <f t="shared" si="45"/>
        <v>21811</v>
      </c>
      <c r="M739" s="6">
        <f t="shared" si="46"/>
        <v>6494</v>
      </c>
      <c r="N739" s="6" t="str">
        <f t="shared" si="47"/>
        <v>profit</v>
      </c>
    </row>
    <row r="740" spans="1:14" ht="16.5" thickTop="1" thickBot="1" x14ac:dyDescent="0.3">
      <c r="A740" s="4">
        <v>45508</v>
      </c>
      <c r="B740" s="4" t="s">
        <v>57</v>
      </c>
      <c r="C740" s="5" t="s">
        <v>308</v>
      </c>
      <c r="D740" s="5" t="s">
        <v>33</v>
      </c>
      <c r="E740" s="5" t="s">
        <v>120</v>
      </c>
      <c r="F740" s="5" t="s">
        <v>78</v>
      </c>
      <c r="G740" s="5" t="s">
        <v>19</v>
      </c>
      <c r="H740" s="5">
        <v>98</v>
      </c>
      <c r="I740" s="5">
        <v>925</v>
      </c>
      <c r="J740" s="5">
        <v>904</v>
      </c>
      <c r="K740" s="6">
        <f t="shared" si="44"/>
        <v>90650</v>
      </c>
      <c r="L740" s="6">
        <f t="shared" si="45"/>
        <v>88592</v>
      </c>
      <c r="M740" s="6">
        <f t="shared" si="46"/>
        <v>-2058</v>
      </c>
      <c r="N740" s="6" t="str">
        <f t="shared" si="47"/>
        <v>loss</v>
      </c>
    </row>
    <row r="741" spans="1:14" ht="16.5" thickTop="1" thickBot="1" x14ac:dyDescent="0.3">
      <c r="A741" s="4">
        <v>45509</v>
      </c>
      <c r="B741" s="4" t="s">
        <v>57</v>
      </c>
      <c r="C741" s="5" t="s">
        <v>309</v>
      </c>
      <c r="D741" s="5" t="s">
        <v>33</v>
      </c>
      <c r="E741" s="5" t="s">
        <v>120</v>
      </c>
      <c r="F741" s="5" t="s">
        <v>35</v>
      </c>
      <c r="G741" s="5" t="s">
        <v>19</v>
      </c>
      <c r="H741" s="5">
        <v>73</v>
      </c>
      <c r="I741" s="5">
        <v>508</v>
      </c>
      <c r="J741" s="5">
        <v>1324</v>
      </c>
      <c r="K741" s="6">
        <f t="shared" si="44"/>
        <v>37084</v>
      </c>
      <c r="L741" s="6">
        <f t="shared" si="45"/>
        <v>96652</v>
      </c>
      <c r="M741" s="6">
        <f t="shared" si="46"/>
        <v>59568</v>
      </c>
      <c r="N741" s="6" t="str">
        <f t="shared" si="47"/>
        <v>profit</v>
      </c>
    </row>
    <row r="742" spans="1:14" ht="16.5" thickTop="1" thickBot="1" x14ac:dyDescent="0.3">
      <c r="A742" s="4">
        <v>45528</v>
      </c>
      <c r="B742" s="4" t="s">
        <v>57</v>
      </c>
      <c r="C742" s="5" t="s">
        <v>310</v>
      </c>
      <c r="D742" s="5" t="s">
        <v>33</v>
      </c>
      <c r="E742" s="5" t="s">
        <v>99</v>
      </c>
      <c r="F742" s="5" t="s">
        <v>39</v>
      </c>
      <c r="G742" s="5" t="s">
        <v>19</v>
      </c>
      <c r="H742" s="5">
        <v>87</v>
      </c>
      <c r="I742" s="5">
        <v>876</v>
      </c>
      <c r="J742" s="5">
        <v>880</v>
      </c>
      <c r="K742" s="6">
        <f t="shared" si="44"/>
        <v>76212</v>
      </c>
      <c r="L742" s="6">
        <f t="shared" si="45"/>
        <v>76560</v>
      </c>
      <c r="M742" s="6">
        <f t="shared" si="46"/>
        <v>348</v>
      </c>
      <c r="N742" s="6" t="str">
        <f t="shared" si="47"/>
        <v>profit</v>
      </c>
    </row>
    <row r="743" spans="1:14" ht="16.5" thickTop="1" thickBot="1" x14ac:dyDescent="0.3">
      <c r="A743" s="4">
        <v>45529</v>
      </c>
      <c r="B743" s="4" t="s">
        <v>57</v>
      </c>
      <c r="C743" s="5" t="s">
        <v>311</v>
      </c>
      <c r="D743" s="5" t="s">
        <v>33</v>
      </c>
      <c r="E743" s="5" t="s">
        <v>99</v>
      </c>
      <c r="F743" s="5" t="s">
        <v>30</v>
      </c>
      <c r="G743" s="5" t="s">
        <v>19</v>
      </c>
      <c r="H743" s="5">
        <v>69</v>
      </c>
      <c r="I743" s="5">
        <v>993</v>
      </c>
      <c r="J743" s="5">
        <v>862</v>
      </c>
      <c r="K743" s="6">
        <f t="shared" si="44"/>
        <v>68517</v>
      </c>
      <c r="L743" s="6">
        <f t="shared" si="45"/>
        <v>59478</v>
      </c>
      <c r="M743" s="6">
        <f t="shared" si="46"/>
        <v>-9039</v>
      </c>
      <c r="N743" s="6" t="str">
        <f t="shared" si="47"/>
        <v>loss</v>
      </c>
    </row>
    <row r="744" spans="1:14" ht="16.5" thickTop="1" thickBot="1" x14ac:dyDescent="0.3">
      <c r="A744" s="4">
        <v>45530</v>
      </c>
      <c r="B744" s="4" t="s">
        <v>57</v>
      </c>
      <c r="C744" s="5" t="s">
        <v>312</v>
      </c>
      <c r="D744" s="5" t="s">
        <v>33</v>
      </c>
      <c r="E744" s="5" t="s">
        <v>99</v>
      </c>
      <c r="F744" s="5" t="s">
        <v>113</v>
      </c>
      <c r="G744" s="5" t="s">
        <v>19</v>
      </c>
      <c r="H744" s="5">
        <v>62</v>
      </c>
      <c r="I744" s="5">
        <v>781</v>
      </c>
      <c r="J744" s="5">
        <v>946</v>
      </c>
      <c r="K744" s="6">
        <f t="shared" si="44"/>
        <v>48422</v>
      </c>
      <c r="L744" s="6">
        <f t="shared" si="45"/>
        <v>58652</v>
      </c>
      <c r="M744" s="6">
        <f t="shared" si="46"/>
        <v>10230</v>
      </c>
      <c r="N744" s="6" t="str">
        <f t="shared" si="47"/>
        <v>profit</v>
      </c>
    </row>
    <row r="745" spans="1:14" ht="16.5" thickTop="1" thickBot="1" x14ac:dyDescent="0.3">
      <c r="A745" s="4">
        <v>45464</v>
      </c>
      <c r="B745" s="4" t="s">
        <v>14</v>
      </c>
      <c r="C745" s="5" t="s">
        <v>115</v>
      </c>
      <c r="D745" s="5" t="s">
        <v>33</v>
      </c>
      <c r="E745" s="5" t="s">
        <v>99</v>
      </c>
      <c r="F745" s="5" t="s">
        <v>44</v>
      </c>
      <c r="G745" s="5" t="s">
        <v>19</v>
      </c>
      <c r="H745" s="5">
        <v>83</v>
      </c>
      <c r="I745" s="5">
        <v>889</v>
      </c>
      <c r="J745" s="5">
        <v>1075</v>
      </c>
      <c r="K745" s="6">
        <f t="shared" si="44"/>
        <v>73787</v>
      </c>
      <c r="L745" s="6">
        <f t="shared" si="45"/>
        <v>89225</v>
      </c>
      <c r="M745" s="6">
        <f t="shared" si="46"/>
        <v>15438</v>
      </c>
      <c r="N745" s="6" t="str">
        <f t="shared" si="47"/>
        <v>profit</v>
      </c>
    </row>
    <row r="746" spans="1:14" ht="16.5" thickTop="1" thickBot="1" x14ac:dyDescent="0.3">
      <c r="A746" s="4">
        <v>45531</v>
      </c>
      <c r="B746" s="4" t="s">
        <v>57</v>
      </c>
      <c r="C746" s="5" t="s">
        <v>313</v>
      </c>
      <c r="D746" s="5" t="s">
        <v>33</v>
      </c>
      <c r="E746" s="5" t="s">
        <v>99</v>
      </c>
      <c r="F746" s="5" t="s">
        <v>44</v>
      </c>
      <c r="G746" s="5" t="s">
        <v>19</v>
      </c>
      <c r="H746" s="5">
        <v>63</v>
      </c>
      <c r="I746" s="5">
        <v>718</v>
      </c>
      <c r="J746" s="5">
        <v>1047</v>
      </c>
      <c r="K746" s="6">
        <f t="shared" si="44"/>
        <v>45234</v>
      </c>
      <c r="L746" s="6">
        <f t="shared" si="45"/>
        <v>65961</v>
      </c>
      <c r="M746" s="6">
        <f t="shared" si="46"/>
        <v>20727</v>
      </c>
      <c r="N746" s="6" t="str">
        <f t="shared" si="47"/>
        <v>profit</v>
      </c>
    </row>
    <row r="747" spans="1:14" ht="16.5" thickTop="1" thickBot="1" x14ac:dyDescent="0.3">
      <c r="A747" s="4">
        <v>45532</v>
      </c>
      <c r="B747" s="4" t="s">
        <v>57</v>
      </c>
      <c r="C747" s="5" t="s">
        <v>314</v>
      </c>
      <c r="D747" s="5" t="s">
        <v>33</v>
      </c>
      <c r="E747" s="5" t="s">
        <v>99</v>
      </c>
      <c r="F747" s="5" t="s">
        <v>153</v>
      </c>
      <c r="G747" s="5" t="s">
        <v>19</v>
      </c>
      <c r="H747" s="5">
        <v>72</v>
      </c>
      <c r="I747" s="5">
        <v>673</v>
      </c>
      <c r="J747" s="5">
        <v>1027</v>
      </c>
      <c r="K747" s="6">
        <f t="shared" si="44"/>
        <v>48456</v>
      </c>
      <c r="L747" s="6">
        <f t="shared" si="45"/>
        <v>73944</v>
      </c>
      <c r="M747" s="6">
        <f t="shared" si="46"/>
        <v>25488</v>
      </c>
      <c r="N747" s="6" t="str">
        <f t="shared" si="47"/>
        <v>profit</v>
      </c>
    </row>
    <row r="748" spans="1:14" ht="16.5" thickTop="1" thickBot="1" x14ac:dyDescent="0.3">
      <c r="A748" s="4">
        <v>45533</v>
      </c>
      <c r="B748" s="4" t="s">
        <v>57</v>
      </c>
      <c r="C748" s="5" t="s">
        <v>315</v>
      </c>
      <c r="D748" s="5" t="s">
        <v>33</v>
      </c>
      <c r="E748" s="5" t="s">
        <v>99</v>
      </c>
      <c r="F748" s="5" t="s">
        <v>155</v>
      </c>
      <c r="G748" s="5" t="s">
        <v>19</v>
      </c>
      <c r="H748" s="5">
        <v>76</v>
      </c>
      <c r="I748" s="5">
        <v>567</v>
      </c>
      <c r="J748" s="5">
        <v>897</v>
      </c>
      <c r="K748" s="6">
        <f t="shared" si="44"/>
        <v>43092</v>
      </c>
      <c r="L748" s="6">
        <f t="shared" si="45"/>
        <v>68172</v>
      </c>
      <c r="M748" s="6">
        <f t="shared" si="46"/>
        <v>25080</v>
      </c>
      <c r="N748" s="6" t="str">
        <f t="shared" si="47"/>
        <v>profit</v>
      </c>
    </row>
    <row r="749" spans="1:14" ht="16.5" thickTop="1" thickBot="1" x14ac:dyDescent="0.3">
      <c r="A749" s="4">
        <v>45534</v>
      </c>
      <c r="B749" s="4" t="s">
        <v>57</v>
      </c>
      <c r="C749" s="5" t="s">
        <v>316</v>
      </c>
      <c r="D749" s="5" t="s">
        <v>33</v>
      </c>
      <c r="E749" s="5" t="s">
        <v>99</v>
      </c>
      <c r="F749" s="5" t="s">
        <v>18</v>
      </c>
      <c r="G749" s="5" t="s">
        <v>28</v>
      </c>
      <c r="H749" s="5">
        <v>70</v>
      </c>
      <c r="I749" s="5">
        <v>751</v>
      </c>
      <c r="J749" s="5">
        <v>1026</v>
      </c>
      <c r="K749" s="6">
        <f t="shared" si="44"/>
        <v>52570</v>
      </c>
      <c r="L749" s="6">
        <f t="shared" si="45"/>
        <v>71820</v>
      </c>
      <c r="M749" s="6">
        <f t="shared" si="46"/>
        <v>19250</v>
      </c>
      <c r="N749" s="6" t="str">
        <f t="shared" si="47"/>
        <v>profit</v>
      </c>
    </row>
    <row r="750" spans="1:14" ht="16.5" thickTop="1" thickBot="1" x14ac:dyDescent="0.3">
      <c r="A750" s="4">
        <v>45536</v>
      </c>
      <c r="B750" s="4" t="s">
        <v>69</v>
      </c>
      <c r="C750" s="5" t="s">
        <v>317</v>
      </c>
      <c r="D750" s="5" t="s">
        <v>33</v>
      </c>
      <c r="E750" s="5" t="s">
        <v>99</v>
      </c>
      <c r="F750" s="5" t="s">
        <v>23</v>
      </c>
      <c r="G750" s="5" t="s">
        <v>28</v>
      </c>
      <c r="H750" s="5">
        <v>56</v>
      </c>
      <c r="I750" s="5">
        <v>559</v>
      </c>
      <c r="J750" s="5">
        <v>1151</v>
      </c>
      <c r="K750" s="6">
        <f t="shared" si="44"/>
        <v>31304</v>
      </c>
      <c r="L750" s="6">
        <f t="shared" si="45"/>
        <v>64456</v>
      </c>
      <c r="M750" s="6">
        <f t="shared" si="46"/>
        <v>33152</v>
      </c>
      <c r="N750" s="6" t="str">
        <f t="shared" si="47"/>
        <v>profit</v>
      </c>
    </row>
    <row r="751" spans="1:14" ht="16.5" thickTop="1" thickBot="1" x14ac:dyDescent="0.3">
      <c r="A751" s="4">
        <v>45537</v>
      </c>
      <c r="B751" s="4" t="s">
        <v>69</v>
      </c>
      <c r="C751" s="5" t="s">
        <v>318</v>
      </c>
      <c r="D751" s="5" t="s">
        <v>33</v>
      </c>
      <c r="E751" s="5" t="s">
        <v>120</v>
      </c>
      <c r="F751" s="5" t="s">
        <v>25</v>
      </c>
      <c r="G751" s="5" t="s">
        <v>28</v>
      </c>
      <c r="H751" s="5">
        <v>72</v>
      </c>
      <c r="I751" s="5">
        <v>719</v>
      </c>
      <c r="J751" s="5">
        <v>911</v>
      </c>
      <c r="K751" s="6">
        <f t="shared" si="44"/>
        <v>51768</v>
      </c>
      <c r="L751" s="6">
        <f t="shared" si="45"/>
        <v>65592</v>
      </c>
      <c r="M751" s="6">
        <f t="shared" si="46"/>
        <v>13824</v>
      </c>
      <c r="N751" s="6" t="str">
        <f t="shared" si="47"/>
        <v>profit</v>
      </c>
    </row>
    <row r="752" spans="1:14" ht="16.5" thickTop="1" thickBot="1" x14ac:dyDescent="0.3">
      <c r="A752" s="4">
        <v>45538</v>
      </c>
      <c r="B752" s="4" t="s">
        <v>69</v>
      </c>
      <c r="C752" s="5" t="s">
        <v>319</v>
      </c>
      <c r="D752" s="5" t="s">
        <v>33</v>
      </c>
      <c r="E752" s="5" t="s">
        <v>120</v>
      </c>
      <c r="F752" s="5" t="s">
        <v>25</v>
      </c>
      <c r="G752" s="5" t="s">
        <v>28</v>
      </c>
      <c r="H752" s="5">
        <v>89</v>
      </c>
      <c r="I752" s="5">
        <v>703</v>
      </c>
      <c r="J752" s="5">
        <v>795</v>
      </c>
      <c r="K752" s="6">
        <f t="shared" si="44"/>
        <v>62567</v>
      </c>
      <c r="L752" s="6">
        <f t="shared" si="45"/>
        <v>70755</v>
      </c>
      <c r="M752" s="6">
        <f t="shared" si="46"/>
        <v>8188</v>
      </c>
      <c r="N752" s="6" t="str">
        <f t="shared" si="47"/>
        <v>profit</v>
      </c>
    </row>
    <row r="753" spans="1:14" ht="16.5" thickTop="1" thickBot="1" x14ac:dyDescent="0.3">
      <c r="A753" s="4">
        <v>45539</v>
      </c>
      <c r="B753" s="4" t="s">
        <v>69</v>
      </c>
      <c r="C753" s="5" t="s">
        <v>320</v>
      </c>
      <c r="D753" s="5" t="s">
        <v>33</v>
      </c>
      <c r="E753" s="5" t="s">
        <v>120</v>
      </c>
      <c r="F753" s="5" t="s">
        <v>27</v>
      </c>
      <c r="G753" s="5" t="s">
        <v>19</v>
      </c>
      <c r="H753" s="5">
        <v>77</v>
      </c>
      <c r="I753" s="5">
        <v>780</v>
      </c>
      <c r="J753" s="5">
        <v>967</v>
      </c>
      <c r="K753" s="6">
        <f t="shared" si="44"/>
        <v>60060</v>
      </c>
      <c r="L753" s="6">
        <f t="shared" si="45"/>
        <v>74459</v>
      </c>
      <c r="M753" s="6">
        <f t="shared" si="46"/>
        <v>14399</v>
      </c>
      <c r="N753" s="6" t="str">
        <f t="shared" si="47"/>
        <v>profit</v>
      </c>
    </row>
    <row r="754" spans="1:14" ht="16.5" thickTop="1" thickBot="1" x14ac:dyDescent="0.3">
      <c r="A754" s="4">
        <v>45541</v>
      </c>
      <c r="B754" s="4" t="s">
        <v>69</v>
      </c>
      <c r="C754" s="5" t="s">
        <v>321</v>
      </c>
      <c r="D754" s="5" t="s">
        <v>33</v>
      </c>
      <c r="E754" s="5" t="s">
        <v>120</v>
      </c>
      <c r="F754" s="5" t="s">
        <v>25</v>
      </c>
      <c r="G754" s="5" t="s">
        <v>19</v>
      </c>
      <c r="H754" s="5">
        <v>54</v>
      </c>
      <c r="I754" s="5">
        <v>762</v>
      </c>
      <c r="J754" s="5">
        <v>1186</v>
      </c>
      <c r="K754" s="6">
        <f t="shared" si="44"/>
        <v>41148</v>
      </c>
      <c r="L754" s="6">
        <f t="shared" si="45"/>
        <v>64044</v>
      </c>
      <c r="M754" s="6">
        <f t="shared" si="46"/>
        <v>22896</v>
      </c>
      <c r="N754" s="6" t="str">
        <f t="shared" si="47"/>
        <v>profit</v>
      </c>
    </row>
    <row r="755" spans="1:14" ht="16.5" thickTop="1" thickBot="1" x14ac:dyDescent="0.3">
      <c r="A755" s="4">
        <v>45542</v>
      </c>
      <c r="B755" s="4" t="s">
        <v>69</v>
      </c>
      <c r="C755" s="5" t="s">
        <v>322</v>
      </c>
      <c r="D755" s="5" t="s">
        <v>33</v>
      </c>
      <c r="E755" s="5" t="s">
        <v>120</v>
      </c>
      <c r="F755" s="5" t="s">
        <v>76</v>
      </c>
      <c r="G755" s="5" t="s">
        <v>28</v>
      </c>
      <c r="H755" s="5">
        <v>91</v>
      </c>
      <c r="I755" s="5">
        <v>647</v>
      </c>
      <c r="J755" s="5">
        <v>1073</v>
      </c>
      <c r="K755" s="6">
        <f t="shared" si="44"/>
        <v>58877</v>
      </c>
      <c r="L755" s="6">
        <f t="shared" si="45"/>
        <v>97643</v>
      </c>
      <c r="M755" s="6">
        <f t="shared" si="46"/>
        <v>38766</v>
      </c>
      <c r="N755" s="6" t="str">
        <f t="shared" si="47"/>
        <v>profit</v>
      </c>
    </row>
    <row r="756" spans="1:14" ht="16.5" thickTop="1" thickBot="1" x14ac:dyDescent="0.3">
      <c r="A756" s="4">
        <v>45475</v>
      </c>
      <c r="B756" s="4" t="s">
        <v>40</v>
      </c>
      <c r="C756" s="5" t="s">
        <v>116</v>
      </c>
      <c r="D756" s="5" t="s">
        <v>16</v>
      </c>
      <c r="E756" s="5" t="s">
        <v>37</v>
      </c>
      <c r="F756" s="5" t="s">
        <v>44</v>
      </c>
      <c r="G756" s="5" t="s">
        <v>19</v>
      </c>
      <c r="H756" s="5">
        <v>14</v>
      </c>
      <c r="I756" s="5">
        <v>684</v>
      </c>
      <c r="J756" s="5">
        <v>1483</v>
      </c>
      <c r="K756" s="6">
        <f t="shared" si="44"/>
        <v>9576</v>
      </c>
      <c r="L756" s="6">
        <f t="shared" si="45"/>
        <v>20762</v>
      </c>
      <c r="M756" s="6">
        <f t="shared" si="46"/>
        <v>11186</v>
      </c>
      <c r="N756" s="6" t="str">
        <f t="shared" si="47"/>
        <v>profit</v>
      </c>
    </row>
    <row r="757" spans="1:14" ht="16.5" thickTop="1" thickBot="1" x14ac:dyDescent="0.3">
      <c r="A757" s="4">
        <v>45555</v>
      </c>
      <c r="B757" s="4" t="s">
        <v>69</v>
      </c>
      <c r="C757" s="5" t="s">
        <v>323</v>
      </c>
      <c r="D757" s="5" t="s">
        <v>33</v>
      </c>
      <c r="E757" s="5" t="s">
        <v>120</v>
      </c>
      <c r="F757" s="5" t="s">
        <v>44</v>
      </c>
      <c r="G757" s="5" t="s">
        <v>28</v>
      </c>
      <c r="H757" s="5">
        <v>63</v>
      </c>
      <c r="I757" s="5">
        <v>720</v>
      </c>
      <c r="J757" s="5">
        <v>1458</v>
      </c>
      <c r="K757" s="6">
        <f t="shared" si="44"/>
        <v>45360</v>
      </c>
      <c r="L757" s="6">
        <f t="shared" si="45"/>
        <v>91854</v>
      </c>
      <c r="M757" s="6">
        <f t="shared" si="46"/>
        <v>46494</v>
      </c>
      <c r="N757" s="6" t="str">
        <f t="shared" si="47"/>
        <v>profit</v>
      </c>
    </row>
    <row r="758" spans="1:14" ht="16.5" thickTop="1" thickBot="1" x14ac:dyDescent="0.3">
      <c r="A758" s="4">
        <v>45556</v>
      </c>
      <c r="B758" s="4" t="s">
        <v>69</v>
      </c>
      <c r="C758" s="5" t="s">
        <v>324</v>
      </c>
      <c r="D758" s="5" t="s">
        <v>33</v>
      </c>
      <c r="E758" s="5" t="s">
        <v>120</v>
      </c>
      <c r="F758" s="5" t="s">
        <v>27</v>
      </c>
      <c r="G758" s="5" t="s">
        <v>28</v>
      </c>
      <c r="H758" s="5">
        <v>66</v>
      </c>
      <c r="I758" s="5">
        <v>958</v>
      </c>
      <c r="J758" s="5">
        <v>1017</v>
      </c>
      <c r="K758" s="6">
        <f t="shared" si="44"/>
        <v>63228</v>
      </c>
      <c r="L758" s="6">
        <f t="shared" si="45"/>
        <v>67122</v>
      </c>
      <c r="M758" s="6">
        <f t="shared" si="46"/>
        <v>3894</v>
      </c>
      <c r="N758" s="6" t="str">
        <f t="shared" si="47"/>
        <v>profit</v>
      </c>
    </row>
    <row r="759" spans="1:14" ht="16.5" thickTop="1" thickBot="1" x14ac:dyDescent="0.3">
      <c r="A759" s="4">
        <v>45557</v>
      </c>
      <c r="B759" s="4" t="s">
        <v>69</v>
      </c>
      <c r="C759" s="5" t="s">
        <v>325</v>
      </c>
      <c r="D759" s="5" t="s">
        <v>33</v>
      </c>
      <c r="E759" s="5" t="s">
        <v>120</v>
      </c>
      <c r="F759" s="5" t="s">
        <v>44</v>
      </c>
      <c r="G759" s="5" t="s">
        <v>28</v>
      </c>
      <c r="H759" s="5">
        <v>54</v>
      </c>
      <c r="I759" s="5">
        <v>663</v>
      </c>
      <c r="J759" s="5">
        <v>943</v>
      </c>
      <c r="K759" s="6">
        <f t="shared" si="44"/>
        <v>35802</v>
      </c>
      <c r="L759" s="6">
        <f t="shared" si="45"/>
        <v>50922</v>
      </c>
      <c r="M759" s="6">
        <f t="shared" si="46"/>
        <v>15120</v>
      </c>
      <c r="N759" s="6" t="str">
        <f t="shared" si="47"/>
        <v>profit</v>
      </c>
    </row>
    <row r="760" spans="1:14" ht="16.5" thickTop="1" thickBot="1" x14ac:dyDescent="0.3">
      <c r="A760" s="4">
        <v>45558</v>
      </c>
      <c r="B760" s="4" t="s">
        <v>69</v>
      </c>
      <c r="C760" s="5" t="s">
        <v>326</v>
      </c>
      <c r="D760" s="5" t="s">
        <v>33</v>
      </c>
      <c r="E760" s="5" t="s">
        <v>120</v>
      </c>
      <c r="F760" s="5" t="s">
        <v>49</v>
      </c>
      <c r="G760" s="5" t="s">
        <v>19</v>
      </c>
      <c r="H760" s="5">
        <v>73</v>
      </c>
      <c r="I760" s="5">
        <v>540</v>
      </c>
      <c r="J760" s="5">
        <v>1397</v>
      </c>
      <c r="K760" s="6">
        <f t="shared" si="44"/>
        <v>39420</v>
      </c>
      <c r="L760" s="6">
        <f t="shared" si="45"/>
        <v>101981</v>
      </c>
      <c r="M760" s="6">
        <f t="shared" si="46"/>
        <v>62561</v>
      </c>
      <c r="N760" s="6" t="str">
        <f t="shared" si="47"/>
        <v>profit</v>
      </c>
    </row>
    <row r="761" spans="1:14" ht="16.5" thickTop="1" thickBot="1" x14ac:dyDescent="0.3">
      <c r="A761" s="4">
        <v>45559</v>
      </c>
      <c r="B761" s="4" t="s">
        <v>69</v>
      </c>
      <c r="C761" s="5" t="s">
        <v>327</v>
      </c>
      <c r="D761" s="5" t="s">
        <v>33</v>
      </c>
      <c r="E761" s="5" t="s">
        <v>120</v>
      </c>
      <c r="F761" s="5" t="s">
        <v>27</v>
      </c>
      <c r="G761" s="5" t="s">
        <v>28</v>
      </c>
      <c r="H761" s="5">
        <v>76</v>
      </c>
      <c r="I761" s="5">
        <v>744</v>
      </c>
      <c r="J761" s="5">
        <v>1145</v>
      </c>
      <c r="K761" s="6">
        <f t="shared" si="44"/>
        <v>56544</v>
      </c>
      <c r="L761" s="6">
        <f t="shared" si="45"/>
        <v>87020</v>
      </c>
      <c r="M761" s="6">
        <f t="shared" si="46"/>
        <v>30476</v>
      </c>
      <c r="N761" s="6" t="str">
        <f t="shared" si="47"/>
        <v>profit</v>
      </c>
    </row>
    <row r="762" spans="1:14" ht="16.5" thickTop="1" thickBot="1" x14ac:dyDescent="0.3">
      <c r="A762" s="4">
        <v>45560</v>
      </c>
      <c r="B762" s="4" t="s">
        <v>69</v>
      </c>
      <c r="C762" s="5" t="s">
        <v>328</v>
      </c>
      <c r="D762" s="5" t="s">
        <v>33</v>
      </c>
      <c r="E762" s="5" t="s">
        <v>120</v>
      </c>
      <c r="F762" s="5" t="s">
        <v>52</v>
      </c>
      <c r="G762" s="5" t="s">
        <v>28</v>
      </c>
      <c r="H762" s="5">
        <v>94</v>
      </c>
      <c r="I762" s="5">
        <v>874</v>
      </c>
      <c r="J762" s="5">
        <v>895</v>
      </c>
      <c r="K762" s="6">
        <f t="shared" si="44"/>
        <v>82156</v>
      </c>
      <c r="L762" s="6">
        <f t="shared" si="45"/>
        <v>84130</v>
      </c>
      <c r="M762" s="6">
        <f t="shared" si="46"/>
        <v>1974</v>
      </c>
      <c r="N762" s="6" t="str">
        <f t="shared" si="47"/>
        <v>profit</v>
      </c>
    </row>
    <row r="763" spans="1:14" ht="16.5" thickTop="1" thickBot="1" x14ac:dyDescent="0.3">
      <c r="A763" s="4">
        <v>45561</v>
      </c>
      <c r="B763" s="4" t="s">
        <v>69</v>
      </c>
      <c r="C763" s="5" t="s">
        <v>329</v>
      </c>
      <c r="D763" s="5" t="s">
        <v>33</v>
      </c>
      <c r="E763" s="5" t="s">
        <v>120</v>
      </c>
      <c r="F763" s="5" t="s">
        <v>54</v>
      </c>
      <c r="G763" s="5" t="s">
        <v>28</v>
      </c>
      <c r="H763" s="5">
        <v>97</v>
      </c>
      <c r="I763" s="5">
        <v>752</v>
      </c>
      <c r="J763" s="5">
        <v>1286</v>
      </c>
      <c r="K763" s="6">
        <f t="shared" si="44"/>
        <v>72944</v>
      </c>
      <c r="L763" s="6">
        <f t="shared" si="45"/>
        <v>124742</v>
      </c>
      <c r="M763" s="6">
        <f t="shared" si="46"/>
        <v>51798</v>
      </c>
      <c r="N763" s="6" t="str">
        <f t="shared" si="47"/>
        <v>profit</v>
      </c>
    </row>
    <row r="764" spans="1:14" ht="16.5" thickTop="1" thickBot="1" x14ac:dyDescent="0.3">
      <c r="A764" s="4">
        <v>45569</v>
      </c>
      <c r="B764" s="4" t="s">
        <v>85</v>
      </c>
      <c r="C764" s="5" t="s">
        <v>330</v>
      </c>
      <c r="D764" s="5" t="s">
        <v>33</v>
      </c>
      <c r="E764" s="5" t="s">
        <v>99</v>
      </c>
      <c r="F764" s="5" t="s">
        <v>30</v>
      </c>
      <c r="G764" s="5" t="s">
        <v>19</v>
      </c>
      <c r="H764" s="5">
        <v>77</v>
      </c>
      <c r="I764" s="5">
        <v>951</v>
      </c>
      <c r="J764" s="5">
        <v>1432</v>
      </c>
      <c r="K764" s="6">
        <f t="shared" si="44"/>
        <v>73227</v>
      </c>
      <c r="L764" s="6">
        <f t="shared" si="45"/>
        <v>110264</v>
      </c>
      <c r="M764" s="6">
        <f t="shared" si="46"/>
        <v>37037</v>
      </c>
      <c r="N764" s="6" t="str">
        <f t="shared" si="47"/>
        <v>profit</v>
      </c>
    </row>
    <row r="765" spans="1:14" ht="16.5" thickTop="1" thickBot="1" x14ac:dyDescent="0.3">
      <c r="A765" s="4">
        <v>45570</v>
      </c>
      <c r="B765" s="4" t="s">
        <v>85</v>
      </c>
      <c r="C765" s="5" t="s">
        <v>331</v>
      </c>
      <c r="D765" s="5" t="s">
        <v>33</v>
      </c>
      <c r="E765" s="5" t="s">
        <v>99</v>
      </c>
      <c r="F765" s="5" t="s">
        <v>113</v>
      </c>
      <c r="G765" s="5" t="s">
        <v>19</v>
      </c>
      <c r="H765" s="5">
        <v>52</v>
      </c>
      <c r="I765" s="5">
        <v>633</v>
      </c>
      <c r="J765" s="5">
        <v>1226</v>
      </c>
      <c r="K765" s="6">
        <f t="shared" si="44"/>
        <v>32916</v>
      </c>
      <c r="L765" s="6">
        <f t="shared" si="45"/>
        <v>63752</v>
      </c>
      <c r="M765" s="6">
        <f t="shared" si="46"/>
        <v>30836</v>
      </c>
      <c r="N765" s="6" t="str">
        <f t="shared" si="47"/>
        <v>profit</v>
      </c>
    </row>
    <row r="766" spans="1:14" ht="16.5" thickTop="1" thickBot="1" x14ac:dyDescent="0.3">
      <c r="A766" s="4">
        <v>45572</v>
      </c>
      <c r="B766" s="4" t="s">
        <v>85</v>
      </c>
      <c r="C766" s="5" t="s">
        <v>332</v>
      </c>
      <c r="D766" s="5" t="s">
        <v>33</v>
      </c>
      <c r="E766" s="5" t="s">
        <v>99</v>
      </c>
      <c r="F766" s="5" t="s">
        <v>153</v>
      </c>
      <c r="G766" s="5" t="s">
        <v>19</v>
      </c>
      <c r="H766" s="5">
        <v>80</v>
      </c>
      <c r="I766" s="5">
        <v>982</v>
      </c>
      <c r="J766" s="5">
        <v>1224</v>
      </c>
      <c r="K766" s="6">
        <f t="shared" si="44"/>
        <v>78560</v>
      </c>
      <c r="L766" s="6">
        <f t="shared" si="45"/>
        <v>97920</v>
      </c>
      <c r="M766" s="6">
        <f t="shared" si="46"/>
        <v>19360</v>
      </c>
      <c r="N766" s="6" t="str">
        <f t="shared" si="47"/>
        <v>profit</v>
      </c>
    </row>
    <row r="767" spans="1:14" ht="16.5" thickTop="1" thickBot="1" x14ac:dyDescent="0.3">
      <c r="A767" s="4">
        <v>45573</v>
      </c>
      <c r="B767" s="4" t="s">
        <v>85</v>
      </c>
      <c r="C767" s="5" t="s">
        <v>333</v>
      </c>
      <c r="D767" s="5" t="s">
        <v>33</v>
      </c>
      <c r="E767" s="5" t="s">
        <v>99</v>
      </c>
      <c r="F767" s="5" t="s">
        <v>155</v>
      </c>
      <c r="G767" s="5" t="s">
        <v>19</v>
      </c>
      <c r="H767" s="5">
        <v>81</v>
      </c>
      <c r="I767" s="5">
        <v>917</v>
      </c>
      <c r="J767" s="5">
        <v>1344</v>
      </c>
      <c r="K767" s="6">
        <f t="shared" si="44"/>
        <v>74277</v>
      </c>
      <c r="L767" s="6">
        <f t="shared" si="45"/>
        <v>108864</v>
      </c>
      <c r="M767" s="6">
        <f t="shared" si="46"/>
        <v>34587</v>
      </c>
      <c r="N767" s="6" t="str">
        <f t="shared" si="47"/>
        <v>profit</v>
      </c>
    </row>
    <row r="768" spans="1:14" ht="16.5" thickTop="1" thickBot="1" x14ac:dyDescent="0.3">
      <c r="A768" s="4">
        <v>45574</v>
      </c>
      <c r="B768" s="4" t="s">
        <v>85</v>
      </c>
      <c r="C768" s="5" t="s">
        <v>334</v>
      </c>
      <c r="D768" s="5" t="s">
        <v>33</v>
      </c>
      <c r="E768" s="5" t="s">
        <v>120</v>
      </c>
      <c r="F768" s="5" t="s">
        <v>18</v>
      </c>
      <c r="G768" s="5" t="s">
        <v>19</v>
      </c>
      <c r="H768" s="5">
        <v>63</v>
      </c>
      <c r="I768" s="5">
        <v>747</v>
      </c>
      <c r="J768" s="5">
        <v>778</v>
      </c>
      <c r="K768" s="6">
        <f t="shared" si="44"/>
        <v>47061</v>
      </c>
      <c r="L768" s="6">
        <f t="shared" si="45"/>
        <v>49014</v>
      </c>
      <c r="M768" s="6">
        <f t="shared" si="46"/>
        <v>1953</v>
      </c>
      <c r="N768" s="6" t="str">
        <f t="shared" si="47"/>
        <v>profit</v>
      </c>
    </row>
    <row r="769" spans="1:14" ht="16.5" thickTop="1" thickBot="1" x14ac:dyDescent="0.3">
      <c r="A769" s="4">
        <v>45488</v>
      </c>
      <c r="B769" s="4" t="s">
        <v>40</v>
      </c>
      <c r="C769" s="5" t="s">
        <v>117</v>
      </c>
      <c r="D769" s="5" t="s">
        <v>46</v>
      </c>
      <c r="E769" s="5" t="s">
        <v>118</v>
      </c>
      <c r="F769" s="5" t="s">
        <v>39</v>
      </c>
      <c r="G769" s="5" t="s">
        <v>19</v>
      </c>
      <c r="H769" s="5">
        <v>23</v>
      </c>
      <c r="I769" s="5">
        <v>559</v>
      </c>
      <c r="J769" s="5">
        <v>1456</v>
      </c>
      <c r="K769" s="6">
        <f t="shared" si="44"/>
        <v>12857</v>
      </c>
      <c r="L769" s="6">
        <f t="shared" si="45"/>
        <v>33488</v>
      </c>
      <c r="M769" s="6">
        <f t="shared" si="46"/>
        <v>20631</v>
      </c>
      <c r="N769" s="6" t="str">
        <f t="shared" si="47"/>
        <v>profit</v>
      </c>
    </row>
    <row r="770" spans="1:14" ht="16.5" thickTop="1" thickBot="1" x14ac:dyDescent="0.3">
      <c r="A770" s="4">
        <v>45575</v>
      </c>
      <c r="B770" s="4" t="s">
        <v>85</v>
      </c>
      <c r="C770" s="5" t="s">
        <v>335</v>
      </c>
      <c r="D770" s="5" t="s">
        <v>33</v>
      </c>
      <c r="E770" s="5" t="s">
        <v>120</v>
      </c>
      <c r="F770" s="5" t="s">
        <v>21</v>
      </c>
      <c r="G770" s="5" t="s">
        <v>19</v>
      </c>
      <c r="H770" s="5">
        <v>88</v>
      </c>
      <c r="I770" s="5">
        <v>978</v>
      </c>
      <c r="J770" s="5">
        <v>1231</v>
      </c>
      <c r="K770" s="6">
        <f t="shared" ref="K770:K833" si="48">H770*I770</f>
        <v>86064</v>
      </c>
      <c r="L770" s="6">
        <f t="shared" ref="L770:L833" si="49">H770*J770</f>
        <v>108328</v>
      </c>
      <c r="M770" s="6">
        <f t="shared" ref="M770:M833" si="50">L770-K770</f>
        <v>22264</v>
      </c>
      <c r="N770" s="6" t="str">
        <f t="shared" ref="N770:N833" si="51">IF(M770&gt;0,"profit","loss")</f>
        <v>profit</v>
      </c>
    </row>
    <row r="771" spans="1:14" ht="16.5" thickTop="1" thickBot="1" x14ac:dyDescent="0.3">
      <c r="A771" s="4">
        <v>45576</v>
      </c>
      <c r="B771" s="4" t="s">
        <v>85</v>
      </c>
      <c r="C771" s="5" t="s">
        <v>336</v>
      </c>
      <c r="D771" s="5" t="s">
        <v>33</v>
      </c>
      <c r="E771" s="5" t="s">
        <v>120</v>
      </c>
      <c r="F771" s="5" t="s">
        <v>23</v>
      </c>
      <c r="G771" s="5" t="s">
        <v>19</v>
      </c>
      <c r="H771" s="5">
        <v>82</v>
      </c>
      <c r="I771" s="5">
        <v>652</v>
      </c>
      <c r="J771" s="5">
        <v>994</v>
      </c>
      <c r="K771" s="6">
        <f t="shared" si="48"/>
        <v>53464</v>
      </c>
      <c r="L771" s="6">
        <f t="shared" si="49"/>
        <v>81508</v>
      </c>
      <c r="M771" s="6">
        <f t="shared" si="50"/>
        <v>28044</v>
      </c>
      <c r="N771" s="6" t="str">
        <f t="shared" si="51"/>
        <v>profit</v>
      </c>
    </row>
    <row r="772" spans="1:14" ht="16.5" thickTop="1" thickBot="1" x14ac:dyDescent="0.3">
      <c r="A772" s="4">
        <v>45577</v>
      </c>
      <c r="B772" s="4" t="s">
        <v>85</v>
      </c>
      <c r="C772" s="5" t="s">
        <v>337</v>
      </c>
      <c r="D772" s="5" t="s">
        <v>33</v>
      </c>
      <c r="E772" s="5" t="s">
        <v>120</v>
      </c>
      <c r="F772" s="5" t="s">
        <v>25</v>
      </c>
      <c r="G772" s="5" t="s">
        <v>19</v>
      </c>
      <c r="H772" s="5">
        <v>80</v>
      </c>
      <c r="I772" s="5">
        <v>841</v>
      </c>
      <c r="J772" s="5">
        <v>1490</v>
      </c>
      <c r="K772" s="6">
        <f t="shared" si="48"/>
        <v>67280</v>
      </c>
      <c r="L772" s="6">
        <f t="shared" si="49"/>
        <v>119200</v>
      </c>
      <c r="M772" s="6">
        <f t="shared" si="50"/>
        <v>51920</v>
      </c>
      <c r="N772" s="6" t="str">
        <f t="shared" si="51"/>
        <v>profit</v>
      </c>
    </row>
    <row r="773" spans="1:14" ht="16.5" thickTop="1" thickBot="1" x14ac:dyDescent="0.3">
      <c r="A773" s="4">
        <v>45579</v>
      </c>
      <c r="B773" s="4" t="s">
        <v>85</v>
      </c>
      <c r="C773" s="5" t="s">
        <v>338</v>
      </c>
      <c r="D773" s="5" t="s">
        <v>33</v>
      </c>
      <c r="E773" s="5" t="s">
        <v>120</v>
      </c>
      <c r="F773" s="5" t="s">
        <v>27</v>
      </c>
      <c r="G773" s="5" t="s">
        <v>28</v>
      </c>
      <c r="H773" s="5">
        <v>70</v>
      </c>
      <c r="I773" s="5">
        <v>798</v>
      </c>
      <c r="J773" s="5">
        <v>1318</v>
      </c>
      <c r="K773" s="6">
        <f t="shared" si="48"/>
        <v>55860</v>
      </c>
      <c r="L773" s="6">
        <f t="shared" si="49"/>
        <v>92260</v>
      </c>
      <c r="M773" s="6">
        <f t="shared" si="50"/>
        <v>36400</v>
      </c>
      <c r="N773" s="6" t="str">
        <f t="shared" si="51"/>
        <v>profit</v>
      </c>
    </row>
    <row r="774" spans="1:14" ht="16.5" thickTop="1" thickBot="1" x14ac:dyDescent="0.3">
      <c r="A774" s="4">
        <v>45592</v>
      </c>
      <c r="B774" s="4" t="s">
        <v>85</v>
      </c>
      <c r="C774" s="5" t="s">
        <v>339</v>
      </c>
      <c r="D774" s="5" t="s">
        <v>33</v>
      </c>
      <c r="E774" s="5" t="s">
        <v>34</v>
      </c>
      <c r="F774" s="5" t="s">
        <v>113</v>
      </c>
      <c r="G774" s="5" t="s">
        <v>28</v>
      </c>
      <c r="H774" s="5">
        <v>69</v>
      </c>
      <c r="I774" s="5">
        <v>921</v>
      </c>
      <c r="J774" s="5">
        <v>1177</v>
      </c>
      <c r="K774" s="6">
        <f t="shared" si="48"/>
        <v>63549</v>
      </c>
      <c r="L774" s="6">
        <f t="shared" si="49"/>
        <v>81213</v>
      </c>
      <c r="M774" s="6">
        <f t="shared" si="50"/>
        <v>17664</v>
      </c>
      <c r="N774" s="6" t="str">
        <f t="shared" si="51"/>
        <v>profit</v>
      </c>
    </row>
    <row r="775" spans="1:14" ht="16.5" thickTop="1" thickBot="1" x14ac:dyDescent="0.3">
      <c r="A775" s="4">
        <v>45593</v>
      </c>
      <c r="B775" s="4" t="s">
        <v>85</v>
      </c>
      <c r="C775" s="5" t="s">
        <v>340</v>
      </c>
      <c r="D775" s="5" t="s">
        <v>33</v>
      </c>
      <c r="E775" s="5" t="s">
        <v>34</v>
      </c>
      <c r="F775" s="5" t="s">
        <v>44</v>
      </c>
      <c r="G775" s="5" t="s">
        <v>28</v>
      </c>
      <c r="H775" s="5">
        <v>60</v>
      </c>
      <c r="I775" s="5">
        <v>729</v>
      </c>
      <c r="J775" s="5">
        <v>759</v>
      </c>
      <c r="K775" s="6">
        <f t="shared" si="48"/>
        <v>43740</v>
      </c>
      <c r="L775" s="6">
        <f t="shared" si="49"/>
        <v>45540</v>
      </c>
      <c r="M775" s="6">
        <f t="shared" si="50"/>
        <v>1800</v>
      </c>
      <c r="N775" s="6" t="str">
        <f t="shared" si="51"/>
        <v>profit</v>
      </c>
    </row>
    <row r="776" spans="1:14" ht="16.5" thickTop="1" thickBot="1" x14ac:dyDescent="0.3">
      <c r="A776" s="4">
        <v>45594</v>
      </c>
      <c r="B776" s="4" t="s">
        <v>85</v>
      </c>
      <c r="C776" s="5" t="s">
        <v>341</v>
      </c>
      <c r="D776" s="5" t="s">
        <v>33</v>
      </c>
      <c r="E776" s="5" t="s">
        <v>34</v>
      </c>
      <c r="F776" s="5" t="s">
        <v>153</v>
      </c>
      <c r="G776" s="5" t="s">
        <v>19</v>
      </c>
      <c r="H776" s="5">
        <v>99</v>
      </c>
      <c r="I776" s="5">
        <v>880</v>
      </c>
      <c r="J776" s="5">
        <v>1318</v>
      </c>
      <c r="K776" s="6">
        <f t="shared" si="48"/>
        <v>87120</v>
      </c>
      <c r="L776" s="6">
        <f t="shared" si="49"/>
        <v>130482</v>
      </c>
      <c r="M776" s="6">
        <f t="shared" si="50"/>
        <v>43362</v>
      </c>
      <c r="N776" s="6" t="str">
        <f t="shared" si="51"/>
        <v>profit</v>
      </c>
    </row>
    <row r="777" spans="1:14" ht="16.5" thickTop="1" thickBot="1" x14ac:dyDescent="0.3">
      <c r="A777" s="4">
        <v>45595</v>
      </c>
      <c r="B777" s="4" t="s">
        <v>85</v>
      </c>
      <c r="C777" s="5" t="s">
        <v>342</v>
      </c>
      <c r="D777" s="5" t="s">
        <v>33</v>
      </c>
      <c r="E777" s="5" t="s">
        <v>34</v>
      </c>
      <c r="F777" s="5" t="s">
        <v>155</v>
      </c>
      <c r="G777" s="5" t="s">
        <v>28</v>
      </c>
      <c r="H777" s="5">
        <v>88</v>
      </c>
      <c r="I777" s="5">
        <v>552</v>
      </c>
      <c r="J777" s="5">
        <v>1422</v>
      </c>
      <c r="K777" s="6">
        <f t="shared" si="48"/>
        <v>48576</v>
      </c>
      <c r="L777" s="6">
        <f t="shared" si="49"/>
        <v>125136</v>
      </c>
      <c r="M777" s="6">
        <f t="shared" si="50"/>
        <v>76560</v>
      </c>
      <c r="N777" s="6" t="str">
        <f t="shared" si="51"/>
        <v>profit</v>
      </c>
    </row>
    <row r="778" spans="1:14" ht="16.5" thickTop="1" thickBot="1" x14ac:dyDescent="0.3">
      <c r="A778" s="4">
        <v>45603</v>
      </c>
      <c r="B778" s="4" t="s">
        <v>161</v>
      </c>
      <c r="C778" s="5" t="s">
        <v>343</v>
      </c>
      <c r="D778" s="5" t="s">
        <v>33</v>
      </c>
      <c r="E778" s="5" t="s">
        <v>163</v>
      </c>
      <c r="F778" s="5" t="s">
        <v>25</v>
      </c>
      <c r="G778" s="5" t="s">
        <v>19</v>
      </c>
      <c r="H778" s="5">
        <v>60</v>
      </c>
      <c r="I778" s="5">
        <v>827</v>
      </c>
      <c r="J778" s="5">
        <v>762</v>
      </c>
      <c r="K778" s="6">
        <f t="shared" si="48"/>
        <v>49620</v>
      </c>
      <c r="L778" s="6">
        <f t="shared" si="49"/>
        <v>45720</v>
      </c>
      <c r="M778" s="6">
        <f t="shared" si="50"/>
        <v>-3900</v>
      </c>
      <c r="N778" s="6" t="str">
        <f t="shared" si="51"/>
        <v>loss</v>
      </c>
    </row>
    <row r="779" spans="1:14" ht="16.5" thickTop="1" thickBot="1" x14ac:dyDescent="0.3">
      <c r="A779" s="4">
        <v>45604</v>
      </c>
      <c r="B779" s="4" t="s">
        <v>161</v>
      </c>
      <c r="C779" s="5" t="s">
        <v>344</v>
      </c>
      <c r="D779" s="5" t="s">
        <v>33</v>
      </c>
      <c r="E779" s="5" t="s">
        <v>163</v>
      </c>
      <c r="F779" s="5" t="s">
        <v>76</v>
      </c>
      <c r="G779" s="5" t="s">
        <v>19</v>
      </c>
      <c r="H779" s="5">
        <v>64</v>
      </c>
      <c r="I779" s="5">
        <v>529</v>
      </c>
      <c r="J779" s="5">
        <v>1195</v>
      </c>
      <c r="K779" s="6">
        <f t="shared" si="48"/>
        <v>33856</v>
      </c>
      <c r="L779" s="6">
        <f t="shared" si="49"/>
        <v>76480</v>
      </c>
      <c r="M779" s="6">
        <f t="shared" si="50"/>
        <v>42624</v>
      </c>
      <c r="N779" s="6" t="str">
        <f t="shared" si="51"/>
        <v>profit</v>
      </c>
    </row>
    <row r="780" spans="1:14" ht="16.5" thickTop="1" thickBot="1" x14ac:dyDescent="0.3">
      <c r="A780" s="4">
        <v>45606</v>
      </c>
      <c r="B780" s="4" t="s">
        <v>161</v>
      </c>
      <c r="C780" s="5" t="s">
        <v>345</v>
      </c>
      <c r="D780" s="5" t="s">
        <v>33</v>
      </c>
      <c r="E780" s="5" t="s">
        <v>163</v>
      </c>
      <c r="F780" s="5" t="s">
        <v>44</v>
      </c>
      <c r="G780" s="5" t="s">
        <v>19</v>
      </c>
      <c r="H780" s="5">
        <v>51</v>
      </c>
      <c r="I780" s="5">
        <v>859</v>
      </c>
      <c r="J780" s="5">
        <v>1243</v>
      </c>
      <c r="K780" s="6">
        <f t="shared" si="48"/>
        <v>43809</v>
      </c>
      <c r="L780" s="6">
        <f t="shared" si="49"/>
        <v>63393</v>
      </c>
      <c r="M780" s="6">
        <f t="shared" si="50"/>
        <v>19584</v>
      </c>
      <c r="N780" s="6" t="str">
        <f t="shared" si="51"/>
        <v>profit</v>
      </c>
    </row>
    <row r="781" spans="1:14" ht="16.5" thickTop="1" thickBot="1" x14ac:dyDescent="0.3">
      <c r="A781" s="4">
        <v>45607</v>
      </c>
      <c r="B781" s="4" t="s">
        <v>161</v>
      </c>
      <c r="C781" s="5" t="s">
        <v>346</v>
      </c>
      <c r="D781" s="5" t="s">
        <v>33</v>
      </c>
      <c r="E781" s="5" t="s">
        <v>163</v>
      </c>
      <c r="F781" s="5" t="s">
        <v>25</v>
      </c>
      <c r="G781" s="5" t="s">
        <v>19</v>
      </c>
      <c r="H781" s="5">
        <v>68</v>
      </c>
      <c r="I781" s="5">
        <v>756</v>
      </c>
      <c r="J781" s="5">
        <v>887</v>
      </c>
      <c r="K781" s="6">
        <f t="shared" si="48"/>
        <v>51408</v>
      </c>
      <c r="L781" s="6">
        <f t="shared" si="49"/>
        <v>60316</v>
      </c>
      <c r="M781" s="6">
        <f t="shared" si="50"/>
        <v>8908</v>
      </c>
      <c r="N781" s="6" t="str">
        <f t="shared" si="51"/>
        <v>profit</v>
      </c>
    </row>
    <row r="782" spans="1:14" ht="16.5" thickTop="1" thickBot="1" x14ac:dyDescent="0.3">
      <c r="A782" s="4">
        <v>45608</v>
      </c>
      <c r="B782" s="4" t="s">
        <v>161</v>
      </c>
      <c r="C782" s="5" t="s">
        <v>347</v>
      </c>
      <c r="D782" s="5" t="s">
        <v>33</v>
      </c>
      <c r="E782" s="5" t="s">
        <v>163</v>
      </c>
      <c r="F782" s="5" t="s">
        <v>64</v>
      </c>
      <c r="G782" s="5" t="s">
        <v>19</v>
      </c>
      <c r="H782" s="5">
        <v>87</v>
      </c>
      <c r="I782" s="5">
        <v>882</v>
      </c>
      <c r="J782" s="5">
        <v>1211</v>
      </c>
      <c r="K782" s="6">
        <f t="shared" si="48"/>
        <v>76734</v>
      </c>
      <c r="L782" s="6">
        <f t="shared" si="49"/>
        <v>105357</v>
      </c>
      <c r="M782" s="6">
        <f t="shared" si="50"/>
        <v>28623</v>
      </c>
      <c r="N782" s="6" t="str">
        <f t="shared" si="51"/>
        <v>profit</v>
      </c>
    </row>
    <row r="783" spans="1:14" ht="16.5" thickTop="1" thickBot="1" x14ac:dyDescent="0.3">
      <c r="A783" s="4">
        <v>45636</v>
      </c>
      <c r="B783" s="4" t="s">
        <v>190</v>
      </c>
      <c r="C783" s="5" t="s">
        <v>192</v>
      </c>
      <c r="D783" s="5" t="s">
        <v>33</v>
      </c>
      <c r="E783" s="5" t="s">
        <v>99</v>
      </c>
      <c r="F783" s="5" t="s">
        <v>18</v>
      </c>
      <c r="G783" s="5" t="s">
        <v>28</v>
      </c>
      <c r="H783" s="5">
        <v>51</v>
      </c>
      <c r="I783" s="5">
        <v>685</v>
      </c>
      <c r="J783" s="5">
        <v>1224</v>
      </c>
      <c r="K783" s="6">
        <f t="shared" si="48"/>
        <v>34935</v>
      </c>
      <c r="L783" s="6">
        <f t="shared" si="49"/>
        <v>62424</v>
      </c>
      <c r="M783" s="6">
        <f t="shared" si="50"/>
        <v>27489</v>
      </c>
      <c r="N783" s="6" t="str">
        <f t="shared" si="51"/>
        <v>profit</v>
      </c>
    </row>
    <row r="784" spans="1:14" ht="16.5" thickTop="1" thickBot="1" x14ac:dyDescent="0.3">
      <c r="A784" s="4">
        <v>45638</v>
      </c>
      <c r="B784" s="4" t="s">
        <v>190</v>
      </c>
      <c r="C784" s="5" t="s">
        <v>348</v>
      </c>
      <c r="D784" s="5" t="s">
        <v>33</v>
      </c>
      <c r="E784" s="5" t="s">
        <v>99</v>
      </c>
      <c r="F784" s="5" t="s">
        <v>23</v>
      </c>
      <c r="G784" s="5" t="s">
        <v>19</v>
      </c>
      <c r="H784" s="5">
        <v>72</v>
      </c>
      <c r="I784" s="5">
        <v>765</v>
      </c>
      <c r="J784" s="5">
        <v>1368</v>
      </c>
      <c r="K784" s="6">
        <f t="shared" si="48"/>
        <v>55080</v>
      </c>
      <c r="L784" s="6">
        <f t="shared" si="49"/>
        <v>98496</v>
      </c>
      <c r="M784" s="6">
        <f t="shared" si="50"/>
        <v>43416</v>
      </c>
      <c r="N784" s="6" t="str">
        <f t="shared" si="51"/>
        <v>profit</v>
      </c>
    </row>
    <row r="785" spans="1:14" ht="16.5" thickTop="1" thickBot="1" x14ac:dyDescent="0.3">
      <c r="A785" s="4">
        <v>45639</v>
      </c>
      <c r="B785" s="4" t="s">
        <v>190</v>
      </c>
      <c r="C785" s="5" t="s">
        <v>349</v>
      </c>
      <c r="D785" s="5" t="s">
        <v>33</v>
      </c>
      <c r="E785" s="5" t="s">
        <v>99</v>
      </c>
      <c r="F785" s="5" t="s">
        <v>25</v>
      </c>
      <c r="G785" s="5" t="s">
        <v>19</v>
      </c>
      <c r="H785" s="5">
        <v>54</v>
      </c>
      <c r="I785" s="5">
        <v>702</v>
      </c>
      <c r="J785" s="5">
        <v>930</v>
      </c>
      <c r="K785" s="6">
        <f t="shared" si="48"/>
        <v>37908</v>
      </c>
      <c r="L785" s="6">
        <f t="shared" si="49"/>
        <v>50220</v>
      </c>
      <c r="M785" s="6">
        <f t="shared" si="50"/>
        <v>12312</v>
      </c>
      <c r="N785" s="6" t="str">
        <f t="shared" si="51"/>
        <v>profit</v>
      </c>
    </row>
    <row r="786" spans="1:14" ht="16.5" thickTop="1" thickBot="1" x14ac:dyDescent="0.3">
      <c r="A786" s="4">
        <v>45640</v>
      </c>
      <c r="B786" s="4" t="s">
        <v>190</v>
      </c>
      <c r="C786" s="5" t="s">
        <v>350</v>
      </c>
      <c r="D786" s="5" t="s">
        <v>33</v>
      </c>
      <c r="E786" s="5" t="s">
        <v>99</v>
      </c>
      <c r="F786" s="5" t="s">
        <v>35</v>
      </c>
      <c r="G786" s="5" t="s">
        <v>19</v>
      </c>
      <c r="H786" s="5">
        <v>97</v>
      </c>
      <c r="I786" s="5">
        <v>917</v>
      </c>
      <c r="J786" s="5">
        <v>1203</v>
      </c>
      <c r="K786" s="6">
        <f t="shared" si="48"/>
        <v>88949</v>
      </c>
      <c r="L786" s="6">
        <f t="shared" si="49"/>
        <v>116691</v>
      </c>
      <c r="M786" s="6">
        <f t="shared" si="50"/>
        <v>27742</v>
      </c>
      <c r="N786" s="6" t="str">
        <f t="shared" si="51"/>
        <v>profit</v>
      </c>
    </row>
    <row r="787" spans="1:14" ht="16.5" thickTop="1" thickBot="1" x14ac:dyDescent="0.3">
      <c r="A787" s="4">
        <v>45641</v>
      </c>
      <c r="B787" s="4" t="s">
        <v>190</v>
      </c>
      <c r="C787" s="5" t="s">
        <v>351</v>
      </c>
      <c r="D787" s="5" t="s">
        <v>33</v>
      </c>
      <c r="E787" s="5" t="s">
        <v>99</v>
      </c>
      <c r="F787" s="5" t="s">
        <v>39</v>
      </c>
      <c r="G787" s="5" t="s">
        <v>19</v>
      </c>
      <c r="H787" s="5">
        <v>84</v>
      </c>
      <c r="I787" s="5">
        <v>516</v>
      </c>
      <c r="J787" s="5">
        <v>820</v>
      </c>
      <c r="K787" s="6">
        <f t="shared" si="48"/>
        <v>43344</v>
      </c>
      <c r="L787" s="6">
        <f t="shared" si="49"/>
        <v>68880</v>
      </c>
      <c r="M787" s="6">
        <f t="shared" si="50"/>
        <v>25536</v>
      </c>
      <c r="N787" s="6" t="str">
        <f t="shared" si="51"/>
        <v>profit</v>
      </c>
    </row>
    <row r="788" spans="1:14" ht="16.5" thickTop="1" thickBot="1" x14ac:dyDescent="0.3">
      <c r="A788" s="4">
        <v>45507</v>
      </c>
      <c r="B788" s="4" t="s">
        <v>57</v>
      </c>
      <c r="C788" s="5" t="s">
        <v>119</v>
      </c>
      <c r="D788" s="5" t="s">
        <v>33</v>
      </c>
      <c r="E788" s="5" t="s">
        <v>120</v>
      </c>
      <c r="F788" s="5" t="s">
        <v>76</v>
      </c>
      <c r="G788" s="5" t="s">
        <v>28</v>
      </c>
      <c r="H788" s="5">
        <v>66</v>
      </c>
      <c r="I788" s="5">
        <v>715</v>
      </c>
      <c r="J788" s="5">
        <v>1460</v>
      </c>
      <c r="K788" s="6">
        <f t="shared" si="48"/>
        <v>47190</v>
      </c>
      <c r="L788" s="6">
        <f t="shared" si="49"/>
        <v>96360</v>
      </c>
      <c r="M788" s="6">
        <f t="shared" si="50"/>
        <v>49170</v>
      </c>
      <c r="N788" s="6" t="str">
        <f t="shared" si="51"/>
        <v>profit</v>
      </c>
    </row>
    <row r="789" spans="1:14" ht="16.5" thickTop="1" thickBot="1" x14ac:dyDescent="0.3">
      <c r="A789" s="4">
        <v>45643</v>
      </c>
      <c r="B789" s="4" t="s">
        <v>190</v>
      </c>
      <c r="C789" s="5" t="s">
        <v>352</v>
      </c>
      <c r="D789" s="5" t="s">
        <v>33</v>
      </c>
      <c r="E789" s="5" t="s">
        <v>99</v>
      </c>
      <c r="F789" s="5" t="s">
        <v>64</v>
      </c>
      <c r="G789" s="5" t="s">
        <v>19</v>
      </c>
      <c r="H789" s="5">
        <v>92</v>
      </c>
      <c r="I789" s="5">
        <v>789</v>
      </c>
      <c r="J789" s="5">
        <v>1229</v>
      </c>
      <c r="K789" s="6">
        <f t="shared" si="48"/>
        <v>72588</v>
      </c>
      <c r="L789" s="6">
        <f t="shared" si="49"/>
        <v>113068</v>
      </c>
      <c r="M789" s="6">
        <f t="shared" si="50"/>
        <v>40480</v>
      </c>
      <c r="N789" s="6" t="str">
        <f t="shared" si="51"/>
        <v>profit</v>
      </c>
    </row>
    <row r="790" spans="1:14" ht="16.5" thickTop="1" thickBot="1" x14ac:dyDescent="0.3">
      <c r="A790" s="4">
        <v>45644</v>
      </c>
      <c r="B790" s="4" t="s">
        <v>190</v>
      </c>
      <c r="C790" s="5" t="s">
        <v>353</v>
      </c>
      <c r="D790" s="5" t="s">
        <v>33</v>
      </c>
      <c r="E790" s="5" t="s">
        <v>99</v>
      </c>
      <c r="F790" s="5" t="s">
        <v>64</v>
      </c>
      <c r="G790" s="5" t="s">
        <v>19</v>
      </c>
      <c r="H790" s="5">
        <v>53</v>
      </c>
      <c r="I790" s="5">
        <v>962</v>
      </c>
      <c r="J790" s="5">
        <v>1442</v>
      </c>
      <c r="K790" s="6">
        <f t="shared" si="48"/>
        <v>50986</v>
      </c>
      <c r="L790" s="6">
        <f t="shared" si="49"/>
        <v>76426</v>
      </c>
      <c r="M790" s="6">
        <f t="shared" si="50"/>
        <v>25440</v>
      </c>
      <c r="N790" s="6" t="str">
        <f t="shared" si="51"/>
        <v>profit</v>
      </c>
    </row>
    <row r="791" spans="1:14" ht="16.5" thickTop="1" thickBot="1" x14ac:dyDescent="0.3">
      <c r="A791" s="4">
        <v>45645</v>
      </c>
      <c r="B791" s="4" t="s">
        <v>190</v>
      </c>
      <c r="C791" s="5" t="s">
        <v>354</v>
      </c>
      <c r="D791" s="5" t="s">
        <v>33</v>
      </c>
      <c r="E791" s="5" t="s">
        <v>99</v>
      </c>
      <c r="F791" s="5" t="s">
        <v>60</v>
      </c>
      <c r="G791" s="5" t="s">
        <v>19</v>
      </c>
      <c r="H791" s="5">
        <v>81</v>
      </c>
      <c r="I791" s="5">
        <v>565</v>
      </c>
      <c r="J791" s="5">
        <v>1224</v>
      </c>
      <c r="K791" s="6">
        <f t="shared" si="48"/>
        <v>45765</v>
      </c>
      <c r="L791" s="6">
        <f t="shared" si="49"/>
        <v>99144</v>
      </c>
      <c r="M791" s="6">
        <f t="shared" si="50"/>
        <v>53379</v>
      </c>
      <c r="N791" s="6" t="str">
        <f t="shared" si="51"/>
        <v>profit</v>
      </c>
    </row>
    <row r="792" spans="1:14" ht="16.5" thickTop="1" thickBot="1" x14ac:dyDescent="0.3">
      <c r="A792" s="4">
        <v>45647</v>
      </c>
      <c r="B792" s="4" t="s">
        <v>190</v>
      </c>
      <c r="C792" s="5" t="s">
        <v>355</v>
      </c>
      <c r="D792" s="5" t="s">
        <v>33</v>
      </c>
      <c r="E792" s="5" t="s">
        <v>99</v>
      </c>
      <c r="F792" s="5" t="s">
        <v>30</v>
      </c>
      <c r="G792" s="5" t="s">
        <v>19</v>
      </c>
      <c r="H792" s="5">
        <v>96</v>
      </c>
      <c r="I792" s="5">
        <v>715</v>
      </c>
      <c r="J792" s="5">
        <v>1171</v>
      </c>
      <c r="K792" s="6">
        <f t="shared" si="48"/>
        <v>68640</v>
      </c>
      <c r="L792" s="6">
        <f t="shared" si="49"/>
        <v>112416</v>
      </c>
      <c r="M792" s="6">
        <f t="shared" si="50"/>
        <v>43776</v>
      </c>
      <c r="N792" s="6" t="str">
        <f t="shared" si="51"/>
        <v>profit</v>
      </c>
    </row>
    <row r="793" spans="1:14" ht="16.5" thickTop="1" thickBot="1" x14ac:dyDescent="0.3">
      <c r="A793" s="4">
        <v>45512</v>
      </c>
      <c r="B793" s="4" t="s">
        <v>57</v>
      </c>
      <c r="C793" s="5" t="s">
        <v>121</v>
      </c>
      <c r="D793" s="5" t="s">
        <v>16</v>
      </c>
      <c r="E793" s="5" t="s">
        <v>37</v>
      </c>
      <c r="F793" s="5" t="s">
        <v>35</v>
      </c>
      <c r="G793" s="5" t="s">
        <v>19</v>
      </c>
      <c r="H793" s="5">
        <v>10</v>
      </c>
      <c r="I793" s="5">
        <v>812</v>
      </c>
      <c r="J793" s="5">
        <v>1112</v>
      </c>
      <c r="K793" s="6">
        <f t="shared" si="48"/>
        <v>8120</v>
      </c>
      <c r="L793" s="6">
        <f t="shared" si="49"/>
        <v>11120</v>
      </c>
      <c r="M793" s="6">
        <f t="shared" si="50"/>
        <v>3000</v>
      </c>
      <c r="N793" s="6" t="str">
        <f t="shared" si="51"/>
        <v>profit</v>
      </c>
    </row>
    <row r="794" spans="1:14" ht="16.5" thickTop="1" thickBot="1" x14ac:dyDescent="0.3">
      <c r="A794" s="4">
        <v>45649</v>
      </c>
      <c r="B794" s="4" t="s">
        <v>190</v>
      </c>
      <c r="C794" s="5" t="s">
        <v>356</v>
      </c>
      <c r="D794" s="5" t="s">
        <v>33</v>
      </c>
      <c r="E794" s="5" t="s">
        <v>120</v>
      </c>
      <c r="F794" s="5" t="s">
        <v>44</v>
      </c>
      <c r="G794" s="5" t="s">
        <v>19</v>
      </c>
      <c r="H794" s="5">
        <v>69</v>
      </c>
      <c r="I794" s="5">
        <v>699</v>
      </c>
      <c r="J794" s="5">
        <v>835</v>
      </c>
      <c r="K794" s="6">
        <f t="shared" si="48"/>
        <v>48231</v>
      </c>
      <c r="L794" s="6">
        <f t="shared" si="49"/>
        <v>57615</v>
      </c>
      <c r="M794" s="6">
        <f t="shared" si="50"/>
        <v>9384</v>
      </c>
      <c r="N794" s="6" t="str">
        <f t="shared" si="51"/>
        <v>profit</v>
      </c>
    </row>
    <row r="795" spans="1:14" ht="16.5" thickTop="1" thickBot="1" x14ac:dyDescent="0.3">
      <c r="A795" s="4">
        <v>45650</v>
      </c>
      <c r="B795" s="4" t="s">
        <v>190</v>
      </c>
      <c r="C795" s="5" t="s">
        <v>357</v>
      </c>
      <c r="D795" s="5" t="s">
        <v>33</v>
      </c>
      <c r="E795" s="5" t="s">
        <v>120</v>
      </c>
      <c r="F795" s="5" t="s">
        <v>153</v>
      </c>
      <c r="G795" s="5" t="s">
        <v>19</v>
      </c>
      <c r="H795" s="5">
        <v>58</v>
      </c>
      <c r="I795" s="5">
        <v>924</v>
      </c>
      <c r="J795" s="5">
        <v>990</v>
      </c>
      <c r="K795" s="6">
        <f t="shared" si="48"/>
        <v>53592</v>
      </c>
      <c r="L795" s="6">
        <f t="shared" si="49"/>
        <v>57420</v>
      </c>
      <c r="M795" s="6">
        <f t="shared" si="50"/>
        <v>3828</v>
      </c>
      <c r="N795" s="6" t="str">
        <f t="shared" si="51"/>
        <v>profit</v>
      </c>
    </row>
    <row r="796" spans="1:14" ht="16.5" thickTop="1" thickBot="1" x14ac:dyDescent="0.3">
      <c r="A796" s="4">
        <v>45651</v>
      </c>
      <c r="B796" s="4" t="s">
        <v>190</v>
      </c>
      <c r="C796" s="5" t="s">
        <v>358</v>
      </c>
      <c r="D796" s="5" t="s">
        <v>33</v>
      </c>
      <c r="E796" s="5" t="s">
        <v>120</v>
      </c>
      <c r="F796" s="5" t="s">
        <v>155</v>
      </c>
      <c r="G796" s="5" t="s">
        <v>19</v>
      </c>
      <c r="H796" s="5">
        <v>83</v>
      </c>
      <c r="I796" s="5">
        <v>790</v>
      </c>
      <c r="J796" s="5">
        <v>1164</v>
      </c>
      <c r="K796" s="6">
        <f t="shared" si="48"/>
        <v>65570</v>
      </c>
      <c r="L796" s="6">
        <f t="shared" si="49"/>
        <v>96612</v>
      </c>
      <c r="M796" s="6">
        <f t="shared" si="50"/>
        <v>31042</v>
      </c>
      <c r="N796" s="6" t="str">
        <f t="shared" si="51"/>
        <v>profit</v>
      </c>
    </row>
    <row r="797" spans="1:14" ht="16.5" thickTop="1" thickBot="1" x14ac:dyDescent="0.3">
      <c r="A797" s="4">
        <v>45652</v>
      </c>
      <c r="B797" s="4" t="s">
        <v>190</v>
      </c>
      <c r="C797" s="5" t="s">
        <v>359</v>
      </c>
      <c r="D797" s="5" t="s">
        <v>33</v>
      </c>
      <c r="E797" s="5" t="s">
        <v>120</v>
      </c>
      <c r="F797" s="5" t="s">
        <v>18</v>
      </c>
      <c r="G797" s="5" t="s">
        <v>19</v>
      </c>
      <c r="H797" s="5">
        <v>60</v>
      </c>
      <c r="I797" s="5">
        <v>867</v>
      </c>
      <c r="J797" s="5">
        <v>854</v>
      </c>
      <c r="K797" s="6">
        <f t="shared" si="48"/>
        <v>52020</v>
      </c>
      <c r="L797" s="6">
        <f t="shared" si="49"/>
        <v>51240</v>
      </c>
      <c r="M797" s="6">
        <f t="shared" si="50"/>
        <v>-780</v>
      </c>
      <c r="N797" s="6" t="str">
        <f t="shared" si="51"/>
        <v>loss</v>
      </c>
    </row>
    <row r="798" spans="1:14" ht="16.5" thickTop="1" thickBot="1" x14ac:dyDescent="0.3">
      <c r="A798" s="4">
        <v>45654</v>
      </c>
      <c r="B798" s="4" t="s">
        <v>190</v>
      </c>
      <c r="C798" s="5" t="s">
        <v>360</v>
      </c>
      <c r="D798" s="5" t="s">
        <v>33</v>
      </c>
      <c r="E798" s="5" t="s">
        <v>120</v>
      </c>
      <c r="F798" s="5" t="s">
        <v>23</v>
      </c>
      <c r="G798" s="5" t="s">
        <v>28</v>
      </c>
      <c r="H798" s="5">
        <v>89</v>
      </c>
      <c r="I798" s="5">
        <v>702</v>
      </c>
      <c r="J798" s="5">
        <v>1314</v>
      </c>
      <c r="K798" s="6">
        <f t="shared" si="48"/>
        <v>62478</v>
      </c>
      <c r="L798" s="6">
        <f t="shared" si="49"/>
        <v>116946</v>
      </c>
      <c r="M798" s="6">
        <f t="shared" si="50"/>
        <v>54468</v>
      </c>
      <c r="N798" s="6" t="str">
        <f t="shared" si="51"/>
        <v>profit</v>
      </c>
    </row>
    <row r="799" spans="1:14" ht="16.5" thickTop="1" thickBot="1" x14ac:dyDescent="0.3">
      <c r="A799" s="4">
        <v>45655</v>
      </c>
      <c r="B799" s="4" t="s">
        <v>190</v>
      </c>
      <c r="C799" s="5" t="s">
        <v>361</v>
      </c>
      <c r="D799" s="5" t="s">
        <v>33</v>
      </c>
      <c r="E799" s="5" t="s">
        <v>120</v>
      </c>
      <c r="F799" s="5" t="s">
        <v>25</v>
      </c>
      <c r="G799" s="5" t="s">
        <v>28</v>
      </c>
      <c r="H799" s="5">
        <v>91</v>
      </c>
      <c r="I799" s="5">
        <v>805</v>
      </c>
      <c r="J799" s="5">
        <v>1361</v>
      </c>
      <c r="K799" s="6">
        <f t="shared" si="48"/>
        <v>73255</v>
      </c>
      <c r="L799" s="6">
        <f t="shared" si="49"/>
        <v>123851</v>
      </c>
      <c r="M799" s="6">
        <f t="shared" si="50"/>
        <v>50596</v>
      </c>
      <c r="N799" s="6" t="str">
        <f t="shared" si="51"/>
        <v>profit</v>
      </c>
    </row>
    <row r="800" spans="1:14" ht="16.5" thickTop="1" thickBot="1" x14ac:dyDescent="0.3">
      <c r="A800" s="4">
        <v>45656</v>
      </c>
      <c r="B800" s="4" t="s">
        <v>190</v>
      </c>
      <c r="C800" s="5" t="s">
        <v>362</v>
      </c>
      <c r="D800" s="5" t="s">
        <v>33</v>
      </c>
      <c r="E800" s="5" t="s">
        <v>120</v>
      </c>
      <c r="F800" s="5" t="s">
        <v>25</v>
      </c>
      <c r="G800" s="5" t="s">
        <v>28</v>
      </c>
      <c r="H800" s="5">
        <v>78</v>
      </c>
      <c r="I800" s="5">
        <v>682</v>
      </c>
      <c r="J800" s="5">
        <v>962</v>
      </c>
      <c r="K800" s="6">
        <f t="shared" si="48"/>
        <v>53196</v>
      </c>
      <c r="L800" s="6">
        <f t="shared" si="49"/>
        <v>75036</v>
      </c>
      <c r="M800" s="6">
        <f t="shared" si="50"/>
        <v>21840</v>
      </c>
      <c r="N800" s="6" t="str">
        <f t="shared" si="51"/>
        <v>profit</v>
      </c>
    </row>
    <row r="801" spans="1:14" ht="16.5" thickTop="1" thickBot="1" x14ac:dyDescent="0.3">
      <c r="A801" s="4">
        <v>45520</v>
      </c>
      <c r="B801" s="4" t="s">
        <v>57</v>
      </c>
      <c r="C801" s="5" t="s">
        <v>122</v>
      </c>
      <c r="D801" s="5" t="s">
        <v>46</v>
      </c>
      <c r="E801" s="5" t="s">
        <v>118</v>
      </c>
      <c r="F801" s="5" t="s">
        <v>52</v>
      </c>
      <c r="G801" s="5" t="s">
        <v>28</v>
      </c>
      <c r="H801" s="5">
        <v>22</v>
      </c>
      <c r="I801" s="5">
        <v>888</v>
      </c>
      <c r="J801" s="5">
        <v>1284</v>
      </c>
      <c r="K801" s="6">
        <f t="shared" si="48"/>
        <v>19536</v>
      </c>
      <c r="L801" s="6">
        <f t="shared" si="49"/>
        <v>28248</v>
      </c>
      <c r="M801" s="6">
        <f t="shared" si="50"/>
        <v>8712</v>
      </c>
      <c r="N801" s="6" t="str">
        <f t="shared" si="51"/>
        <v>profit</v>
      </c>
    </row>
    <row r="802" spans="1:14" ht="16.5" thickTop="1" thickBot="1" x14ac:dyDescent="0.3">
      <c r="A802" s="4">
        <v>45657</v>
      </c>
      <c r="B802" s="4" t="s">
        <v>190</v>
      </c>
      <c r="C802" s="5" t="s">
        <v>363</v>
      </c>
      <c r="D802" s="5" t="s">
        <v>33</v>
      </c>
      <c r="E802" s="5" t="s">
        <v>120</v>
      </c>
      <c r="F802" s="5" t="s">
        <v>27</v>
      </c>
      <c r="G802" s="5" t="s">
        <v>28</v>
      </c>
      <c r="H802" s="5">
        <v>54</v>
      </c>
      <c r="I802" s="5">
        <v>990</v>
      </c>
      <c r="J802" s="5">
        <v>970</v>
      </c>
      <c r="K802" s="6">
        <f t="shared" si="48"/>
        <v>53460</v>
      </c>
      <c r="L802" s="6">
        <f t="shared" si="49"/>
        <v>52380</v>
      </c>
      <c r="M802" s="6">
        <f t="shared" si="50"/>
        <v>-1080</v>
      </c>
      <c r="N802" s="6" t="str">
        <f t="shared" si="51"/>
        <v>loss</v>
      </c>
    </row>
    <row r="803" spans="1:14" ht="16.5" thickTop="1" thickBot="1" x14ac:dyDescent="0.3">
      <c r="A803" s="4">
        <v>45658</v>
      </c>
      <c r="B803" s="4" t="s">
        <v>95</v>
      </c>
      <c r="C803" s="5" t="s">
        <v>364</v>
      </c>
      <c r="D803" s="5" t="s">
        <v>33</v>
      </c>
      <c r="E803" s="5" t="s">
        <v>120</v>
      </c>
      <c r="F803" s="5" t="s">
        <v>30</v>
      </c>
      <c r="G803" s="5" t="s">
        <v>19</v>
      </c>
      <c r="H803" s="5">
        <v>72</v>
      </c>
      <c r="I803" s="5">
        <v>749</v>
      </c>
      <c r="J803" s="5">
        <v>1262</v>
      </c>
      <c r="K803" s="6">
        <f t="shared" si="48"/>
        <v>53928</v>
      </c>
      <c r="L803" s="6">
        <f t="shared" si="49"/>
        <v>90864</v>
      </c>
      <c r="M803" s="6">
        <f t="shared" si="50"/>
        <v>36936</v>
      </c>
      <c r="N803" s="6" t="str">
        <f t="shared" si="51"/>
        <v>profit</v>
      </c>
    </row>
    <row r="804" spans="1:14" ht="16.5" thickTop="1" thickBot="1" x14ac:dyDescent="0.3">
      <c r="A804" s="4">
        <v>45666</v>
      </c>
      <c r="B804" s="4" t="s">
        <v>95</v>
      </c>
      <c r="C804" s="5" t="s">
        <v>365</v>
      </c>
      <c r="D804" s="5" t="s">
        <v>33</v>
      </c>
      <c r="E804" s="5" t="s">
        <v>99</v>
      </c>
      <c r="F804" s="5" t="s">
        <v>35</v>
      </c>
      <c r="G804" s="5" t="s">
        <v>28</v>
      </c>
      <c r="H804" s="5">
        <v>51</v>
      </c>
      <c r="I804" s="5">
        <v>925</v>
      </c>
      <c r="J804" s="5">
        <v>750</v>
      </c>
      <c r="K804" s="6">
        <f t="shared" si="48"/>
        <v>47175</v>
      </c>
      <c r="L804" s="6">
        <f t="shared" si="49"/>
        <v>38250</v>
      </c>
      <c r="M804" s="6">
        <f t="shared" si="50"/>
        <v>-8925</v>
      </c>
      <c r="N804" s="6" t="str">
        <f t="shared" si="51"/>
        <v>loss</v>
      </c>
    </row>
    <row r="805" spans="1:14" ht="16.5" thickTop="1" thickBot="1" x14ac:dyDescent="0.3">
      <c r="A805" s="4">
        <v>45667</v>
      </c>
      <c r="B805" s="4" t="s">
        <v>95</v>
      </c>
      <c r="C805" s="5" t="s">
        <v>366</v>
      </c>
      <c r="D805" s="5" t="s">
        <v>33</v>
      </c>
      <c r="E805" s="5" t="s">
        <v>99</v>
      </c>
      <c r="F805" s="5" t="s">
        <v>39</v>
      </c>
      <c r="G805" s="5" t="s">
        <v>28</v>
      </c>
      <c r="H805" s="5">
        <v>56</v>
      </c>
      <c r="I805" s="5">
        <v>782</v>
      </c>
      <c r="J805" s="5">
        <v>1353</v>
      </c>
      <c r="K805" s="6">
        <f t="shared" si="48"/>
        <v>43792</v>
      </c>
      <c r="L805" s="6">
        <f t="shared" si="49"/>
        <v>75768</v>
      </c>
      <c r="M805" s="6">
        <f t="shared" si="50"/>
        <v>31976</v>
      </c>
      <c r="N805" s="6" t="str">
        <f t="shared" si="51"/>
        <v>profit</v>
      </c>
    </row>
    <row r="806" spans="1:14" ht="16.5" thickTop="1" thickBot="1" x14ac:dyDescent="0.3">
      <c r="A806" s="4">
        <v>45668</v>
      </c>
      <c r="B806" s="4" t="s">
        <v>95</v>
      </c>
      <c r="C806" s="5" t="s">
        <v>367</v>
      </c>
      <c r="D806" s="5" t="s">
        <v>33</v>
      </c>
      <c r="E806" s="5" t="s">
        <v>99</v>
      </c>
      <c r="F806" s="5" t="s">
        <v>39</v>
      </c>
      <c r="G806" s="5" t="s">
        <v>28</v>
      </c>
      <c r="H806" s="5">
        <v>92</v>
      </c>
      <c r="I806" s="5">
        <v>978</v>
      </c>
      <c r="J806" s="5">
        <v>1062</v>
      </c>
      <c r="K806" s="6">
        <f t="shared" si="48"/>
        <v>89976</v>
      </c>
      <c r="L806" s="6">
        <f t="shared" si="49"/>
        <v>97704</v>
      </c>
      <c r="M806" s="6">
        <f t="shared" si="50"/>
        <v>7728</v>
      </c>
      <c r="N806" s="6" t="str">
        <f t="shared" si="51"/>
        <v>profit</v>
      </c>
    </row>
    <row r="807" spans="1:14" ht="16.5" thickTop="1" thickBot="1" x14ac:dyDescent="0.3">
      <c r="A807" s="4">
        <v>45526</v>
      </c>
      <c r="B807" s="4" t="s">
        <v>57</v>
      </c>
      <c r="C807" s="5" t="s">
        <v>123</v>
      </c>
      <c r="D807" s="5" t="s">
        <v>46</v>
      </c>
      <c r="E807" s="5" t="s">
        <v>118</v>
      </c>
      <c r="F807" s="5" t="s">
        <v>64</v>
      </c>
      <c r="G807" s="5" t="s">
        <v>19</v>
      </c>
      <c r="H807" s="5">
        <v>29</v>
      </c>
      <c r="I807" s="5">
        <v>818</v>
      </c>
      <c r="J807" s="5">
        <v>999</v>
      </c>
      <c r="K807" s="6">
        <f t="shared" si="48"/>
        <v>23722</v>
      </c>
      <c r="L807" s="6">
        <f t="shared" si="49"/>
        <v>28971</v>
      </c>
      <c r="M807" s="6">
        <f t="shared" si="50"/>
        <v>5249</v>
      </c>
      <c r="N807" s="6" t="str">
        <f t="shared" si="51"/>
        <v>profit</v>
      </c>
    </row>
    <row r="808" spans="1:14" ht="16.5" thickTop="1" thickBot="1" x14ac:dyDescent="0.3">
      <c r="A808" s="4">
        <v>45669</v>
      </c>
      <c r="B808" s="4" t="s">
        <v>95</v>
      </c>
      <c r="C808" s="5" t="s">
        <v>368</v>
      </c>
      <c r="D808" s="5" t="s">
        <v>33</v>
      </c>
      <c r="E808" s="5" t="s">
        <v>99</v>
      </c>
      <c r="F808" s="5" t="s">
        <v>64</v>
      </c>
      <c r="G808" s="5" t="s">
        <v>19</v>
      </c>
      <c r="H808" s="5">
        <v>75</v>
      </c>
      <c r="I808" s="5">
        <v>539</v>
      </c>
      <c r="J808" s="5">
        <v>1068</v>
      </c>
      <c r="K808" s="6">
        <f t="shared" si="48"/>
        <v>40425</v>
      </c>
      <c r="L808" s="6">
        <f t="shared" si="49"/>
        <v>80100</v>
      </c>
      <c r="M808" s="6">
        <f t="shared" si="50"/>
        <v>39675</v>
      </c>
      <c r="N808" s="6" t="str">
        <f t="shared" si="51"/>
        <v>profit</v>
      </c>
    </row>
    <row r="809" spans="1:14" ht="16.5" thickTop="1" thickBot="1" x14ac:dyDescent="0.3">
      <c r="A809" s="4">
        <v>45670</v>
      </c>
      <c r="B809" s="4" t="s">
        <v>95</v>
      </c>
      <c r="C809" s="5" t="s">
        <v>369</v>
      </c>
      <c r="D809" s="5" t="s">
        <v>33</v>
      </c>
      <c r="E809" s="5" t="s">
        <v>99</v>
      </c>
      <c r="F809" s="5" t="s">
        <v>64</v>
      </c>
      <c r="G809" s="5" t="s">
        <v>28</v>
      </c>
      <c r="H809" s="5">
        <v>78</v>
      </c>
      <c r="I809" s="5">
        <v>608</v>
      </c>
      <c r="J809" s="5">
        <v>1496</v>
      </c>
      <c r="K809" s="6">
        <f t="shared" si="48"/>
        <v>47424</v>
      </c>
      <c r="L809" s="6">
        <f t="shared" si="49"/>
        <v>116688</v>
      </c>
      <c r="M809" s="6">
        <f t="shared" si="50"/>
        <v>69264</v>
      </c>
      <c r="N809" s="6" t="str">
        <f t="shared" si="51"/>
        <v>profit</v>
      </c>
    </row>
    <row r="810" spans="1:14" ht="16.5" thickTop="1" thickBot="1" x14ac:dyDescent="0.3">
      <c r="A810" s="4">
        <v>45672</v>
      </c>
      <c r="B810" s="4" t="s">
        <v>95</v>
      </c>
      <c r="C810" s="5" t="s">
        <v>370</v>
      </c>
      <c r="D810" s="5" t="s">
        <v>33</v>
      </c>
      <c r="E810" s="5" t="s">
        <v>120</v>
      </c>
      <c r="F810" s="5" t="s">
        <v>39</v>
      </c>
      <c r="G810" s="5" t="s">
        <v>28</v>
      </c>
      <c r="H810" s="5">
        <v>66</v>
      </c>
      <c r="I810" s="5">
        <v>831</v>
      </c>
      <c r="J810" s="5">
        <v>787</v>
      </c>
      <c r="K810" s="6">
        <f t="shared" si="48"/>
        <v>54846</v>
      </c>
      <c r="L810" s="6">
        <f t="shared" si="49"/>
        <v>51942</v>
      </c>
      <c r="M810" s="6">
        <f t="shared" si="50"/>
        <v>-2904</v>
      </c>
      <c r="N810" s="6" t="str">
        <f t="shared" si="51"/>
        <v>loss</v>
      </c>
    </row>
    <row r="811" spans="1:14" ht="16.5" thickTop="1" thickBot="1" x14ac:dyDescent="0.3">
      <c r="A811" s="4">
        <v>45673</v>
      </c>
      <c r="B811" s="4" t="s">
        <v>95</v>
      </c>
      <c r="C811" s="5" t="s">
        <v>371</v>
      </c>
      <c r="D811" s="5" t="s">
        <v>33</v>
      </c>
      <c r="E811" s="5" t="s">
        <v>120</v>
      </c>
      <c r="F811" s="5" t="s">
        <v>30</v>
      </c>
      <c r="G811" s="5" t="s">
        <v>28</v>
      </c>
      <c r="H811" s="5">
        <v>86</v>
      </c>
      <c r="I811" s="5">
        <v>855</v>
      </c>
      <c r="J811" s="5">
        <v>930</v>
      </c>
      <c r="K811" s="6">
        <f t="shared" si="48"/>
        <v>73530</v>
      </c>
      <c r="L811" s="6">
        <f t="shared" si="49"/>
        <v>79980</v>
      </c>
      <c r="M811" s="6">
        <f t="shared" si="50"/>
        <v>6450</v>
      </c>
      <c r="N811" s="6" t="str">
        <f t="shared" si="51"/>
        <v>profit</v>
      </c>
    </row>
    <row r="812" spans="1:14" ht="16.5" thickTop="1" thickBot="1" x14ac:dyDescent="0.3">
      <c r="A812" s="4">
        <v>45674</v>
      </c>
      <c r="B812" s="4" t="s">
        <v>95</v>
      </c>
      <c r="C812" s="5" t="s">
        <v>372</v>
      </c>
      <c r="D812" s="5" t="s">
        <v>33</v>
      </c>
      <c r="E812" s="5" t="s">
        <v>120</v>
      </c>
      <c r="F812" s="5" t="s">
        <v>113</v>
      </c>
      <c r="G812" s="5" t="s">
        <v>19</v>
      </c>
      <c r="H812" s="5">
        <v>84</v>
      </c>
      <c r="I812" s="5">
        <v>948</v>
      </c>
      <c r="J812" s="5">
        <v>1156</v>
      </c>
      <c r="K812" s="6">
        <f t="shared" si="48"/>
        <v>79632</v>
      </c>
      <c r="L812" s="6">
        <f t="shared" si="49"/>
        <v>97104</v>
      </c>
      <c r="M812" s="6">
        <f t="shared" si="50"/>
        <v>17472</v>
      </c>
      <c r="N812" s="6" t="str">
        <f t="shared" si="51"/>
        <v>profit</v>
      </c>
    </row>
    <row r="813" spans="1:14" ht="16.5" thickTop="1" thickBot="1" x14ac:dyDescent="0.3">
      <c r="A813" s="4">
        <v>45675</v>
      </c>
      <c r="B813" s="4" t="s">
        <v>95</v>
      </c>
      <c r="C813" s="5" t="s">
        <v>373</v>
      </c>
      <c r="D813" s="5" t="s">
        <v>33</v>
      </c>
      <c r="E813" s="5" t="s">
        <v>120</v>
      </c>
      <c r="F813" s="5" t="s">
        <v>44</v>
      </c>
      <c r="G813" s="5" t="s">
        <v>19</v>
      </c>
      <c r="H813" s="5">
        <v>90</v>
      </c>
      <c r="I813" s="5">
        <v>962</v>
      </c>
      <c r="J813" s="5">
        <v>970</v>
      </c>
      <c r="K813" s="6">
        <f t="shared" si="48"/>
        <v>86580</v>
      </c>
      <c r="L813" s="6">
        <f t="shared" si="49"/>
        <v>87300</v>
      </c>
      <c r="M813" s="6">
        <f t="shared" si="50"/>
        <v>720</v>
      </c>
      <c r="N813" s="6" t="str">
        <f t="shared" si="51"/>
        <v>profit</v>
      </c>
    </row>
    <row r="814" spans="1:14" ht="16.5" thickTop="1" thickBot="1" x14ac:dyDescent="0.3">
      <c r="A814" s="4">
        <v>45676</v>
      </c>
      <c r="B814" s="4" t="s">
        <v>95</v>
      </c>
      <c r="C814" s="5" t="s">
        <v>374</v>
      </c>
      <c r="D814" s="5" t="s">
        <v>33</v>
      </c>
      <c r="E814" s="5" t="s">
        <v>120</v>
      </c>
      <c r="F814" s="5" t="s">
        <v>153</v>
      </c>
      <c r="G814" s="5" t="s">
        <v>19</v>
      </c>
      <c r="H814" s="5">
        <v>84</v>
      </c>
      <c r="I814" s="5">
        <v>521</v>
      </c>
      <c r="J814" s="5">
        <v>1320</v>
      </c>
      <c r="K814" s="6">
        <f t="shared" si="48"/>
        <v>43764</v>
      </c>
      <c r="L814" s="6">
        <f t="shared" si="49"/>
        <v>110880</v>
      </c>
      <c r="M814" s="6">
        <f t="shared" si="50"/>
        <v>67116</v>
      </c>
      <c r="N814" s="6" t="str">
        <f t="shared" si="51"/>
        <v>profit</v>
      </c>
    </row>
    <row r="815" spans="1:14" ht="16.5" thickTop="1" thickBot="1" x14ac:dyDescent="0.3">
      <c r="A815" s="4">
        <v>45700</v>
      </c>
      <c r="B815" s="4" t="s">
        <v>239</v>
      </c>
      <c r="C815" s="5" t="s">
        <v>375</v>
      </c>
      <c r="D815" s="5" t="s">
        <v>33</v>
      </c>
      <c r="E815" s="5" t="s">
        <v>99</v>
      </c>
      <c r="F815" s="5" t="s">
        <v>39</v>
      </c>
      <c r="G815" s="5" t="s">
        <v>19</v>
      </c>
      <c r="H815" s="5">
        <v>85</v>
      </c>
      <c r="I815" s="5">
        <v>938</v>
      </c>
      <c r="J815" s="5">
        <v>802</v>
      </c>
      <c r="K815" s="6">
        <f t="shared" si="48"/>
        <v>79730</v>
      </c>
      <c r="L815" s="6">
        <f t="shared" si="49"/>
        <v>68170</v>
      </c>
      <c r="M815" s="6">
        <f t="shared" si="50"/>
        <v>-11560</v>
      </c>
      <c r="N815" s="6" t="str">
        <f t="shared" si="51"/>
        <v>loss</v>
      </c>
    </row>
    <row r="816" spans="1:14" ht="16.5" thickTop="1" thickBot="1" x14ac:dyDescent="0.3">
      <c r="A816" s="4">
        <v>45535</v>
      </c>
      <c r="B816" s="4" t="s">
        <v>57</v>
      </c>
      <c r="C816" s="5" t="s">
        <v>124</v>
      </c>
      <c r="D816" s="5" t="s">
        <v>33</v>
      </c>
      <c r="E816" s="5" t="s">
        <v>99</v>
      </c>
      <c r="F816" s="5" t="s">
        <v>21</v>
      </c>
      <c r="G816" s="5" t="s">
        <v>28</v>
      </c>
      <c r="H816" s="5">
        <v>60</v>
      </c>
      <c r="I816" s="5">
        <v>645</v>
      </c>
      <c r="J816" s="5">
        <v>936</v>
      </c>
      <c r="K816" s="6">
        <f t="shared" si="48"/>
        <v>38700</v>
      </c>
      <c r="L816" s="6">
        <f t="shared" si="49"/>
        <v>56160</v>
      </c>
      <c r="M816" s="6">
        <f t="shared" si="50"/>
        <v>17460</v>
      </c>
      <c r="N816" s="6" t="str">
        <f t="shared" si="51"/>
        <v>profit</v>
      </c>
    </row>
    <row r="817" spans="1:14" ht="16.5" thickTop="1" thickBot="1" x14ac:dyDescent="0.3">
      <c r="A817" s="4">
        <v>45701</v>
      </c>
      <c r="B817" s="4" t="s">
        <v>239</v>
      </c>
      <c r="C817" s="5" t="s">
        <v>376</v>
      </c>
      <c r="D817" s="5" t="s">
        <v>33</v>
      </c>
      <c r="E817" s="5" t="s">
        <v>99</v>
      </c>
      <c r="F817" s="5" t="s">
        <v>39</v>
      </c>
      <c r="G817" s="5" t="s">
        <v>19</v>
      </c>
      <c r="H817" s="5">
        <v>62</v>
      </c>
      <c r="I817" s="5">
        <v>562</v>
      </c>
      <c r="J817" s="5">
        <v>884</v>
      </c>
      <c r="K817" s="6">
        <f t="shared" si="48"/>
        <v>34844</v>
      </c>
      <c r="L817" s="6">
        <f t="shared" si="49"/>
        <v>54808</v>
      </c>
      <c r="M817" s="6">
        <f t="shared" si="50"/>
        <v>19964</v>
      </c>
      <c r="N817" s="6" t="str">
        <f t="shared" si="51"/>
        <v>profit</v>
      </c>
    </row>
    <row r="818" spans="1:14" ht="16.5" thickTop="1" thickBot="1" x14ac:dyDescent="0.3">
      <c r="A818" s="4">
        <v>45703</v>
      </c>
      <c r="B818" s="4" t="s">
        <v>239</v>
      </c>
      <c r="C818" s="5" t="s">
        <v>377</v>
      </c>
      <c r="D818" s="5" t="s">
        <v>33</v>
      </c>
      <c r="E818" s="5" t="s">
        <v>99</v>
      </c>
      <c r="F818" s="5" t="s">
        <v>64</v>
      </c>
      <c r="G818" s="5" t="s">
        <v>19</v>
      </c>
      <c r="H818" s="5">
        <v>50</v>
      </c>
      <c r="I818" s="5">
        <v>887</v>
      </c>
      <c r="J818" s="5">
        <v>1068</v>
      </c>
      <c r="K818" s="6">
        <f t="shared" si="48"/>
        <v>44350</v>
      </c>
      <c r="L818" s="6">
        <f t="shared" si="49"/>
        <v>53400</v>
      </c>
      <c r="M818" s="6">
        <f t="shared" si="50"/>
        <v>9050</v>
      </c>
      <c r="N818" s="6" t="str">
        <f t="shared" si="51"/>
        <v>profit</v>
      </c>
    </row>
    <row r="819" spans="1:14" ht="16.5" thickTop="1" thickBot="1" x14ac:dyDescent="0.3">
      <c r="A819" s="4">
        <v>45704</v>
      </c>
      <c r="B819" s="4" t="s">
        <v>239</v>
      </c>
      <c r="C819" s="5" t="s">
        <v>378</v>
      </c>
      <c r="D819" s="5" t="s">
        <v>33</v>
      </c>
      <c r="E819" s="5" t="s">
        <v>99</v>
      </c>
      <c r="F819" s="5" t="s">
        <v>60</v>
      </c>
      <c r="G819" s="5" t="s">
        <v>28</v>
      </c>
      <c r="H819" s="5">
        <v>66</v>
      </c>
      <c r="I819" s="5">
        <v>771</v>
      </c>
      <c r="J819" s="5">
        <v>1492</v>
      </c>
      <c r="K819" s="6">
        <f t="shared" si="48"/>
        <v>50886</v>
      </c>
      <c r="L819" s="6">
        <f t="shared" si="49"/>
        <v>98472</v>
      </c>
      <c r="M819" s="6">
        <f t="shared" si="50"/>
        <v>47586</v>
      </c>
      <c r="N819" s="6" t="str">
        <f t="shared" si="51"/>
        <v>profit</v>
      </c>
    </row>
    <row r="820" spans="1:14" ht="16.5" thickTop="1" thickBot="1" x14ac:dyDescent="0.3">
      <c r="A820" s="4">
        <v>45705</v>
      </c>
      <c r="B820" s="4" t="s">
        <v>239</v>
      </c>
      <c r="C820" s="5" t="s">
        <v>379</v>
      </c>
      <c r="D820" s="5" t="s">
        <v>33</v>
      </c>
      <c r="E820" s="5" t="s">
        <v>99</v>
      </c>
      <c r="F820" s="5" t="s">
        <v>39</v>
      </c>
      <c r="G820" s="5" t="s">
        <v>28</v>
      </c>
      <c r="H820" s="5">
        <v>61</v>
      </c>
      <c r="I820" s="5">
        <v>529</v>
      </c>
      <c r="J820" s="5">
        <v>1419</v>
      </c>
      <c r="K820" s="6">
        <f t="shared" si="48"/>
        <v>32269</v>
      </c>
      <c r="L820" s="6">
        <f t="shared" si="49"/>
        <v>86559</v>
      </c>
      <c r="M820" s="6">
        <f t="shared" si="50"/>
        <v>54290</v>
      </c>
      <c r="N820" s="6" t="str">
        <f t="shared" si="51"/>
        <v>profit</v>
      </c>
    </row>
    <row r="821" spans="1:14" ht="16.5" thickTop="1" thickBot="1" x14ac:dyDescent="0.3">
      <c r="A821" s="4">
        <v>45540</v>
      </c>
      <c r="B821" s="4" t="s">
        <v>69</v>
      </c>
      <c r="C821" s="5" t="s">
        <v>125</v>
      </c>
      <c r="D821" s="5" t="s">
        <v>33</v>
      </c>
      <c r="E821" s="5" t="s">
        <v>120</v>
      </c>
      <c r="F821" s="5" t="s">
        <v>30</v>
      </c>
      <c r="G821" s="5" t="s">
        <v>19</v>
      </c>
      <c r="H821" s="5">
        <v>68</v>
      </c>
      <c r="I821" s="5">
        <v>777</v>
      </c>
      <c r="J821" s="5">
        <v>1433</v>
      </c>
      <c r="K821" s="6">
        <f t="shared" si="48"/>
        <v>52836</v>
      </c>
      <c r="L821" s="6">
        <f t="shared" si="49"/>
        <v>97444</v>
      </c>
      <c r="M821" s="6">
        <f t="shared" si="50"/>
        <v>44608</v>
      </c>
      <c r="N821" s="6" t="str">
        <f t="shared" si="51"/>
        <v>profit</v>
      </c>
    </row>
    <row r="822" spans="1:14" ht="16.5" thickTop="1" thickBot="1" x14ac:dyDescent="0.3">
      <c r="A822" s="4">
        <v>45706</v>
      </c>
      <c r="B822" s="4" t="s">
        <v>239</v>
      </c>
      <c r="C822" s="5" t="s">
        <v>380</v>
      </c>
      <c r="D822" s="5" t="s">
        <v>33</v>
      </c>
      <c r="E822" s="5" t="s">
        <v>99</v>
      </c>
      <c r="F822" s="5" t="s">
        <v>30</v>
      </c>
      <c r="G822" s="5" t="s">
        <v>28</v>
      </c>
      <c r="H822" s="5">
        <v>78</v>
      </c>
      <c r="I822" s="5">
        <v>511</v>
      </c>
      <c r="J822" s="5">
        <v>1368</v>
      </c>
      <c r="K822" s="6">
        <f t="shared" si="48"/>
        <v>39858</v>
      </c>
      <c r="L822" s="6">
        <f t="shared" si="49"/>
        <v>106704</v>
      </c>
      <c r="M822" s="6">
        <f t="shared" si="50"/>
        <v>66846</v>
      </c>
      <c r="N822" s="6" t="str">
        <f t="shared" si="51"/>
        <v>profit</v>
      </c>
    </row>
    <row r="823" spans="1:14" ht="16.5" thickTop="1" thickBot="1" x14ac:dyDescent="0.3">
      <c r="A823" s="4">
        <v>45707</v>
      </c>
      <c r="B823" s="4" t="s">
        <v>239</v>
      </c>
      <c r="C823" s="5" t="s">
        <v>381</v>
      </c>
      <c r="D823" s="5" t="s">
        <v>33</v>
      </c>
      <c r="E823" s="5" t="s">
        <v>99</v>
      </c>
      <c r="F823" s="5" t="s">
        <v>113</v>
      </c>
      <c r="G823" s="5" t="s">
        <v>28</v>
      </c>
      <c r="H823" s="5">
        <v>96</v>
      </c>
      <c r="I823" s="5">
        <v>790</v>
      </c>
      <c r="J823" s="5">
        <v>1335</v>
      </c>
      <c r="K823" s="6">
        <f t="shared" si="48"/>
        <v>75840</v>
      </c>
      <c r="L823" s="6">
        <f t="shared" si="49"/>
        <v>128160</v>
      </c>
      <c r="M823" s="6">
        <f t="shared" si="50"/>
        <v>52320</v>
      </c>
      <c r="N823" s="6" t="str">
        <f t="shared" si="51"/>
        <v>profit</v>
      </c>
    </row>
    <row r="824" spans="1:14" ht="16.5" thickTop="1" thickBot="1" x14ac:dyDescent="0.3">
      <c r="A824" s="4">
        <v>45708</v>
      </c>
      <c r="B824" s="4" t="s">
        <v>239</v>
      </c>
      <c r="C824" s="5" t="s">
        <v>382</v>
      </c>
      <c r="D824" s="5" t="s">
        <v>33</v>
      </c>
      <c r="E824" s="5" t="s">
        <v>99</v>
      </c>
      <c r="F824" s="5" t="s">
        <v>44</v>
      </c>
      <c r="G824" s="5" t="s">
        <v>19</v>
      </c>
      <c r="H824" s="5">
        <v>63</v>
      </c>
      <c r="I824" s="5">
        <v>722</v>
      </c>
      <c r="J824" s="5">
        <v>1374</v>
      </c>
      <c r="K824" s="6">
        <f t="shared" si="48"/>
        <v>45486</v>
      </c>
      <c r="L824" s="6">
        <f t="shared" si="49"/>
        <v>86562</v>
      </c>
      <c r="M824" s="6">
        <f t="shared" si="50"/>
        <v>41076</v>
      </c>
      <c r="N824" s="6" t="str">
        <f t="shared" si="51"/>
        <v>profit</v>
      </c>
    </row>
    <row r="825" spans="1:14" ht="16.5" thickTop="1" thickBot="1" x14ac:dyDescent="0.3">
      <c r="A825" s="4">
        <v>45710</v>
      </c>
      <c r="B825" s="4" t="s">
        <v>239</v>
      </c>
      <c r="C825" s="5" t="s">
        <v>383</v>
      </c>
      <c r="D825" s="5" t="s">
        <v>33</v>
      </c>
      <c r="E825" s="5" t="s">
        <v>99</v>
      </c>
      <c r="F825" s="5" t="s">
        <v>155</v>
      </c>
      <c r="G825" s="5" t="s">
        <v>28</v>
      </c>
      <c r="H825" s="5">
        <v>92</v>
      </c>
      <c r="I825" s="5">
        <v>521</v>
      </c>
      <c r="J825" s="5">
        <v>1414</v>
      </c>
      <c r="K825" s="6">
        <f t="shared" si="48"/>
        <v>47932</v>
      </c>
      <c r="L825" s="6">
        <f t="shared" si="49"/>
        <v>130088</v>
      </c>
      <c r="M825" s="6">
        <f t="shared" si="50"/>
        <v>82156</v>
      </c>
      <c r="N825" s="6" t="str">
        <f t="shared" si="51"/>
        <v>profit</v>
      </c>
    </row>
    <row r="826" spans="1:14" ht="16.5" thickTop="1" thickBot="1" x14ac:dyDescent="0.3">
      <c r="A826" s="4">
        <v>45711</v>
      </c>
      <c r="B826" s="4" t="s">
        <v>239</v>
      </c>
      <c r="C826" s="5" t="s">
        <v>384</v>
      </c>
      <c r="D826" s="5" t="s">
        <v>33</v>
      </c>
      <c r="E826" s="5" t="s">
        <v>99</v>
      </c>
      <c r="F826" s="5" t="s">
        <v>18</v>
      </c>
      <c r="G826" s="5" t="s">
        <v>28</v>
      </c>
      <c r="H826" s="5">
        <v>65</v>
      </c>
      <c r="I826" s="5">
        <v>661</v>
      </c>
      <c r="J826" s="5">
        <v>1425</v>
      </c>
      <c r="K826" s="6">
        <f t="shared" si="48"/>
        <v>42965</v>
      </c>
      <c r="L826" s="6">
        <f t="shared" si="49"/>
        <v>92625</v>
      </c>
      <c r="M826" s="6">
        <f t="shared" si="50"/>
        <v>49660</v>
      </c>
      <c r="N826" s="6" t="str">
        <f t="shared" si="51"/>
        <v>profit</v>
      </c>
    </row>
    <row r="827" spans="1:14" ht="16.5" thickTop="1" thickBot="1" x14ac:dyDescent="0.3">
      <c r="A827" s="4">
        <v>45712</v>
      </c>
      <c r="B827" s="4" t="s">
        <v>239</v>
      </c>
      <c r="C827" s="5" t="s">
        <v>385</v>
      </c>
      <c r="D827" s="5" t="s">
        <v>33</v>
      </c>
      <c r="E827" s="5" t="s">
        <v>120</v>
      </c>
      <c r="F827" s="5" t="s">
        <v>21</v>
      </c>
      <c r="G827" s="5" t="s">
        <v>28</v>
      </c>
      <c r="H827" s="5">
        <v>77</v>
      </c>
      <c r="I827" s="5">
        <v>595</v>
      </c>
      <c r="J827" s="5">
        <v>1470</v>
      </c>
      <c r="K827" s="6">
        <f t="shared" si="48"/>
        <v>45815</v>
      </c>
      <c r="L827" s="6">
        <f t="shared" si="49"/>
        <v>113190</v>
      </c>
      <c r="M827" s="6">
        <f t="shared" si="50"/>
        <v>67375</v>
      </c>
      <c r="N827" s="6" t="str">
        <f t="shared" si="51"/>
        <v>profit</v>
      </c>
    </row>
    <row r="828" spans="1:14" ht="16.5" thickTop="1" thickBot="1" x14ac:dyDescent="0.3">
      <c r="A828" s="4">
        <v>45713</v>
      </c>
      <c r="B828" s="4" t="s">
        <v>239</v>
      </c>
      <c r="C828" s="5" t="s">
        <v>386</v>
      </c>
      <c r="D828" s="5" t="s">
        <v>33</v>
      </c>
      <c r="E828" s="5" t="s">
        <v>387</v>
      </c>
      <c r="F828" s="5" t="s">
        <v>21</v>
      </c>
      <c r="G828" s="5" t="s">
        <v>28</v>
      </c>
      <c r="H828" s="5">
        <v>62</v>
      </c>
      <c r="I828" s="5">
        <v>774</v>
      </c>
      <c r="J828" s="5">
        <v>1050</v>
      </c>
      <c r="K828" s="6">
        <f t="shared" si="48"/>
        <v>47988</v>
      </c>
      <c r="L828" s="6">
        <f t="shared" si="49"/>
        <v>65100</v>
      </c>
      <c r="M828" s="6">
        <f t="shared" si="50"/>
        <v>17112</v>
      </c>
      <c r="N828" s="6" t="str">
        <f t="shared" si="51"/>
        <v>profit</v>
      </c>
    </row>
    <row r="829" spans="1:14" ht="16.5" thickTop="1" thickBot="1" x14ac:dyDescent="0.3">
      <c r="A829" s="4">
        <v>45387</v>
      </c>
      <c r="B829" s="4" t="s">
        <v>31</v>
      </c>
      <c r="C829" s="5" t="s">
        <v>255</v>
      </c>
      <c r="D829" s="5" t="s">
        <v>33</v>
      </c>
      <c r="E829" s="5" t="s">
        <v>34</v>
      </c>
      <c r="F829" s="5" t="s">
        <v>76</v>
      </c>
      <c r="G829" s="5" t="s">
        <v>28</v>
      </c>
      <c r="H829" s="5">
        <v>65</v>
      </c>
      <c r="I829" s="5">
        <v>816</v>
      </c>
      <c r="J829" s="5">
        <v>1347</v>
      </c>
      <c r="K829" s="6">
        <f t="shared" si="48"/>
        <v>53040</v>
      </c>
      <c r="L829" s="6">
        <f t="shared" si="49"/>
        <v>87555</v>
      </c>
      <c r="M829" s="6">
        <f t="shared" si="50"/>
        <v>34515</v>
      </c>
      <c r="N829" s="6" t="str">
        <f t="shared" si="51"/>
        <v>profit</v>
      </c>
    </row>
    <row r="830" spans="1:14" ht="16.5" thickTop="1" thickBot="1" x14ac:dyDescent="0.3">
      <c r="A830" s="4">
        <v>45549</v>
      </c>
      <c r="B830" s="4" t="s">
        <v>69</v>
      </c>
      <c r="C830" s="5" t="s">
        <v>126</v>
      </c>
      <c r="D830" s="5" t="s">
        <v>16</v>
      </c>
      <c r="E830" s="5" t="s">
        <v>37</v>
      </c>
      <c r="F830" s="5" t="s">
        <v>35</v>
      </c>
      <c r="G830" s="5" t="s">
        <v>19</v>
      </c>
      <c r="H830" s="5">
        <v>19</v>
      </c>
      <c r="I830" s="5">
        <v>576</v>
      </c>
      <c r="J830" s="5">
        <v>1181</v>
      </c>
      <c r="K830" s="6">
        <f t="shared" si="48"/>
        <v>10944</v>
      </c>
      <c r="L830" s="6">
        <f t="shared" si="49"/>
        <v>22439</v>
      </c>
      <c r="M830" s="6">
        <f t="shared" si="50"/>
        <v>11495</v>
      </c>
      <c r="N830" s="6" t="str">
        <f t="shared" si="51"/>
        <v>profit</v>
      </c>
    </row>
    <row r="831" spans="1:14" ht="16.5" thickTop="1" thickBot="1" x14ac:dyDescent="0.3">
      <c r="A831" s="4">
        <v>45388</v>
      </c>
      <c r="B831" s="4" t="s">
        <v>31</v>
      </c>
      <c r="C831" s="5" t="s">
        <v>256</v>
      </c>
      <c r="D831" s="5" t="s">
        <v>33</v>
      </c>
      <c r="E831" s="5" t="s">
        <v>34</v>
      </c>
      <c r="F831" s="5" t="s">
        <v>78</v>
      </c>
      <c r="G831" s="5" t="s">
        <v>28</v>
      </c>
      <c r="H831" s="5">
        <v>100</v>
      </c>
      <c r="I831" s="5">
        <v>893</v>
      </c>
      <c r="J831" s="5">
        <v>1460</v>
      </c>
      <c r="K831" s="6">
        <f t="shared" si="48"/>
        <v>89300</v>
      </c>
      <c r="L831" s="6">
        <f t="shared" si="49"/>
        <v>146000</v>
      </c>
      <c r="M831" s="6">
        <f t="shared" si="50"/>
        <v>56700</v>
      </c>
      <c r="N831" s="6" t="str">
        <f t="shared" si="51"/>
        <v>profit</v>
      </c>
    </row>
    <row r="832" spans="1:14" ht="16.5" thickTop="1" thickBot="1" x14ac:dyDescent="0.3">
      <c r="A832" s="4">
        <v>45390</v>
      </c>
      <c r="B832" s="4" t="s">
        <v>31</v>
      </c>
      <c r="C832" s="5" t="s">
        <v>257</v>
      </c>
      <c r="D832" s="5" t="s">
        <v>33</v>
      </c>
      <c r="E832" s="5" t="s">
        <v>34</v>
      </c>
      <c r="F832" s="5" t="s">
        <v>44</v>
      </c>
      <c r="G832" s="5" t="s">
        <v>28</v>
      </c>
      <c r="H832" s="5">
        <v>79</v>
      </c>
      <c r="I832" s="5">
        <v>632</v>
      </c>
      <c r="J832" s="5">
        <v>1271</v>
      </c>
      <c r="K832" s="6">
        <f t="shared" si="48"/>
        <v>49928</v>
      </c>
      <c r="L832" s="6">
        <f t="shared" si="49"/>
        <v>100409</v>
      </c>
      <c r="M832" s="6">
        <f t="shared" si="50"/>
        <v>50481</v>
      </c>
      <c r="N832" s="6" t="str">
        <f t="shared" si="51"/>
        <v>profit</v>
      </c>
    </row>
    <row r="833" spans="1:14" ht="16.5" thickTop="1" thickBot="1" x14ac:dyDescent="0.3">
      <c r="A833" s="4">
        <v>45397</v>
      </c>
      <c r="B833" s="4" t="s">
        <v>31</v>
      </c>
      <c r="C833" s="5" t="s">
        <v>258</v>
      </c>
      <c r="D833" s="5" t="s">
        <v>33</v>
      </c>
      <c r="E833" s="5" t="s">
        <v>163</v>
      </c>
      <c r="F833" s="5" t="s">
        <v>44</v>
      </c>
      <c r="G833" s="5" t="s">
        <v>19</v>
      </c>
      <c r="H833" s="5">
        <v>74</v>
      </c>
      <c r="I833" s="5">
        <v>859</v>
      </c>
      <c r="J833" s="5">
        <v>1315</v>
      </c>
      <c r="K833" s="6">
        <f t="shared" si="48"/>
        <v>63566</v>
      </c>
      <c r="L833" s="6">
        <f t="shared" si="49"/>
        <v>97310</v>
      </c>
      <c r="M833" s="6">
        <f t="shared" si="50"/>
        <v>33744</v>
      </c>
      <c r="N833" s="6" t="str">
        <f t="shared" si="51"/>
        <v>profit</v>
      </c>
    </row>
    <row r="834" spans="1:14" ht="16.5" thickTop="1" thickBot="1" x14ac:dyDescent="0.3">
      <c r="A834" s="4">
        <v>45398</v>
      </c>
      <c r="B834" s="4" t="s">
        <v>31</v>
      </c>
      <c r="C834" s="5" t="s">
        <v>259</v>
      </c>
      <c r="D834" s="5" t="s">
        <v>33</v>
      </c>
      <c r="E834" s="5" t="s">
        <v>163</v>
      </c>
      <c r="F834" s="5" t="s">
        <v>49</v>
      </c>
      <c r="G834" s="5" t="s">
        <v>19</v>
      </c>
      <c r="H834" s="5">
        <v>77</v>
      </c>
      <c r="I834" s="5">
        <v>579</v>
      </c>
      <c r="J834" s="5">
        <v>1178</v>
      </c>
      <c r="K834" s="6">
        <f t="shared" ref="K834:K897" si="52">H834*I834</f>
        <v>44583</v>
      </c>
      <c r="L834" s="6">
        <f t="shared" ref="L834:L897" si="53">H834*J834</f>
        <v>90706</v>
      </c>
      <c r="M834" s="6">
        <f t="shared" ref="M834:M897" si="54">L834-K834</f>
        <v>46123</v>
      </c>
      <c r="N834" s="6" t="str">
        <f t="shared" ref="N834:N897" si="55">IF(M834&gt;0,"profit","loss")</f>
        <v>profit</v>
      </c>
    </row>
    <row r="835" spans="1:14" ht="16.5" thickTop="1" thickBot="1" x14ac:dyDescent="0.3">
      <c r="A835" s="4">
        <v>45554</v>
      </c>
      <c r="B835" s="4" t="s">
        <v>69</v>
      </c>
      <c r="C835" s="5" t="s">
        <v>127</v>
      </c>
      <c r="D835" s="5" t="s">
        <v>16</v>
      </c>
      <c r="E835" s="5" t="s">
        <v>37</v>
      </c>
      <c r="F835" s="5" t="s">
        <v>39</v>
      </c>
      <c r="G835" s="5" t="s">
        <v>28</v>
      </c>
      <c r="H835" s="5">
        <v>16</v>
      </c>
      <c r="I835" s="5">
        <v>689</v>
      </c>
      <c r="J835" s="5">
        <v>1068</v>
      </c>
      <c r="K835" s="6">
        <f t="shared" si="52"/>
        <v>11024</v>
      </c>
      <c r="L835" s="6">
        <f t="shared" si="53"/>
        <v>17088</v>
      </c>
      <c r="M835" s="6">
        <f t="shared" si="54"/>
        <v>6064</v>
      </c>
      <c r="N835" s="6" t="str">
        <f t="shared" si="55"/>
        <v>profit</v>
      </c>
    </row>
    <row r="836" spans="1:14" ht="16.5" thickTop="1" thickBot="1" x14ac:dyDescent="0.3">
      <c r="A836" s="4">
        <v>45399</v>
      </c>
      <c r="B836" s="4" t="s">
        <v>31</v>
      </c>
      <c r="C836" s="5" t="s">
        <v>260</v>
      </c>
      <c r="D836" s="5" t="s">
        <v>33</v>
      </c>
      <c r="E836" s="5" t="s">
        <v>163</v>
      </c>
      <c r="F836" s="5" t="s">
        <v>27</v>
      </c>
      <c r="G836" s="5" t="s">
        <v>19</v>
      </c>
      <c r="H836" s="5">
        <v>61</v>
      </c>
      <c r="I836" s="5">
        <v>865</v>
      </c>
      <c r="J836" s="5">
        <v>894</v>
      </c>
      <c r="K836" s="6">
        <f t="shared" si="52"/>
        <v>52765</v>
      </c>
      <c r="L836" s="6">
        <f t="shared" si="53"/>
        <v>54534</v>
      </c>
      <c r="M836" s="6">
        <f t="shared" si="54"/>
        <v>1769</v>
      </c>
      <c r="N836" s="6" t="str">
        <f t="shared" si="55"/>
        <v>profit</v>
      </c>
    </row>
    <row r="837" spans="1:14" ht="16.5" thickTop="1" thickBot="1" x14ac:dyDescent="0.3">
      <c r="A837" s="4">
        <v>45400</v>
      </c>
      <c r="B837" s="4" t="s">
        <v>31</v>
      </c>
      <c r="C837" s="5" t="s">
        <v>261</v>
      </c>
      <c r="D837" s="5" t="s">
        <v>33</v>
      </c>
      <c r="E837" s="5" t="s">
        <v>163</v>
      </c>
      <c r="F837" s="5" t="s">
        <v>52</v>
      </c>
      <c r="G837" s="5" t="s">
        <v>19</v>
      </c>
      <c r="H837" s="5">
        <v>57</v>
      </c>
      <c r="I837" s="5">
        <v>881</v>
      </c>
      <c r="J837" s="5">
        <v>1185</v>
      </c>
      <c r="K837" s="6">
        <f t="shared" si="52"/>
        <v>50217</v>
      </c>
      <c r="L837" s="6">
        <f t="shared" si="53"/>
        <v>67545</v>
      </c>
      <c r="M837" s="6">
        <f t="shared" si="54"/>
        <v>17328</v>
      </c>
      <c r="N837" s="6" t="str">
        <f t="shared" si="55"/>
        <v>profit</v>
      </c>
    </row>
    <row r="838" spans="1:14" ht="16.5" thickTop="1" thickBot="1" x14ac:dyDescent="0.3">
      <c r="A838" s="4">
        <v>45401</v>
      </c>
      <c r="B838" s="4" t="s">
        <v>31</v>
      </c>
      <c r="C838" s="5" t="s">
        <v>262</v>
      </c>
      <c r="D838" s="5" t="s">
        <v>33</v>
      </c>
      <c r="E838" s="5" t="s">
        <v>163</v>
      </c>
      <c r="F838" s="5" t="s">
        <v>54</v>
      </c>
      <c r="G838" s="5" t="s">
        <v>19</v>
      </c>
      <c r="H838" s="5">
        <v>57</v>
      </c>
      <c r="I838" s="5">
        <v>548</v>
      </c>
      <c r="J838" s="5">
        <v>1306</v>
      </c>
      <c r="K838" s="6">
        <f t="shared" si="52"/>
        <v>31236</v>
      </c>
      <c r="L838" s="6">
        <f t="shared" si="53"/>
        <v>74442</v>
      </c>
      <c r="M838" s="6">
        <f t="shared" si="54"/>
        <v>43206</v>
      </c>
      <c r="N838" s="6" t="str">
        <f t="shared" si="55"/>
        <v>profit</v>
      </c>
    </row>
    <row r="839" spans="1:14" ht="16.5" thickTop="1" thickBot="1" x14ac:dyDescent="0.3">
      <c r="A839" s="4">
        <v>45402</v>
      </c>
      <c r="B839" s="4" t="s">
        <v>31</v>
      </c>
      <c r="C839" s="5" t="s">
        <v>263</v>
      </c>
      <c r="D839" s="5" t="s">
        <v>33</v>
      </c>
      <c r="E839" s="5" t="s">
        <v>163</v>
      </c>
      <c r="F839" s="5" t="s">
        <v>35</v>
      </c>
      <c r="G839" s="5" t="s">
        <v>28</v>
      </c>
      <c r="H839" s="5">
        <v>84</v>
      </c>
      <c r="I839" s="5">
        <v>702</v>
      </c>
      <c r="J839" s="5">
        <v>787</v>
      </c>
      <c r="K839" s="6">
        <f t="shared" si="52"/>
        <v>58968</v>
      </c>
      <c r="L839" s="6">
        <f t="shared" si="53"/>
        <v>66108</v>
      </c>
      <c r="M839" s="6">
        <f t="shared" si="54"/>
        <v>7140</v>
      </c>
      <c r="N839" s="6" t="str">
        <f t="shared" si="55"/>
        <v>profit</v>
      </c>
    </row>
    <row r="840" spans="1:14" ht="16.5" thickTop="1" thickBot="1" x14ac:dyDescent="0.3">
      <c r="A840" s="4">
        <v>45403</v>
      </c>
      <c r="B840" s="4" t="s">
        <v>31</v>
      </c>
      <c r="C840" s="5" t="s">
        <v>264</v>
      </c>
      <c r="D840" s="5" t="s">
        <v>33</v>
      </c>
      <c r="E840" s="5" t="s">
        <v>163</v>
      </c>
      <c r="F840" s="5" t="s">
        <v>39</v>
      </c>
      <c r="G840" s="5" t="s">
        <v>28</v>
      </c>
      <c r="H840" s="5">
        <v>76</v>
      </c>
      <c r="I840" s="5">
        <v>875</v>
      </c>
      <c r="J840" s="5">
        <v>1268</v>
      </c>
      <c r="K840" s="6">
        <f t="shared" si="52"/>
        <v>66500</v>
      </c>
      <c r="L840" s="6">
        <f t="shared" si="53"/>
        <v>96368</v>
      </c>
      <c r="M840" s="6">
        <f t="shared" si="54"/>
        <v>29868</v>
      </c>
      <c r="N840" s="6" t="str">
        <f t="shared" si="55"/>
        <v>profit</v>
      </c>
    </row>
    <row r="841" spans="1:14" ht="16.5" thickTop="1" thickBot="1" x14ac:dyDescent="0.3">
      <c r="A841" s="4">
        <v>45431</v>
      </c>
      <c r="B841" s="4" t="s">
        <v>97</v>
      </c>
      <c r="C841" s="5" t="s">
        <v>265</v>
      </c>
      <c r="D841" s="5" t="s">
        <v>33</v>
      </c>
      <c r="E841" s="5" t="s">
        <v>99</v>
      </c>
      <c r="F841" s="5" t="s">
        <v>60</v>
      </c>
      <c r="G841" s="5" t="s">
        <v>28</v>
      </c>
      <c r="H841" s="5">
        <v>50</v>
      </c>
      <c r="I841" s="5">
        <v>885</v>
      </c>
      <c r="J841" s="5">
        <v>927</v>
      </c>
      <c r="K841" s="6">
        <f t="shared" si="52"/>
        <v>44250</v>
      </c>
      <c r="L841" s="6">
        <f t="shared" si="53"/>
        <v>46350</v>
      </c>
      <c r="M841" s="6">
        <f t="shared" si="54"/>
        <v>2100</v>
      </c>
      <c r="N841" s="6" t="str">
        <f t="shared" si="55"/>
        <v>profit</v>
      </c>
    </row>
    <row r="842" spans="1:14" ht="16.5" thickTop="1" thickBot="1" x14ac:dyDescent="0.3">
      <c r="A842" s="4">
        <v>45433</v>
      </c>
      <c r="B842" s="4" t="s">
        <v>97</v>
      </c>
      <c r="C842" s="5" t="s">
        <v>266</v>
      </c>
      <c r="D842" s="5" t="s">
        <v>33</v>
      </c>
      <c r="E842" s="5" t="s">
        <v>99</v>
      </c>
      <c r="F842" s="5" t="s">
        <v>39</v>
      </c>
      <c r="G842" s="5" t="s">
        <v>19</v>
      </c>
      <c r="H842" s="5">
        <v>53</v>
      </c>
      <c r="I842" s="5">
        <v>950</v>
      </c>
      <c r="J842" s="5">
        <v>875</v>
      </c>
      <c r="K842" s="6">
        <f t="shared" si="52"/>
        <v>50350</v>
      </c>
      <c r="L842" s="6">
        <f t="shared" si="53"/>
        <v>46375</v>
      </c>
      <c r="M842" s="6">
        <f t="shared" si="54"/>
        <v>-3975</v>
      </c>
      <c r="N842" s="6" t="str">
        <f t="shared" si="55"/>
        <v>loss</v>
      </c>
    </row>
    <row r="843" spans="1:14" ht="16.5" thickTop="1" thickBot="1" x14ac:dyDescent="0.3">
      <c r="A843" s="4">
        <v>45434</v>
      </c>
      <c r="B843" s="4" t="s">
        <v>97</v>
      </c>
      <c r="C843" s="5" t="s">
        <v>267</v>
      </c>
      <c r="D843" s="5" t="s">
        <v>33</v>
      </c>
      <c r="E843" s="5" t="s">
        <v>99</v>
      </c>
      <c r="F843" s="5" t="s">
        <v>39</v>
      </c>
      <c r="G843" s="5" t="s">
        <v>19</v>
      </c>
      <c r="H843" s="5">
        <v>62</v>
      </c>
      <c r="I843" s="5">
        <v>623</v>
      </c>
      <c r="J843" s="5">
        <v>1253</v>
      </c>
      <c r="K843" s="6">
        <f t="shared" si="52"/>
        <v>38626</v>
      </c>
      <c r="L843" s="6">
        <f t="shared" si="53"/>
        <v>77686</v>
      </c>
      <c r="M843" s="6">
        <f t="shared" si="54"/>
        <v>39060</v>
      </c>
      <c r="N843" s="6" t="str">
        <f t="shared" si="55"/>
        <v>profit</v>
      </c>
    </row>
    <row r="844" spans="1:14" ht="16.5" thickTop="1" thickBot="1" x14ac:dyDescent="0.3">
      <c r="A844" s="4">
        <v>45563</v>
      </c>
      <c r="B844" s="4" t="s">
        <v>69</v>
      </c>
      <c r="C844" s="5" t="s">
        <v>128</v>
      </c>
      <c r="D844" s="5" t="s">
        <v>16</v>
      </c>
      <c r="E844" s="5" t="s">
        <v>17</v>
      </c>
      <c r="F844" s="5" t="s">
        <v>39</v>
      </c>
      <c r="G844" s="5" t="s">
        <v>19</v>
      </c>
      <c r="H844" s="5">
        <v>18</v>
      </c>
      <c r="I844" s="5">
        <v>835</v>
      </c>
      <c r="J844" s="5">
        <v>1234</v>
      </c>
      <c r="K844" s="6">
        <f t="shared" si="52"/>
        <v>15030</v>
      </c>
      <c r="L844" s="6">
        <f t="shared" si="53"/>
        <v>22212</v>
      </c>
      <c r="M844" s="6">
        <f t="shared" si="54"/>
        <v>7182</v>
      </c>
      <c r="N844" s="6" t="str">
        <f t="shared" si="55"/>
        <v>profit</v>
      </c>
    </row>
    <row r="845" spans="1:14" ht="16.5" thickTop="1" thickBot="1" x14ac:dyDescent="0.3">
      <c r="A845" s="4">
        <v>45435</v>
      </c>
      <c r="B845" s="4" t="s">
        <v>97</v>
      </c>
      <c r="C845" s="5" t="s">
        <v>268</v>
      </c>
      <c r="D845" s="5" t="s">
        <v>33</v>
      </c>
      <c r="E845" s="5" t="s">
        <v>99</v>
      </c>
      <c r="F845" s="5" t="s">
        <v>44</v>
      </c>
      <c r="G845" s="5" t="s">
        <v>19</v>
      </c>
      <c r="H845" s="5">
        <v>72</v>
      </c>
      <c r="I845" s="5">
        <v>920</v>
      </c>
      <c r="J845" s="5">
        <v>753</v>
      </c>
      <c r="K845" s="6">
        <f t="shared" si="52"/>
        <v>66240</v>
      </c>
      <c r="L845" s="6">
        <f t="shared" si="53"/>
        <v>54216</v>
      </c>
      <c r="M845" s="6">
        <f t="shared" si="54"/>
        <v>-12024</v>
      </c>
      <c r="N845" s="6" t="str">
        <f t="shared" si="55"/>
        <v>loss</v>
      </c>
    </row>
    <row r="846" spans="1:14" ht="16.5" thickTop="1" thickBot="1" x14ac:dyDescent="0.3">
      <c r="A846" s="4">
        <v>45565</v>
      </c>
      <c r="B846" s="4" t="s">
        <v>69</v>
      </c>
      <c r="C846" s="5" t="s">
        <v>129</v>
      </c>
      <c r="D846" s="5" t="s">
        <v>16</v>
      </c>
      <c r="E846" s="5" t="s">
        <v>17</v>
      </c>
      <c r="F846" s="5" t="s">
        <v>64</v>
      </c>
      <c r="G846" s="5" t="s">
        <v>19</v>
      </c>
      <c r="H846" s="5">
        <v>13</v>
      </c>
      <c r="I846" s="5">
        <v>855</v>
      </c>
      <c r="J846" s="5">
        <v>951</v>
      </c>
      <c r="K846" s="6">
        <f t="shared" si="52"/>
        <v>11115</v>
      </c>
      <c r="L846" s="6">
        <f t="shared" si="53"/>
        <v>12363</v>
      </c>
      <c r="M846" s="6">
        <f t="shared" si="54"/>
        <v>1248</v>
      </c>
      <c r="N846" s="6" t="str">
        <f t="shared" si="55"/>
        <v>profit</v>
      </c>
    </row>
    <row r="847" spans="1:14" ht="16.5" thickTop="1" thickBot="1" x14ac:dyDescent="0.3">
      <c r="A847" s="4">
        <v>45436</v>
      </c>
      <c r="B847" s="4" t="s">
        <v>97</v>
      </c>
      <c r="C847" s="5" t="s">
        <v>269</v>
      </c>
      <c r="D847" s="5" t="s">
        <v>33</v>
      </c>
      <c r="E847" s="5" t="s">
        <v>99</v>
      </c>
      <c r="F847" s="5" t="s">
        <v>27</v>
      </c>
      <c r="G847" s="5" t="s">
        <v>19</v>
      </c>
      <c r="H847" s="5">
        <v>69</v>
      </c>
      <c r="I847" s="5">
        <v>860</v>
      </c>
      <c r="J847" s="5">
        <v>1081</v>
      </c>
      <c r="K847" s="6">
        <f t="shared" si="52"/>
        <v>59340</v>
      </c>
      <c r="L847" s="6">
        <f t="shared" si="53"/>
        <v>74589</v>
      </c>
      <c r="M847" s="6">
        <f t="shared" si="54"/>
        <v>15249</v>
      </c>
      <c r="N847" s="6" t="str">
        <f t="shared" si="55"/>
        <v>profit</v>
      </c>
    </row>
    <row r="848" spans="1:14" ht="16.5" thickTop="1" thickBot="1" x14ac:dyDescent="0.3">
      <c r="A848" s="4">
        <v>45437</v>
      </c>
      <c r="B848" s="4" t="s">
        <v>97</v>
      </c>
      <c r="C848" s="5" t="s">
        <v>270</v>
      </c>
      <c r="D848" s="5" t="s">
        <v>33</v>
      </c>
      <c r="E848" s="5" t="s">
        <v>99</v>
      </c>
      <c r="F848" s="5" t="s">
        <v>44</v>
      </c>
      <c r="G848" s="5" t="s">
        <v>19</v>
      </c>
      <c r="H848" s="5">
        <v>80</v>
      </c>
      <c r="I848" s="5">
        <v>765</v>
      </c>
      <c r="J848" s="5">
        <v>924</v>
      </c>
      <c r="K848" s="6">
        <f t="shared" si="52"/>
        <v>61200</v>
      </c>
      <c r="L848" s="6">
        <f t="shared" si="53"/>
        <v>73920</v>
      </c>
      <c r="M848" s="6">
        <f t="shared" si="54"/>
        <v>12720</v>
      </c>
      <c r="N848" s="6" t="str">
        <f t="shared" si="55"/>
        <v>profit</v>
      </c>
    </row>
    <row r="849" spans="1:14" ht="16.5" thickTop="1" thickBot="1" x14ac:dyDescent="0.3">
      <c r="A849" s="4">
        <v>45438</v>
      </c>
      <c r="B849" s="4" t="s">
        <v>97</v>
      </c>
      <c r="C849" s="5" t="s">
        <v>271</v>
      </c>
      <c r="D849" s="5" t="s">
        <v>33</v>
      </c>
      <c r="E849" s="5" t="s">
        <v>99</v>
      </c>
      <c r="F849" s="5" t="s">
        <v>49</v>
      </c>
      <c r="G849" s="5" t="s">
        <v>19</v>
      </c>
      <c r="H849" s="5">
        <v>75</v>
      </c>
      <c r="I849" s="5">
        <v>690</v>
      </c>
      <c r="J849" s="5">
        <v>817</v>
      </c>
      <c r="K849" s="6">
        <f t="shared" si="52"/>
        <v>51750</v>
      </c>
      <c r="L849" s="6">
        <f t="shared" si="53"/>
        <v>61275</v>
      </c>
      <c r="M849" s="6">
        <f t="shared" si="54"/>
        <v>9525</v>
      </c>
      <c r="N849" s="6" t="str">
        <f t="shared" si="55"/>
        <v>profit</v>
      </c>
    </row>
    <row r="850" spans="1:14" ht="16.5" thickTop="1" thickBot="1" x14ac:dyDescent="0.3">
      <c r="A850" s="4">
        <v>45439</v>
      </c>
      <c r="B850" s="4" t="s">
        <v>97</v>
      </c>
      <c r="C850" s="5" t="s">
        <v>272</v>
      </c>
      <c r="D850" s="5" t="s">
        <v>33</v>
      </c>
      <c r="E850" s="5" t="s">
        <v>99</v>
      </c>
      <c r="F850" s="5" t="s">
        <v>27</v>
      </c>
      <c r="G850" s="5" t="s">
        <v>19</v>
      </c>
      <c r="H850" s="5">
        <v>100</v>
      </c>
      <c r="I850" s="5">
        <v>795</v>
      </c>
      <c r="J850" s="5">
        <v>1136</v>
      </c>
      <c r="K850" s="6">
        <f t="shared" si="52"/>
        <v>79500</v>
      </c>
      <c r="L850" s="6">
        <f t="shared" si="53"/>
        <v>113600</v>
      </c>
      <c r="M850" s="6">
        <f t="shared" si="54"/>
        <v>34100</v>
      </c>
      <c r="N850" s="6" t="str">
        <f t="shared" si="55"/>
        <v>profit</v>
      </c>
    </row>
    <row r="851" spans="1:14" ht="16.5" thickTop="1" thickBot="1" x14ac:dyDescent="0.3">
      <c r="A851" s="4">
        <v>45440</v>
      </c>
      <c r="B851" s="4" t="s">
        <v>97</v>
      </c>
      <c r="C851" s="5" t="s">
        <v>273</v>
      </c>
      <c r="D851" s="5" t="s">
        <v>33</v>
      </c>
      <c r="E851" s="5" t="s">
        <v>99</v>
      </c>
      <c r="F851" s="5" t="s">
        <v>52</v>
      </c>
      <c r="G851" s="5" t="s">
        <v>28</v>
      </c>
      <c r="H851" s="5">
        <v>85</v>
      </c>
      <c r="I851" s="5">
        <v>845</v>
      </c>
      <c r="J851" s="5">
        <v>1155</v>
      </c>
      <c r="K851" s="6">
        <f t="shared" si="52"/>
        <v>71825</v>
      </c>
      <c r="L851" s="6">
        <f t="shared" si="53"/>
        <v>98175</v>
      </c>
      <c r="M851" s="6">
        <f t="shared" si="54"/>
        <v>26350</v>
      </c>
      <c r="N851" s="6" t="str">
        <f t="shared" si="55"/>
        <v>profit</v>
      </c>
    </row>
    <row r="852" spans="1:14" ht="16.5" thickTop="1" thickBot="1" x14ac:dyDescent="0.3">
      <c r="A852" s="4">
        <v>45571</v>
      </c>
      <c r="B852" s="4" t="s">
        <v>85</v>
      </c>
      <c r="C852" s="5" t="s">
        <v>130</v>
      </c>
      <c r="D852" s="5" t="s">
        <v>33</v>
      </c>
      <c r="E852" s="5" t="s">
        <v>99</v>
      </c>
      <c r="F852" s="5" t="s">
        <v>44</v>
      </c>
      <c r="G852" s="5" t="s">
        <v>19</v>
      </c>
      <c r="H852" s="5">
        <v>79</v>
      </c>
      <c r="I852" s="5">
        <v>683</v>
      </c>
      <c r="J852" s="5">
        <v>1444</v>
      </c>
      <c r="K852" s="6">
        <f t="shared" si="52"/>
        <v>53957</v>
      </c>
      <c r="L852" s="6">
        <f t="shared" si="53"/>
        <v>114076</v>
      </c>
      <c r="M852" s="6">
        <f t="shared" si="54"/>
        <v>60119</v>
      </c>
      <c r="N852" s="6" t="str">
        <f t="shared" si="55"/>
        <v>profit</v>
      </c>
    </row>
    <row r="853" spans="1:14" ht="16.5" thickTop="1" thickBot="1" x14ac:dyDescent="0.3">
      <c r="A853" s="4">
        <v>45442</v>
      </c>
      <c r="B853" s="4" t="s">
        <v>97</v>
      </c>
      <c r="C853" s="5" t="s">
        <v>274</v>
      </c>
      <c r="D853" s="5" t="s">
        <v>33</v>
      </c>
      <c r="E853" s="5" t="s">
        <v>99</v>
      </c>
      <c r="F853" s="5" t="s">
        <v>35</v>
      </c>
      <c r="G853" s="5" t="s">
        <v>28</v>
      </c>
      <c r="H853" s="5">
        <v>51</v>
      </c>
      <c r="I853" s="5">
        <v>876</v>
      </c>
      <c r="J853" s="5">
        <v>1252</v>
      </c>
      <c r="K853" s="6">
        <f t="shared" si="52"/>
        <v>44676</v>
      </c>
      <c r="L853" s="6">
        <f t="shared" si="53"/>
        <v>63852</v>
      </c>
      <c r="M853" s="6">
        <f t="shared" si="54"/>
        <v>19176</v>
      </c>
      <c r="N853" s="6" t="str">
        <f t="shared" si="55"/>
        <v>profit</v>
      </c>
    </row>
    <row r="854" spans="1:14" ht="16.5" thickTop="1" thickBot="1" x14ac:dyDescent="0.3">
      <c r="A854" s="4">
        <v>45443</v>
      </c>
      <c r="B854" s="4" t="s">
        <v>97</v>
      </c>
      <c r="C854" s="5" t="s">
        <v>275</v>
      </c>
      <c r="D854" s="5" t="s">
        <v>33</v>
      </c>
      <c r="E854" s="5" t="s">
        <v>120</v>
      </c>
      <c r="F854" s="5" t="s">
        <v>39</v>
      </c>
      <c r="G854" s="5" t="s">
        <v>28</v>
      </c>
      <c r="H854" s="5">
        <v>55</v>
      </c>
      <c r="I854" s="5">
        <v>793</v>
      </c>
      <c r="J854" s="5">
        <v>1045</v>
      </c>
      <c r="K854" s="6">
        <f t="shared" si="52"/>
        <v>43615</v>
      </c>
      <c r="L854" s="6">
        <f t="shared" si="53"/>
        <v>57475</v>
      </c>
      <c r="M854" s="6">
        <f t="shared" si="54"/>
        <v>13860</v>
      </c>
      <c r="N854" s="6" t="str">
        <f t="shared" si="55"/>
        <v>profit</v>
      </c>
    </row>
    <row r="855" spans="1:14" ht="16.5" thickTop="1" thickBot="1" x14ac:dyDescent="0.3">
      <c r="A855" s="4">
        <v>45444</v>
      </c>
      <c r="B855" s="4" t="s">
        <v>14</v>
      </c>
      <c r="C855" s="5" t="s">
        <v>276</v>
      </c>
      <c r="D855" s="5" t="s">
        <v>33</v>
      </c>
      <c r="E855" s="5" t="s">
        <v>120</v>
      </c>
      <c r="F855" s="5" t="s">
        <v>39</v>
      </c>
      <c r="G855" s="5" t="s">
        <v>19</v>
      </c>
      <c r="H855" s="5">
        <v>82</v>
      </c>
      <c r="I855" s="5">
        <v>641</v>
      </c>
      <c r="J855" s="5">
        <v>809</v>
      </c>
      <c r="K855" s="6">
        <f t="shared" si="52"/>
        <v>52562</v>
      </c>
      <c r="L855" s="6">
        <f t="shared" si="53"/>
        <v>66338</v>
      </c>
      <c r="M855" s="6">
        <f t="shared" si="54"/>
        <v>13776</v>
      </c>
      <c r="N855" s="6" t="str">
        <f t="shared" si="55"/>
        <v>profit</v>
      </c>
    </row>
    <row r="856" spans="1:14" ht="16.5" thickTop="1" thickBot="1" x14ac:dyDescent="0.3">
      <c r="A856" s="4">
        <v>45445</v>
      </c>
      <c r="B856" s="4" t="s">
        <v>14</v>
      </c>
      <c r="C856" s="5" t="s">
        <v>277</v>
      </c>
      <c r="D856" s="5" t="s">
        <v>33</v>
      </c>
      <c r="E856" s="5" t="s">
        <v>120</v>
      </c>
      <c r="F856" s="5" t="s">
        <v>64</v>
      </c>
      <c r="G856" s="5" t="s">
        <v>28</v>
      </c>
      <c r="H856" s="5">
        <v>80</v>
      </c>
      <c r="I856" s="5">
        <v>678</v>
      </c>
      <c r="J856" s="5">
        <v>1016</v>
      </c>
      <c r="K856" s="6">
        <f t="shared" si="52"/>
        <v>54240</v>
      </c>
      <c r="L856" s="6">
        <f t="shared" si="53"/>
        <v>81280</v>
      </c>
      <c r="M856" s="6">
        <f t="shared" si="54"/>
        <v>27040</v>
      </c>
      <c r="N856" s="6" t="str">
        <f t="shared" si="55"/>
        <v>profit</v>
      </c>
    </row>
    <row r="857" spans="1:14" ht="16.5" thickTop="1" thickBot="1" x14ac:dyDescent="0.3">
      <c r="A857" s="4">
        <v>45446</v>
      </c>
      <c r="B857" s="4" t="s">
        <v>14</v>
      </c>
      <c r="C857" s="5" t="s">
        <v>278</v>
      </c>
      <c r="D857" s="5" t="s">
        <v>33</v>
      </c>
      <c r="E857" s="5" t="s">
        <v>120</v>
      </c>
      <c r="F857" s="5" t="s">
        <v>64</v>
      </c>
      <c r="G857" s="5" t="s">
        <v>28</v>
      </c>
      <c r="H857" s="5">
        <v>76</v>
      </c>
      <c r="I857" s="5">
        <v>585</v>
      </c>
      <c r="J857" s="5">
        <v>1366</v>
      </c>
      <c r="K857" s="6">
        <f t="shared" si="52"/>
        <v>44460</v>
      </c>
      <c r="L857" s="6">
        <f t="shared" si="53"/>
        <v>103816</v>
      </c>
      <c r="M857" s="6">
        <f t="shared" si="54"/>
        <v>59356</v>
      </c>
      <c r="N857" s="6" t="str">
        <f t="shared" si="55"/>
        <v>profit</v>
      </c>
    </row>
    <row r="858" spans="1:14" ht="16.5" thickTop="1" thickBot="1" x14ac:dyDescent="0.3">
      <c r="A858" s="4">
        <v>45447</v>
      </c>
      <c r="B858" s="4" t="s">
        <v>14</v>
      </c>
      <c r="C858" s="5" t="s">
        <v>279</v>
      </c>
      <c r="D858" s="5" t="s">
        <v>33</v>
      </c>
      <c r="E858" s="5" t="s">
        <v>120</v>
      </c>
      <c r="F858" s="5" t="s">
        <v>60</v>
      </c>
      <c r="G858" s="5" t="s">
        <v>28</v>
      </c>
      <c r="H858" s="5">
        <v>93</v>
      </c>
      <c r="I858" s="5">
        <v>662</v>
      </c>
      <c r="J858" s="5">
        <v>1319</v>
      </c>
      <c r="K858" s="6">
        <f t="shared" si="52"/>
        <v>61566</v>
      </c>
      <c r="L858" s="6">
        <f t="shared" si="53"/>
        <v>122667</v>
      </c>
      <c r="M858" s="6">
        <f t="shared" si="54"/>
        <v>61101</v>
      </c>
      <c r="N858" s="6" t="str">
        <f t="shared" si="55"/>
        <v>profit</v>
      </c>
    </row>
    <row r="859" spans="1:14" ht="16.5" thickTop="1" thickBot="1" x14ac:dyDescent="0.3">
      <c r="A859" s="4">
        <v>45578</v>
      </c>
      <c r="B859" s="4" t="s">
        <v>85</v>
      </c>
      <c r="C859" s="5" t="s">
        <v>135</v>
      </c>
      <c r="D859" s="5" t="s">
        <v>33</v>
      </c>
      <c r="E859" s="5" t="s">
        <v>120</v>
      </c>
      <c r="F859" s="5" t="s">
        <v>25</v>
      </c>
      <c r="G859" s="5" t="s">
        <v>28</v>
      </c>
      <c r="H859" s="5">
        <v>67</v>
      </c>
      <c r="I859" s="5">
        <v>711</v>
      </c>
      <c r="J859" s="5">
        <v>1280</v>
      </c>
      <c r="K859" s="6">
        <f t="shared" si="52"/>
        <v>47637</v>
      </c>
      <c r="L859" s="6">
        <f t="shared" si="53"/>
        <v>85760</v>
      </c>
      <c r="M859" s="6">
        <f t="shared" si="54"/>
        <v>38123</v>
      </c>
      <c r="N859" s="6" t="str">
        <f t="shared" si="55"/>
        <v>profit</v>
      </c>
    </row>
    <row r="860" spans="1:14" ht="16.5" thickTop="1" thickBot="1" x14ac:dyDescent="0.3">
      <c r="A860" s="4">
        <v>45448</v>
      </c>
      <c r="B860" s="4" t="s">
        <v>14</v>
      </c>
      <c r="C860" s="5" t="s">
        <v>280</v>
      </c>
      <c r="D860" s="5" t="s">
        <v>33</v>
      </c>
      <c r="E860" s="5" t="s">
        <v>120</v>
      </c>
      <c r="F860" s="5" t="s">
        <v>39</v>
      </c>
      <c r="G860" s="5" t="s">
        <v>28</v>
      </c>
      <c r="H860" s="5">
        <v>51</v>
      </c>
      <c r="I860" s="5">
        <v>744</v>
      </c>
      <c r="J860" s="5">
        <v>782</v>
      </c>
      <c r="K860" s="6">
        <f t="shared" si="52"/>
        <v>37944</v>
      </c>
      <c r="L860" s="6">
        <f t="shared" si="53"/>
        <v>39882</v>
      </c>
      <c r="M860" s="6">
        <f t="shared" si="54"/>
        <v>1938</v>
      </c>
      <c r="N860" s="6" t="str">
        <f t="shared" si="55"/>
        <v>profit</v>
      </c>
    </row>
    <row r="861" spans="1:14" ht="16.5" thickTop="1" thickBot="1" x14ac:dyDescent="0.3">
      <c r="A861" s="4">
        <v>45449</v>
      </c>
      <c r="B861" s="4" t="s">
        <v>14</v>
      </c>
      <c r="C861" s="5" t="s">
        <v>281</v>
      </c>
      <c r="D861" s="5" t="s">
        <v>33</v>
      </c>
      <c r="E861" s="5" t="s">
        <v>120</v>
      </c>
      <c r="F861" s="5" t="s">
        <v>30</v>
      </c>
      <c r="G861" s="5" t="s">
        <v>19</v>
      </c>
      <c r="H861" s="5">
        <v>88</v>
      </c>
      <c r="I861" s="5">
        <v>820</v>
      </c>
      <c r="J861" s="5">
        <v>1241</v>
      </c>
      <c r="K861" s="6">
        <f t="shared" si="52"/>
        <v>72160</v>
      </c>
      <c r="L861" s="6">
        <f t="shared" si="53"/>
        <v>109208</v>
      </c>
      <c r="M861" s="6">
        <f t="shared" si="54"/>
        <v>37048</v>
      </c>
      <c r="N861" s="6" t="str">
        <f t="shared" si="55"/>
        <v>profit</v>
      </c>
    </row>
    <row r="862" spans="1:14" ht="16.5" thickTop="1" thickBot="1" x14ac:dyDescent="0.3">
      <c r="A862" s="4">
        <v>45450</v>
      </c>
      <c r="B862" s="4" t="s">
        <v>14</v>
      </c>
      <c r="C862" s="5" t="s">
        <v>282</v>
      </c>
      <c r="D862" s="5" t="s">
        <v>33</v>
      </c>
      <c r="E862" s="5" t="s">
        <v>120</v>
      </c>
      <c r="F862" s="5" t="s">
        <v>113</v>
      </c>
      <c r="G862" s="5" t="s">
        <v>19</v>
      </c>
      <c r="H862" s="5">
        <v>72</v>
      </c>
      <c r="I862" s="5">
        <v>937</v>
      </c>
      <c r="J862" s="5">
        <v>1154</v>
      </c>
      <c r="K862" s="6">
        <f t="shared" si="52"/>
        <v>67464</v>
      </c>
      <c r="L862" s="6">
        <f t="shared" si="53"/>
        <v>83088</v>
      </c>
      <c r="M862" s="6">
        <f t="shared" si="54"/>
        <v>15624</v>
      </c>
      <c r="N862" s="6" t="str">
        <f t="shared" si="55"/>
        <v>profit</v>
      </c>
    </row>
    <row r="863" spans="1:14" ht="16.5" thickTop="1" thickBot="1" x14ac:dyDescent="0.3">
      <c r="A863" s="4">
        <v>45451</v>
      </c>
      <c r="B863" s="4" t="s">
        <v>14</v>
      </c>
      <c r="C863" s="5" t="s">
        <v>283</v>
      </c>
      <c r="D863" s="5" t="s">
        <v>33</v>
      </c>
      <c r="E863" s="5" t="s">
        <v>120</v>
      </c>
      <c r="F863" s="5" t="s">
        <v>44</v>
      </c>
      <c r="G863" s="5" t="s">
        <v>19</v>
      </c>
      <c r="H863" s="5">
        <v>55</v>
      </c>
      <c r="I863" s="5">
        <v>685</v>
      </c>
      <c r="J863" s="5">
        <v>824</v>
      </c>
      <c r="K863" s="6">
        <f t="shared" si="52"/>
        <v>37675</v>
      </c>
      <c r="L863" s="6">
        <f t="shared" si="53"/>
        <v>45320</v>
      </c>
      <c r="M863" s="6">
        <f t="shared" si="54"/>
        <v>7645</v>
      </c>
      <c r="N863" s="6" t="str">
        <f t="shared" si="55"/>
        <v>profit</v>
      </c>
    </row>
    <row r="864" spans="1:14" ht="16.5" thickTop="1" thickBot="1" x14ac:dyDescent="0.3">
      <c r="A864" s="4">
        <v>45583</v>
      </c>
      <c r="B864" s="4" t="s">
        <v>85</v>
      </c>
      <c r="C864" s="5" t="s">
        <v>140</v>
      </c>
      <c r="D864" s="5" t="s">
        <v>16</v>
      </c>
      <c r="E864" s="5" t="s">
        <v>37</v>
      </c>
      <c r="F864" s="5" t="s">
        <v>54</v>
      </c>
      <c r="G864" s="5" t="s">
        <v>19</v>
      </c>
      <c r="H864" s="5">
        <v>20</v>
      </c>
      <c r="I864" s="5">
        <v>963</v>
      </c>
      <c r="J864" s="5">
        <v>865</v>
      </c>
      <c r="K864" s="6">
        <f t="shared" si="52"/>
        <v>19260</v>
      </c>
      <c r="L864" s="6">
        <f t="shared" si="53"/>
        <v>17300</v>
      </c>
      <c r="M864" s="6">
        <f t="shared" si="54"/>
        <v>-1960</v>
      </c>
      <c r="N864" s="6" t="str">
        <f t="shared" si="55"/>
        <v>loss</v>
      </c>
    </row>
    <row r="865" spans="1:14" ht="16.5" thickTop="1" thickBot="1" x14ac:dyDescent="0.3">
      <c r="A865" s="4">
        <v>45452</v>
      </c>
      <c r="B865" s="4" t="s">
        <v>14</v>
      </c>
      <c r="C865" s="5" t="s">
        <v>284</v>
      </c>
      <c r="D865" s="5" t="s">
        <v>33</v>
      </c>
      <c r="E865" s="5" t="s">
        <v>120</v>
      </c>
      <c r="F865" s="5" t="s">
        <v>153</v>
      </c>
      <c r="G865" s="5" t="s">
        <v>19</v>
      </c>
      <c r="H865" s="5">
        <v>55</v>
      </c>
      <c r="I865" s="5">
        <v>661</v>
      </c>
      <c r="J865" s="5">
        <v>1133</v>
      </c>
      <c r="K865" s="6">
        <f t="shared" si="52"/>
        <v>36355</v>
      </c>
      <c r="L865" s="6">
        <f t="shared" si="53"/>
        <v>62315</v>
      </c>
      <c r="M865" s="6">
        <f t="shared" si="54"/>
        <v>25960</v>
      </c>
      <c r="N865" s="6" t="str">
        <f t="shared" si="55"/>
        <v>profit</v>
      </c>
    </row>
    <row r="866" spans="1:14" ht="16.5" thickTop="1" thickBot="1" x14ac:dyDescent="0.3">
      <c r="A866" s="4">
        <v>45453</v>
      </c>
      <c r="B866" s="4" t="s">
        <v>14</v>
      </c>
      <c r="C866" s="5" t="s">
        <v>285</v>
      </c>
      <c r="D866" s="5" t="s">
        <v>33</v>
      </c>
      <c r="E866" s="5" t="s">
        <v>120</v>
      </c>
      <c r="F866" s="5" t="s">
        <v>155</v>
      </c>
      <c r="G866" s="5" t="s">
        <v>19</v>
      </c>
      <c r="H866" s="5">
        <v>72</v>
      </c>
      <c r="I866" s="5">
        <v>804</v>
      </c>
      <c r="J866" s="5">
        <v>833</v>
      </c>
      <c r="K866" s="6">
        <f t="shared" si="52"/>
        <v>57888</v>
      </c>
      <c r="L866" s="6">
        <f t="shared" si="53"/>
        <v>59976</v>
      </c>
      <c r="M866" s="6">
        <f t="shared" si="54"/>
        <v>2088</v>
      </c>
      <c r="N866" s="6" t="str">
        <f t="shared" si="55"/>
        <v>profit</v>
      </c>
    </row>
    <row r="867" spans="1:14" ht="16.5" thickTop="1" thickBot="1" x14ac:dyDescent="0.3">
      <c r="A867" s="4">
        <v>45586</v>
      </c>
      <c r="B867" s="4" t="s">
        <v>85</v>
      </c>
      <c r="C867" s="5" t="s">
        <v>143</v>
      </c>
      <c r="D867" s="5" t="s">
        <v>16</v>
      </c>
      <c r="E867" s="5" t="s">
        <v>37</v>
      </c>
      <c r="F867" s="5" t="s">
        <v>39</v>
      </c>
      <c r="G867" s="5" t="s">
        <v>19</v>
      </c>
      <c r="H867" s="5">
        <v>14</v>
      </c>
      <c r="I867" s="5">
        <v>913</v>
      </c>
      <c r="J867" s="5">
        <v>1155</v>
      </c>
      <c r="K867" s="6">
        <f t="shared" si="52"/>
        <v>12782</v>
      </c>
      <c r="L867" s="6">
        <f t="shared" si="53"/>
        <v>16170</v>
      </c>
      <c r="M867" s="6">
        <f t="shared" si="54"/>
        <v>3388</v>
      </c>
      <c r="N867" s="6" t="str">
        <f t="shared" si="55"/>
        <v>profit</v>
      </c>
    </row>
    <row r="868" spans="1:14" ht="16.5" thickTop="1" thickBot="1" x14ac:dyDescent="0.3">
      <c r="A868" s="4">
        <v>45461</v>
      </c>
      <c r="B868" s="4" t="s">
        <v>14</v>
      </c>
      <c r="C868" s="5" t="s">
        <v>286</v>
      </c>
      <c r="D868" s="5" t="s">
        <v>33</v>
      </c>
      <c r="E868" s="5" t="s">
        <v>99</v>
      </c>
      <c r="F868" s="5" t="s">
        <v>25</v>
      </c>
      <c r="G868" s="5" t="s">
        <v>28</v>
      </c>
      <c r="H868" s="5">
        <v>87</v>
      </c>
      <c r="I868" s="5">
        <v>616</v>
      </c>
      <c r="J868" s="5">
        <v>1447</v>
      </c>
      <c r="K868" s="6">
        <f t="shared" si="52"/>
        <v>53592</v>
      </c>
      <c r="L868" s="6">
        <f t="shared" si="53"/>
        <v>125889</v>
      </c>
      <c r="M868" s="6">
        <f t="shared" si="54"/>
        <v>72297</v>
      </c>
      <c r="N868" s="6" t="str">
        <f t="shared" si="55"/>
        <v>profit</v>
      </c>
    </row>
    <row r="869" spans="1:14" ht="16.5" thickTop="1" thickBot="1" x14ac:dyDescent="0.3">
      <c r="A869" s="4">
        <v>45588</v>
      </c>
      <c r="B869" s="4" t="s">
        <v>85</v>
      </c>
      <c r="C869" s="5" t="s">
        <v>145</v>
      </c>
      <c r="D869" s="5" t="s">
        <v>46</v>
      </c>
      <c r="E869" s="5" t="s">
        <v>47</v>
      </c>
      <c r="F869" s="5" t="s">
        <v>64</v>
      </c>
      <c r="G869" s="5" t="s">
        <v>19</v>
      </c>
      <c r="H869" s="5">
        <v>23</v>
      </c>
      <c r="I869" s="5">
        <v>616</v>
      </c>
      <c r="J869" s="5">
        <v>919</v>
      </c>
      <c r="K869" s="6">
        <f t="shared" si="52"/>
        <v>14168</v>
      </c>
      <c r="L869" s="6">
        <f t="shared" si="53"/>
        <v>21137</v>
      </c>
      <c r="M869" s="6">
        <f t="shared" si="54"/>
        <v>6969</v>
      </c>
      <c r="N869" s="6" t="str">
        <f t="shared" si="55"/>
        <v>profit</v>
      </c>
    </row>
    <row r="870" spans="1:14" ht="16.5" thickTop="1" thickBot="1" x14ac:dyDescent="0.3">
      <c r="A870" s="4">
        <v>45462</v>
      </c>
      <c r="B870" s="4" t="s">
        <v>14</v>
      </c>
      <c r="C870" s="5" t="s">
        <v>287</v>
      </c>
      <c r="D870" s="5" t="s">
        <v>33</v>
      </c>
      <c r="E870" s="5" t="s">
        <v>99</v>
      </c>
      <c r="F870" s="5" t="s">
        <v>76</v>
      </c>
      <c r="G870" s="5" t="s">
        <v>28</v>
      </c>
      <c r="H870" s="5">
        <v>57</v>
      </c>
      <c r="I870" s="5">
        <v>724</v>
      </c>
      <c r="J870" s="5">
        <v>1432</v>
      </c>
      <c r="K870" s="6">
        <f t="shared" si="52"/>
        <v>41268</v>
      </c>
      <c r="L870" s="6">
        <f t="shared" si="53"/>
        <v>81624</v>
      </c>
      <c r="M870" s="6">
        <f t="shared" si="54"/>
        <v>40356</v>
      </c>
      <c r="N870" s="6" t="str">
        <f t="shared" si="55"/>
        <v>profit</v>
      </c>
    </row>
    <row r="871" spans="1:14" ht="16.5" thickTop="1" thickBot="1" x14ac:dyDescent="0.3">
      <c r="A871" s="4">
        <v>45590</v>
      </c>
      <c r="B871" s="4" t="s">
        <v>85</v>
      </c>
      <c r="C871" s="5" t="s">
        <v>147</v>
      </c>
      <c r="D871" s="5" t="s">
        <v>46</v>
      </c>
      <c r="E871" s="5" t="s">
        <v>133</v>
      </c>
      <c r="F871" s="5" t="s">
        <v>39</v>
      </c>
      <c r="G871" s="5" t="s">
        <v>28</v>
      </c>
      <c r="H871" s="5">
        <v>28</v>
      </c>
      <c r="I871" s="5">
        <v>539</v>
      </c>
      <c r="J871" s="5">
        <v>1106</v>
      </c>
      <c r="K871" s="6">
        <f t="shared" si="52"/>
        <v>15092</v>
      </c>
      <c r="L871" s="6">
        <f t="shared" si="53"/>
        <v>30968</v>
      </c>
      <c r="M871" s="6">
        <f t="shared" si="54"/>
        <v>15876</v>
      </c>
      <c r="N871" s="6" t="str">
        <f t="shared" si="55"/>
        <v>profit</v>
      </c>
    </row>
    <row r="872" spans="1:14" ht="16.5" thickTop="1" thickBot="1" x14ac:dyDescent="0.3">
      <c r="A872" s="4">
        <v>45463</v>
      </c>
      <c r="B872" s="4" t="s">
        <v>14</v>
      </c>
      <c r="C872" s="5" t="s">
        <v>288</v>
      </c>
      <c r="D872" s="5" t="s">
        <v>33</v>
      </c>
      <c r="E872" s="5" t="s">
        <v>99</v>
      </c>
      <c r="F872" s="5" t="s">
        <v>71</v>
      </c>
      <c r="G872" s="5" t="s">
        <v>28</v>
      </c>
      <c r="H872" s="5">
        <v>85</v>
      </c>
      <c r="I872" s="5">
        <v>639</v>
      </c>
      <c r="J872" s="5">
        <v>1447</v>
      </c>
      <c r="K872" s="6">
        <f t="shared" si="52"/>
        <v>54315</v>
      </c>
      <c r="L872" s="6">
        <f t="shared" si="53"/>
        <v>122995</v>
      </c>
      <c r="M872" s="6">
        <f t="shared" si="54"/>
        <v>68680</v>
      </c>
      <c r="N872" s="6" t="str">
        <f t="shared" si="55"/>
        <v>profit</v>
      </c>
    </row>
    <row r="873" spans="1:14" ht="16.5" thickTop="1" thickBot="1" x14ac:dyDescent="0.3">
      <c r="A873" s="4">
        <v>45465</v>
      </c>
      <c r="B873" s="4" t="s">
        <v>14</v>
      </c>
      <c r="C873" s="5" t="s">
        <v>289</v>
      </c>
      <c r="D873" s="5" t="s">
        <v>33</v>
      </c>
      <c r="E873" s="5" t="s">
        <v>99</v>
      </c>
      <c r="F873" s="5" t="s">
        <v>25</v>
      </c>
      <c r="G873" s="5" t="s">
        <v>19</v>
      </c>
      <c r="H873" s="5">
        <v>81</v>
      </c>
      <c r="I873" s="5">
        <v>776</v>
      </c>
      <c r="J873" s="5">
        <v>895</v>
      </c>
      <c r="K873" s="6">
        <f t="shared" si="52"/>
        <v>62856</v>
      </c>
      <c r="L873" s="6">
        <f t="shared" si="53"/>
        <v>72495</v>
      </c>
      <c r="M873" s="6">
        <f t="shared" si="54"/>
        <v>9639</v>
      </c>
      <c r="N873" s="6" t="str">
        <f t="shared" si="55"/>
        <v>profit</v>
      </c>
    </row>
    <row r="874" spans="1:14" ht="16.5" thickTop="1" thickBot="1" x14ac:dyDescent="0.3">
      <c r="A874" s="4">
        <v>45466</v>
      </c>
      <c r="B874" s="4" t="s">
        <v>14</v>
      </c>
      <c r="C874" s="5" t="s">
        <v>290</v>
      </c>
      <c r="D874" s="5" t="s">
        <v>33</v>
      </c>
      <c r="E874" s="5" t="s">
        <v>120</v>
      </c>
      <c r="F874" s="5" t="s">
        <v>64</v>
      </c>
      <c r="G874" s="5" t="s">
        <v>19</v>
      </c>
      <c r="H874" s="5">
        <v>86</v>
      </c>
      <c r="I874" s="5">
        <v>705</v>
      </c>
      <c r="J874" s="5">
        <v>1483</v>
      </c>
      <c r="K874" s="6">
        <f t="shared" si="52"/>
        <v>60630</v>
      </c>
      <c r="L874" s="6">
        <f t="shared" si="53"/>
        <v>127538</v>
      </c>
      <c r="M874" s="6">
        <f t="shared" si="54"/>
        <v>66908</v>
      </c>
      <c r="N874" s="6" t="str">
        <f t="shared" si="55"/>
        <v>profit</v>
      </c>
    </row>
    <row r="875" spans="1:14" ht="16.5" thickTop="1" thickBot="1" x14ac:dyDescent="0.3">
      <c r="A875" s="4">
        <v>45467</v>
      </c>
      <c r="B875" s="4" t="s">
        <v>14</v>
      </c>
      <c r="C875" s="5" t="s">
        <v>291</v>
      </c>
      <c r="D875" s="5" t="s">
        <v>33</v>
      </c>
      <c r="E875" s="5" t="s">
        <v>120</v>
      </c>
      <c r="F875" s="5" t="s">
        <v>76</v>
      </c>
      <c r="G875" s="5" t="s">
        <v>28</v>
      </c>
      <c r="H875" s="5">
        <v>80</v>
      </c>
      <c r="I875" s="5">
        <v>901</v>
      </c>
      <c r="J875" s="5">
        <v>1109</v>
      </c>
      <c r="K875" s="6">
        <f t="shared" si="52"/>
        <v>72080</v>
      </c>
      <c r="L875" s="6">
        <f t="shared" si="53"/>
        <v>88720</v>
      </c>
      <c r="M875" s="6">
        <f t="shared" si="54"/>
        <v>16640</v>
      </c>
      <c r="N875" s="6" t="str">
        <f t="shared" si="55"/>
        <v>profit</v>
      </c>
    </row>
    <row r="876" spans="1:14" ht="16.5" thickTop="1" thickBot="1" x14ac:dyDescent="0.3">
      <c r="A876" s="4">
        <v>45468</v>
      </c>
      <c r="B876" s="4" t="s">
        <v>14</v>
      </c>
      <c r="C876" s="5" t="s">
        <v>292</v>
      </c>
      <c r="D876" s="5" t="s">
        <v>33</v>
      </c>
      <c r="E876" s="5" t="s">
        <v>120</v>
      </c>
      <c r="F876" s="5" t="s">
        <v>78</v>
      </c>
      <c r="G876" s="5" t="s">
        <v>28</v>
      </c>
      <c r="H876" s="5">
        <v>59</v>
      </c>
      <c r="I876" s="5">
        <v>502</v>
      </c>
      <c r="J876" s="5">
        <v>1212</v>
      </c>
      <c r="K876" s="6">
        <f t="shared" si="52"/>
        <v>29618</v>
      </c>
      <c r="L876" s="6">
        <f t="shared" si="53"/>
        <v>71508</v>
      </c>
      <c r="M876" s="6">
        <f t="shared" si="54"/>
        <v>41890</v>
      </c>
      <c r="N876" s="6" t="str">
        <f t="shared" si="55"/>
        <v>profit</v>
      </c>
    </row>
    <row r="877" spans="1:14" ht="16.5" thickTop="1" thickBot="1" x14ac:dyDescent="0.3">
      <c r="A877" s="4">
        <v>45469</v>
      </c>
      <c r="B877" s="4" t="s">
        <v>14</v>
      </c>
      <c r="C877" s="5" t="s">
        <v>293</v>
      </c>
      <c r="D877" s="5" t="s">
        <v>33</v>
      </c>
      <c r="E877" s="5" t="s">
        <v>120</v>
      </c>
      <c r="F877" s="5" t="s">
        <v>35</v>
      </c>
      <c r="G877" s="5" t="s">
        <v>28</v>
      </c>
      <c r="H877" s="5">
        <v>52</v>
      </c>
      <c r="I877" s="5">
        <v>556</v>
      </c>
      <c r="J877" s="5">
        <v>1402</v>
      </c>
      <c r="K877" s="6">
        <f t="shared" si="52"/>
        <v>28912</v>
      </c>
      <c r="L877" s="6">
        <f t="shared" si="53"/>
        <v>72904</v>
      </c>
      <c r="M877" s="6">
        <f t="shared" si="54"/>
        <v>43992</v>
      </c>
      <c r="N877" s="6" t="str">
        <f t="shared" si="55"/>
        <v>profit</v>
      </c>
    </row>
    <row r="878" spans="1:14" ht="16.5" thickTop="1" thickBot="1" x14ac:dyDescent="0.3">
      <c r="A878" s="4">
        <v>45470</v>
      </c>
      <c r="B878" s="4" t="s">
        <v>14</v>
      </c>
      <c r="C878" s="5" t="s">
        <v>294</v>
      </c>
      <c r="D878" s="5" t="s">
        <v>33</v>
      </c>
      <c r="E878" s="5" t="s">
        <v>120</v>
      </c>
      <c r="F878" s="5" t="s">
        <v>44</v>
      </c>
      <c r="G878" s="5" t="s">
        <v>28</v>
      </c>
      <c r="H878" s="5">
        <v>92</v>
      </c>
      <c r="I878" s="5">
        <v>953</v>
      </c>
      <c r="J878" s="5">
        <v>790</v>
      </c>
      <c r="K878" s="6">
        <f t="shared" si="52"/>
        <v>87676</v>
      </c>
      <c r="L878" s="6">
        <f t="shared" si="53"/>
        <v>72680</v>
      </c>
      <c r="M878" s="6">
        <f t="shared" si="54"/>
        <v>-14996</v>
      </c>
      <c r="N878" s="6" t="str">
        <f t="shared" si="55"/>
        <v>loss</v>
      </c>
    </row>
    <row r="879" spans="1:14" ht="16.5" thickTop="1" thickBot="1" x14ac:dyDescent="0.3">
      <c r="A879" s="4">
        <v>45471</v>
      </c>
      <c r="B879" s="4" t="s">
        <v>14</v>
      </c>
      <c r="C879" s="5" t="s">
        <v>295</v>
      </c>
      <c r="D879" s="5" t="s">
        <v>33</v>
      </c>
      <c r="E879" s="5" t="s">
        <v>120</v>
      </c>
      <c r="F879" s="5" t="s">
        <v>60</v>
      </c>
      <c r="G879" s="5" t="s">
        <v>28</v>
      </c>
      <c r="H879" s="5">
        <v>96</v>
      </c>
      <c r="I879" s="5">
        <v>961</v>
      </c>
      <c r="J879" s="5">
        <v>1174</v>
      </c>
      <c r="K879" s="6">
        <f t="shared" si="52"/>
        <v>92256</v>
      </c>
      <c r="L879" s="6">
        <f t="shared" si="53"/>
        <v>112704</v>
      </c>
      <c r="M879" s="6">
        <f t="shared" si="54"/>
        <v>20448</v>
      </c>
      <c r="N879" s="6" t="str">
        <f t="shared" si="55"/>
        <v>profit</v>
      </c>
    </row>
    <row r="880" spans="1:14" ht="16.5" thickTop="1" thickBot="1" x14ac:dyDescent="0.3">
      <c r="A880" s="4">
        <v>45495</v>
      </c>
      <c r="B880" s="4" t="s">
        <v>40</v>
      </c>
      <c r="C880" s="5" t="s">
        <v>296</v>
      </c>
      <c r="D880" s="5" t="s">
        <v>33</v>
      </c>
      <c r="E880" s="5" t="s">
        <v>99</v>
      </c>
      <c r="F880" s="5" t="s">
        <v>21</v>
      </c>
      <c r="G880" s="5" t="s">
        <v>19</v>
      </c>
      <c r="H880" s="5">
        <v>79</v>
      </c>
      <c r="I880" s="5">
        <v>880</v>
      </c>
      <c r="J880" s="5">
        <v>1403</v>
      </c>
      <c r="K880" s="6">
        <f t="shared" si="52"/>
        <v>69520</v>
      </c>
      <c r="L880" s="6">
        <f t="shared" si="53"/>
        <v>110837</v>
      </c>
      <c r="M880" s="6">
        <f t="shared" si="54"/>
        <v>41317</v>
      </c>
      <c r="N880" s="6" t="str">
        <f t="shared" si="55"/>
        <v>profit</v>
      </c>
    </row>
    <row r="881" spans="1:14" ht="16.5" thickTop="1" thickBot="1" x14ac:dyDescent="0.3">
      <c r="A881" s="4">
        <v>45496</v>
      </c>
      <c r="B881" s="4" t="s">
        <v>40</v>
      </c>
      <c r="C881" s="5" t="s">
        <v>297</v>
      </c>
      <c r="D881" s="5" t="s">
        <v>33</v>
      </c>
      <c r="E881" s="5" t="s">
        <v>99</v>
      </c>
      <c r="F881" s="5" t="s">
        <v>23</v>
      </c>
      <c r="G881" s="5" t="s">
        <v>19</v>
      </c>
      <c r="H881" s="5">
        <v>62</v>
      </c>
      <c r="I881" s="5">
        <v>936</v>
      </c>
      <c r="J881" s="5">
        <v>1364</v>
      </c>
      <c r="K881" s="6">
        <f t="shared" si="52"/>
        <v>58032</v>
      </c>
      <c r="L881" s="6">
        <f t="shared" si="53"/>
        <v>84568</v>
      </c>
      <c r="M881" s="6">
        <f t="shared" si="54"/>
        <v>26536</v>
      </c>
      <c r="N881" s="6" t="str">
        <f t="shared" si="55"/>
        <v>profit</v>
      </c>
    </row>
    <row r="882" spans="1:14" ht="16.5" thickTop="1" thickBot="1" x14ac:dyDescent="0.3">
      <c r="A882" s="4">
        <v>45497</v>
      </c>
      <c r="B882" s="4" t="s">
        <v>40</v>
      </c>
      <c r="C882" s="5" t="s">
        <v>298</v>
      </c>
      <c r="D882" s="5" t="s">
        <v>33</v>
      </c>
      <c r="E882" s="5" t="s">
        <v>99</v>
      </c>
      <c r="F882" s="5" t="s">
        <v>25</v>
      </c>
      <c r="G882" s="5" t="s">
        <v>19</v>
      </c>
      <c r="H882" s="5">
        <v>53</v>
      </c>
      <c r="I882" s="5">
        <v>791</v>
      </c>
      <c r="J882" s="5">
        <v>1253</v>
      </c>
      <c r="K882" s="6">
        <f t="shared" si="52"/>
        <v>41923</v>
      </c>
      <c r="L882" s="6">
        <f t="shared" si="53"/>
        <v>66409</v>
      </c>
      <c r="M882" s="6">
        <f t="shared" si="54"/>
        <v>24486</v>
      </c>
      <c r="N882" s="6" t="str">
        <f t="shared" si="55"/>
        <v>profit</v>
      </c>
    </row>
    <row r="883" spans="1:14" ht="16.5" thickTop="1" thickBot="1" x14ac:dyDescent="0.3">
      <c r="A883" s="4">
        <v>45602</v>
      </c>
      <c r="B883" s="4" t="s">
        <v>161</v>
      </c>
      <c r="C883" s="5" t="s">
        <v>162</v>
      </c>
      <c r="D883" s="5" t="s">
        <v>33</v>
      </c>
      <c r="E883" s="5" t="s">
        <v>163</v>
      </c>
      <c r="F883" s="5" t="s">
        <v>30</v>
      </c>
      <c r="G883" s="5" t="s">
        <v>19</v>
      </c>
      <c r="H883" s="5">
        <v>74</v>
      </c>
      <c r="I883" s="5">
        <v>636</v>
      </c>
      <c r="J883" s="5">
        <v>955</v>
      </c>
      <c r="K883" s="6">
        <f t="shared" si="52"/>
        <v>47064</v>
      </c>
      <c r="L883" s="6">
        <f t="shared" si="53"/>
        <v>70670</v>
      </c>
      <c r="M883" s="6">
        <f t="shared" si="54"/>
        <v>23606</v>
      </c>
      <c r="N883" s="6" t="str">
        <f t="shared" si="55"/>
        <v>profit</v>
      </c>
    </row>
    <row r="884" spans="1:14" ht="16.5" thickTop="1" thickBot="1" x14ac:dyDescent="0.3">
      <c r="A884" s="4">
        <v>45498</v>
      </c>
      <c r="B884" s="4" t="s">
        <v>40</v>
      </c>
      <c r="C884" s="5" t="s">
        <v>299</v>
      </c>
      <c r="D884" s="5" t="s">
        <v>33</v>
      </c>
      <c r="E884" s="5" t="s">
        <v>99</v>
      </c>
      <c r="F884" s="5" t="s">
        <v>25</v>
      </c>
      <c r="G884" s="5" t="s">
        <v>19</v>
      </c>
      <c r="H884" s="5">
        <v>56</v>
      </c>
      <c r="I884" s="5">
        <v>740</v>
      </c>
      <c r="J884" s="5">
        <v>1464</v>
      </c>
      <c r="K884" s="6">
        <f t="shared" si="52"/>
        <v>41440</v>
      </c>
      <c r="L884" s="6">
        <f t="shared" si="53"/>
        <v>81984</v>
      </c>
      <c r="M884" s="6">
        <f t="shared" si="54"/>
        <v>40544</v>
      </c>
      <c r="N884" s="6" t="str">
        <f t="shared" si="55"/>
        <v>profit</v>
      </c>
    </row>
    <row r="885" spans="1:14" ht="16.5" thickTop="1" thickBot="1" x14ac:dyDescent="0.3">
      <c r="A885" s="4">
        <v>45499</v>
      </c>
      <c r="B885" s="4" t="s">
        <v>40</v>
      </c>
      <c r="C885" s="5" t="s">
        <v>300</v>
      </c>
      <c r="D885" s="5" t="s">
        <v>33</v>
      </c>
      <c r="E885" s="5" t="s">
        <v>99</v>
      </c>
      <c r="F885" s="5" t="s">
        <v>27</v>
      </c>
      <c r="G885" s="5" t="s">
        <v>19</v>
      </c>
      <c r="H885" s="5">
        <v>63</v>
      </c>
      <c r="I885" s="5">
        <v>519</v>
      </c>
      <c r="J885" s="5">
        <v>826</v>
      </c>
      <c r="K885" s="6">
        <f t="shared" si="52"/>
        <v>32697</v>
      </c>
      <c r="L885" s="6">
        <f t="shared" si="53"/>
        <v>52038</v>
      </c>
      <c r="M885" s="6">
        <f t="shared" si="54"/>
        <v>19341</v>
      </c>
      <c r="N885" s="6" t="str">
        <f t="shared" si="55"/>
        <v>profit</v>
      </c>
    </row>
    <row r="886" spans="1:14" ht="16.5" thickTop="1" thickBot="1" x14ac:dyDescent="0.3">
      <c r="A886" s="4">
        <v>45605</v>
      </c>
      <c r="B886" s="4" t="s">
        <v>161</v>
      </c>
      <c r="C886" s="5" t="s">
        <v>166</v>
      </c>
      <c r="D886" s="5" t="s">
        <v>33</v>
      </c>
      <c r="E886" s="5" t="s">
        <v>163</v>
      </c>
      <c r="F886" s="5" t="s">
        <v>71</v>
      </c>
      <c r="G886" s="5" t="s">
        <v>19</v>
      </c>
      <c r="H886" s="5">
        <v>83</v>
      </c>
      <c r="I886" s="5">
        <v>569</v>
      </c>
      <c r="J886" s="5">
        <v>1232</v>
      </c>
      <c r="K886" s="6">
        <f t="shared" si="52"/>
        <v>47227</v>
      </c>
      <c r="L886" s="6">
        <f t="shared" si="53"/>
        <v>102256</v>
      </c>
      <c r="M886" s="6">
        <f t="shared" si="54"/>
        <v>55029</v>
      </c>
      <c r="N886" s="6" t="str">
        <f t="shared" si="55"/>
        <v>profit</v>
      </c>
    </row>
    <row r="887" spans="1:14" ht="16.5" thickTop="1" thickBot="1" x14ac:dyDescent="0.3">
      <c r="A887" s="4">
        <v>45500</v>
      </c>
      <c r="B887" s="4" t="s">
        <v>40</v>
      </c>
      <c r="C887" s="5" t="s">
        <v>301</v>
      </c>
      <c r="D887" s="5" t="s">
        <v>33</v>
      </c>
      <c r="E887" s="5" t="s">
        <v>99</v>
      </c>
      <c r="F887" s="5" t="s">
        <v>30</v>
      </c>
      <c r="G887" s="5" t="s">
        <v>19</v>
      </c>
      <c r="H887" s="5">
        <v>73</v>
      </c>
      <c r="I887" s="5">
        <v>857</v>
      </c>
      <c r="J887" s="5">
        <v>1024</v>
      </c>
      <c r="K887" s="6">
        <f t="shared" si="52"/>
        <v>62561</v>
      </c>
      <c r="L887" s="6">
        <f t="shared" si="53"/>
        <v>74752</v>
      </c>
      <c r="M887" s="6">
        <f t="shared" si="54"/>
        <v>12191</v>
      </c>
      <c r="N887" s="6" t="str">
        <f t="shared" si="55"/>
        <v>profit</v>
      </c>
    </row>
    <row r="888" spans="1:14" ht="16.5" thickTop="1" thickBot="1" x14ac:dyDescent="0.3">
      <c r="A888" s="4">
        <v>45501</v>
      </c>
      <c r="B888" s="4" t="s">
        <v>40</v>
      </c>
      <c r="C888" s="5" t="s">
        <v>302</v>
      </c>
      <c r="D888" s="5" t="s">
        <v>33</v>
      </c>
      <c r="E888" s="5" t="s">
        <v>99</v>
      </c>
      <c r="F888" s="5" t="s">
        <v>25</v>
      </c>
      <c r="G888" s="5" t="s">
        <v>19</v>
      </c>
      <c r="H888" s="5">
        <v>67</v>
      </c>
      <c r="I888" s="5">
        <v>725</v>
      </c>
      <c r="J888" s="5">
        <v>884</v>
      </c>
      <c r="K888" s="6">
        <f t="shared" si="52"/>
        <v>48575</v>
      </c>
      <c r="L888" s="6">
        <f t="shared" si="53"/>
        <v>59228</v>
      </c>
      <c r="M888" s="6">
        <f t="shared" si="54"/>
        <v>10653</v>
      </c>
      <c r="N888" s="6" t="str">
        <f t="shared" si="55"/>
        <v>profit</v>
      </c>
    </row>
    <row r="889" spans="1:14" ht="16.5" thickTop="1" thickBot="1" x14ac:dyDescent="0.3">
      <c r="A889" s="4">
        <v>45502</v>
      </c>
      <c r="B889" s="4" t="s">
        <v>40</v>
      </c>
      <c r="C889" s="5" t="s">
        <v>303</v>
      </c>
      <c r="D889" s="5" t="s">
        <v>33</v>
      </c>
      <c r="E889" s="5" t="s">
        <v>99</v>
      </c>
      <c r="F889" s="5" t="s">
        <v>76</v>
      </c>
      <c r="G889" s="5" t="s">
        <v>19</v>
      </c>
      <c r="H889" s="5">
        <v>74</v>
      </c>
      <c r="I889" s="5">
        <v>691</v>
      </c>
      <c r="J889" s="5">
        <v>871</v>
      </c>
      <c r="K889" s="6">
        <f t="shared" si="52"/>
        <v>51134</v>
      </c>
      <c r="L889" s="6">
        <f t="shared" si="53"/>
        <v>64454</v>
      </c>
      <c r="M889" s="6">
        <f t="shared" si="54"/>
        <v>13320</v>
      </c>
      <c r="N889" s="6" t="str">
        <f t="shared" si="55"/>
        <v>profit</v>
      </c>
    </row>
    <row r="890" spans="1:14" ht="16.5" thickTop="1" thickBot="1" x14ac:dyDescent="0.3">
      <c r="A890" s="4">
        <v>45503</v>
      </c>
      <c r="B890" s="4" t="s">
        <v>40</v>
      </c>
      <c r="C890" s="5" t="s">
        <v>304</v>
      </c>
      <c r="D890" s="5" t="s">
        <v>33</v>
      </c>
      <c r="E890" s="5" t="s">
        <v>99</v>
      </c>
      <c r="F890" s="5" t="s">
        <v>71</v>
      </c>
      <c r="G890" s="5" t="s">
        <v>28</v>
      </c>
      <c r="H890" s="5">
        <v>92</v>
      </c>
      <c r="I890" s="5">
        <v>981</v>
      </c>
      <c r="J890" s="5">
        <v>1157</v>
      </c>
      <c r="K890" s="6">
        <f t="shared" si="52"/>
        <v>90252</v>
      </c>
      <c r="L890" s="6">
        <f t="shared" si="53"/>
        <v>106444</v>
      </c>
      <c r="M890" s="6">
        <f t="shared" si="54"/>
        <v>16192</v>
      </c>
      <c r="N890" s="6" t="str">
        <f t="shared" si="55"/>
        <v>profit</v>
      </c>
    </row>
    <row r="891" spans="1:14" ht="16.5" thickTop="1" thickBot="1" x14ac:dyDescent="0.3">
      <c r="A891" s="4">
        <v>45610</v>
      </c>
      <c r="B891" s="4" t="s">
        <v>161</v>
      </c>
      <c r="C891" s="5" t="s">
        <v>171</v>
      </c>
      <c r="D891" s="5" t="s">
        <v>46</v>
      </c>
      <c r="E891" s="5" t="s">
        <v>63</v>
      </c>
      <c r="F891" s="5" t="s">
        <v>78</v>
      </c>
      <c r="G891" s="5" t="s">
        <v>28</v>
      </c>
      <c r="H891" s="5">
        <v>23</v>
      </c>
      <c r="I891" s="5">
        <v>663</v>
      </c>
      <c r="J891" s="5">
        <v>1215</v>
      </c>
      <c r="K891" s="6">
        <f t="shared" si="52"/>
        <v>15249</v>
      </c>
      <c r="L891" s="6">
        <f t="shared" si="53"/>
        <v>27945</v>
      </c>
      <c r="M891" s="6">
        <f t="shared" si="54"/>
        <v>12696</v>
      </c>
      <c r="N891" s="6" t="str">
        <f t="shared" si="55"/>
        <v>profit</v>
      </c>
    </row>
    <row r="892" spans="1:14" ht="16.5" thickTop="1" thickBot="1" x14ac:dyDescent="0.3">
      <c r="A892" s="4">
        <v>45504</v>
      </c>
      <c r="B892" s="4" t="s">
        <v>40</v>
      </c>
      <c r="C892" s="5" t="s">
        <v>305</v>
      </c>
      <c r="D892" s="5" t="s">
        <v>33</v>
      </c>
      <c r="E892" s="5" t="s">
        <v>99</v>
      </c>
      <c r="F892" s="5" t="s">
        <v>44</v>
      </c>
      <c r="G892" s="5" t="s">
        <v>28</v>
      </c>
      <c r="H892" s="5">
        <v>63</v>
      </c>
      <c r="I892" s="5">
        <v>547</v>
      </c>
      <c r="J892" s="5">
        <v>1150</v>
      </c>
      <c r="K892" s="6">
        <f t="shared" si="52"/>
        <v>34461</v>
      </c>
      <c r="L892" s="6">
        <f t="shared" si="53"/>
        <v>72450</v>
      </c>
      <c r="M892" s="6">
        <f t="shared" si="54"/>
        <v>37989</v>
      </c>
      <c r="N892" s="6" t="str">
        <f t="shared" si="55"/>
        <v>profit</v>
      </c>
    </row>
    <row r="893" spans="1:14" ht="16.5" thickTop="1" thickBot="1" x14ac:dyDescent="0.3">
      <c r="A893" s="4">
        <v>45505</v>
      </c>
      <c r="B893" s="4" t="s">
        <v>57</v>
      </c>
      <c r="C893" s="5" t="s">
        <v>306</v>
      </c>
      <c r="D893" s="5" t="s">
        <v>33</v>
      </c>
      <c r="E893" s="5" t="s">
        <v>99</v>
      </c>
      <c r="F893" s="5" t="s">
        <v>25</v>
      </c>
      <c r="G893" s="5" t="s">
        <v>28</v>
      </c>
      <c r="H893" s="5">
        <v>69</v>
      </c>
      <c r="I893" s="5">
        <v>531</v>
      </c>
      <c r="J893" s="5">
        <v>1210</v>
      </c>
      <c r="K893" s="6">
        <f t="shared" si="52"/>
        <v>36639</v>
      </c>
      <c r="L893" s="6">
        <f t="shared" si="53"/>
        <v>83490</v>
      </c>
      <c r="M893" s="6">
        <f t="shared" si="54"/>
        <v>46851</v>
      </c>
      <c r="N893" s="6" t="str">
        <f t="shared" si="55"/>
        <v>profit</v>
      </c>
    </row>
    <row r="894" spans="1:14" ht="16.5" thickTop="1" thickBot="1" x14ac:dyDescent="0.3">
      <c r="A894" s="4">
        <v>45506</v>
      </c>
      <c r="B894" s="4" t="s">
        <v>57</v>
      </c>
      <c r="C894" s="5" t="s">
        <v>307</v>
      </c>
      <c r="D894" s="5" t="s">
        <v>33</v>
      </c>
      <c r="E894" s="5" t="s">
        <v>99</v>
      </c>
      <c r="F894" s="5" t="s">
        <v>64</v>
      </c>
      <c r="G894" s="5" t="s">
        <v>28</v>
      </c>
      <c r="H894" s="5">
        <v>84</v>
      </c>
      <c r="I894" s="5">
        <v>806</v>
      </c>
      <c r="J894" s="5">
        <v>1242</v>
      </c>
      <c r="K894" s="6">
        <f t="shared" si="52"/>
        <v>67704</v>
      </c>
      <c r="L894" s="6">
        <f t="shared" si="53"/>
        <v>104328</v>
      </c>
      <c r="M894" s="6">
        <f t="shared" si="54"/>
        <v>36624</v>
      </c>
      <c r="N894" s="6" t="str">
        <f t="shared" si="55"/>
        <v>profit</v>
      </c>
    </row>
    <row r="895" spans="1:14" ht="16.5" thickTop="1" thickBot="1" x14ac:dyDescent="0.3">
      <c r="A895" s="4">
        <v>45614</v>
      </c>
      <c r="B895" s="4" t="s">
        <v>161</v>
      </c>
      <c r="C895" s="5" t="s">
        <v>175</v>
      </c>
      <c r="D895" s="5" t="s">
        <v>46</v>
      </c>
      <c r="E895" s="5" t="s">
        <v>63</v>
      </c>
      <c r="F895" s="5" t="s">
        <v>35</v>
      </c>
      <c r="G895" s="5" t="s">
        <v>19</v>
      </c>
      <c r="H895" s="5">
        <v>26</v>
      </c>
      <c r="I895" s="5">
        <v>878</v>
      </c>
      <c r="J895" s="5">
        <v>1492</v>
      </c>
      <c r="K895" s="6">
        <f t="shared" si="52"/>
        <v>22828</v>
      </c>
      <c r="L895" s="6">
        <f t="shared" si="53"/>
        <v>38792</v>
      </c>
      <c r="M895" s="6">
        <f t="shared" si="54"/>
        <v>15964</v>
      </c>
      <c r="N895" s="6" t="str">
        <f t="shared" si="55"/>
        <v>profit</v>
      </c>
    </row>
    <row r="896" spans="1:14" ht="16.5" thickTop="1" thickBot="1" x14ac:dyDescent="0.3">
      <c r="A896" s="4">
        <v>45508</v>
      </c>
      <c r="B896" s="4" t="s">
        <v>57</v>
      </c>
      <c r="C896" s="5" t="s">
        <v>308</v>
      </c>
      <c r="D896" s="5" t="s">
        <v>33</v>
      </c>
      <c r="E896" s="5" t="s">
        <v>120</v>
      </c>
      <c r="F896" s="5" t="s">
        <v>78</v>
      </c>
      <c r="G896" s="5" t="s">
        <v>19</v>
      </c>
      <c r="H896" s="5">
        <v>71</v>
      </c>
      <c r="I896" s="5">
        <v>565</v>
      </c>
      <c r="J896" s="5">
        <v>807</v>
      </c>
      <c r="K896" s="6">
        <f t="shared" si="52"/>
        <v>40115</v>
      </c>
      <c r="L896" s="6">
        <f t="shared" si="53"/>
        <v>57297</v>
      </c>
      <c r="M896" s="6">
        <f t="shared" si="54"/>
        <v>17182</v>
      </c>
      <c r="N896" s="6" t="str">
        <f t="shared" si="55"/>
        <v>profit</v>
      </c>
    </row>
    <row r="897" spans="1:14" ht="16.5" thickTop="1" thickBot="1" x14ac:dyDescent="0.3">
      <c r="A897" s="4">
        <v>45616</v>
      </c>
      <c r="B897" s="4" t="s">
        <v>161</v>
      </c>
      <c r="C897" s="5" t="s">
        <v>177</v>
      </c>
      <c r="D897" s="5" t="s">
        <v>46</v>
      </c>
      <c r="E897" s="5" t="s">
        <v>63</v>
      </c>
      <c r="F897" s="5" t="s">
        <v>39</v>
      </c>
      <c r="G897" s="5" t="s">
        <v>19</v>
      </c>
      <c r="H897" s="5">
        <v>25</v>
      </c>
      <c r="I897" s="5">
        <v>547</v>
      </c>
      <c r="J897" s="5">
        <v>1342</v>
      </c>
      <c r="K897" s="6">
        <f t="shared" si="52"/>
        <v>13675</v>
      </c>
      <c r="L897" s="6">
        <f t="shared" si="53"/>
        <v>33550</v>
      </c>
      <c r="M897" s="6">
        <f t="shared" si="54"/>
        <v>19875</v>
      </c>
      <c r="N897" s="6" t="str">
        <f t="shared" si="55"/>
        <v>profit</v>
      </c>
    </row>
    <row r="898" spans="1:14" ht="16.5" thickTop="1" thickBot="1" x14ac:dyDescent="0.3">
      <c r="A898" s="4">
        <v>45509</v>
      </c>
      <c r="B898" s="4" t="s">
        <v>57</v>
      </c>
      <c r="C898" s="5" t="s">
        <v>309</v>
      </c>
      <c r="D898" s="5" t="s">
        <v>33</v>
      </c>
      <c r="E898" s="5" t="s">
        <v>120</v>
      </c>
      <c r="F898" s="5" t="s">
        <v>35</v>
      </c>
      <c r="G898" s="5" t="s">
        <v>19</v>
      </c>
      <c r="H898" s="5">
        <v>90</v>
      </c>
      <c r="I898" s="5">
        <v>634</v>
      </c>
      <c r="J898" s="5">
        <v>1465</v>
      </c>
      <c r="K898" s="6">
        <f t="shared" ref="K898:K961" si="56">H898*I898</f>
        <v>57060</v>
      </c>
      <c r="L898" s="6">
        <f t="shared" ref="L898:L961" si="57">H898*J898</f>
        <v>131850</v>
      </c>
      <c r="M898" s="6">
        <f t="shared" ref="M898:M961" si="58">L898-K898</f>
        <v>74790</v>
      </c>
      <c r="N898" s="6" t="str">
        <f t="shared" ref="N898:N961" si="59">IF(M898&gt;0,"profit","loss")</f>
        <v>profit</v>
      </c>
    </row>
    <row r="899" spans="1:14" ht="16.5" thickTop="1" thickBot="1" x14ac:dyDescent="0.3">
      <c r="A899" s="4">
        <v>45528</v>
      </c>
      <c r="B899" s="4" t="s">
        <v>57</v>
      </c>
      <c r="C899" s="5" t="s">
        <v>310</v>
      </c>
      <c r="D899" s="5" t="s">
        <v>33</v>
      </c>
      <c r="E899" s="5" t="s">
        <v>99</v>
      </c>
      <c r="F899" s="5" t="s">
        <v>39</v>
      </c>
      <c r="G899" s="5" t="s">
        <v>19</v>
      </c>
      <c r="H899" s="5">
        <v>61</v>
      </c>
      <c r="I899" s="5">
        <v>675</v>
      </c>
      <c r="J899" s="5">
        <v>770</v>
      </c>
      <c r="K899" s="6">
        <f t="shared" si="56"/>
        <v>41175</v>
      </c>
      <c r="L899" s="6">
        <f t="shared" si="57"/>
        <v>46970</v>
      </c>
      <c r="M899" s="6">
        <f t="shared" si="58"/>
        <v>5795</v>
      </c>
      <c r="N899" s="6" t="str">
        <f t="shared" si="59"/>
        <v>profit</v>
      </c>
    </row>
    <row r="900" spans="1:14" ht="16.5" thickTop="1" thickBot="1" x14ac:dyDescent="0.3">
      <c r="A900" s="4">
        <v>45529</v>
      </c>
      <c r="B900" s="4" t="s">
        <v>57</v>
      </c>
      <c r="C900" s="5" t="s">
        <v>311</v>
      </c>
      <c r="D900" s="5" t="s">
        <v>33</v>
      </c>
      <c r="E900" s="5" t="s">
        <v>99</v>
      </c>
      <c r="F900" s="5" t="s">
        <v>30</v>
      </c>
      <c r="G900" s="5" t="s">
        <v>19</v>
      </c>
      <c r="H900" s="5">
        <v>58</v>
      </c>
      <c r="I900" s="5">
        <v>720</v>
      </c>
      <c r="J900" s="5">
        <v>1356</v>
      </c>
      <c r="K900" s="6">
        <f t="shared" si="56"/>
        <v>41760</v>
      </c>
      <c r="L900" s="6">
        <f t="shared" si="57"/>
        <v>78648</v>
      </c>
      <c r="M900" s="6">
        <f t="shared" si="58"/>
        <v>36888</v>
      </c>
      <c r="N900" s="6" t="str">
        <f t="shared" si="59"/>
        <v>profit</v>
      </c>
    </row>
    <row r="901" spans="1:14" ht="16.5" thickTop="1" thickBot="1" x14ac:dyDescent="0.3">
      <c r="A901" s="4">
        <v>45530</v>
      </c>
      <c r="B901" s="4" t="s">
        <v>57</v>
      </c>
      <c r="C901" s="5" t="s">
        <v>312</v>
      </c>
      <c r="D901" s="5" t="s">
        <v>33</v>
      </c>
      <c r="E901" s="5" t="s">
        <v>99</v>
      </c>
      <c r="F901" s="5" t="s">
        <v>113</v>
      </c>
      <c r="G901" s="5" t="s">
        <v>19</v>
      </c>
      <c r="H901" s="5">
        <v>60</v>
      </c>
      <c r="I901" s="5">
        <v>676</v>
      </c>
      <c r="J901" s="5">
        <v>768</v>
      </c>
      <c r="K901" s="6">
        <f t="shared" si="56"/>
        <v>40560</v>
      </c>
      <c r="L901" s="6">
        <f t="shared" si="57"/>
        <v>46080</v>
      </c>
      <c r="M901" s="6">
        <f t="shared" si="58"/>
        <v>5520</v>
      </c>
      <c r="N901" s="6" t="str">
        <f t="shared" si="59"/>
        <v>profit</v>
      </c>
    </row>
    <row r="902" spans="1:14" ht="16.5" thickTop="1" thickBot="1" x14ac:dyDescent="0.3">
      <c r="A902" s="4">
        <v>45531</v>
      </c>
      <c r="B902" s="4" t="s">
        <v>57</v>
      </c>
      <c r="C902" s="5" t="s">
        <v>313</v>
      </c>
      <c r="D902" s="5" t="s">
        <v>33</v>
      </c>
      <c r="E902" s="5" t="s">
        <v>99</v>
      </c>
      <c r="F902" s="5" t="s">
        <v>44</v>
      </c>
      <c r="G902" s="5" t="s">
        <v>19</v>
      </c>
      <c r="H902" s="5">
        <v>91</v>
      </c>
      <c r="I902" s="5">
        <v>808</v>
      </c>
      <c r="J902" s="5">
        <v>928</v>
      </c>
      <c r="K902" s="6">
        <f t="shared" si="56"/>
        <v>73528</v>
      </c>
      <c r="L902" s="6">
        <f t="shared" si="57"/>
        <v>84448</v>
      </c>
      <c r="M902" s="6">
        <f t="shared" si="58"/>
        <v>10920</v>
      </c>
      <c r="N902" s="6" t="str">
        <f t="shared" si="59"/>
        <v>profit</v>
      </c>
    </row>
    <row r="903" spans="1:14" ht="16.5" thickTop="1" thickBot="1" x14ac:dyDescent="0.3">
      <c r="A903" s="4">
        <v>45532</v>
      </c>
      <c r="B903" s="4" t="s">
        <v>57</v>
      </c>
      <c r="C903" s="5" t="s">
        <v>314</v>
      </c>
      <c r="D903" s="5" t="s">
        <v>33</v>
      </c>
      <c r="E903" s="5" t="s">
        <v>99</v>
      </c>
      <c r="F903" s="5" t="s">
        <v>153</v>
      </c>
      <c r="G903" s="5" t="s">
        <v>19</v>
      </c>
      <c r="H903" s="5">
        <v>99</v>
      </c>
      <c r="I903" s="5">
        <v>528</v>
      </c>
      <c r="J903" s="5">
        <v>985</v>
      </c>
      <c r="K903" s="6">
        <f t="shared" si="56"/>
        <v>52272</v>
      </c>
      <c r="L903" s="6">
        <f t="shared" si="57"/>
        <v>97515</v>
      </c>
      <c r="M903" s="6">
        <f t="shared" si="58"/>
        <v>45243</v>
      </c>
      <c r="N903" s="6" t="str">
        <f t="shared" si="59"/>
        <v>profit</v>
      </c>
    </row>
    <row r="904" spans="1:14" ht="16.5" thickTop="1" thickBot="1" x14ac:dyDescent="0.3">
      <c r="A904" s="4">
        <v>45533</v>
      </c>
      <c r="B904" s="4" t="s">
        <v>57</v>
      </c>
      <c r="C904" s="5" t="s">
        <v>315</v>
      </c>
      <c r="D904" s="5" t="s">
        <v>33</v>
      </c>
      <c r="E904" s="5" t="s">
        <v>99</v>
      </c>
      <c r="F904" s="5" t="s">
        <v>155</v>
      </c>
      <c r="G904" s="5" t="s">
        <v>19</v>
      </c>
      <c r="H904" s="5">
        <v>73</v>
      </c>
      <c r="I904" s="5">
        <v>783</v>
      </c>
      <c r="J904" s="5">
        <v>903</v>
      </c>
      <c r="K904" s="6">
        <f t="shared" si="56"/>
        <v>57159</v>
      </c>
      <c r="L904" s="6">
        <f t="shared" si="57"/>
        <v>65919</v>
      </c>
      <c r="M904" s="6">
        <f t="shared" si="58"/>
        <v>8760</v>
      </c>
      <c r="N904" s="6" t="str">
        <f t="shared" si="59"/>
        <v>profit</v>
      </c>
    </row>
    <row r="905" spans="1:14" ht="16.5" thickTop="1" thickBot="1" x14ac:dyDescent="0.3">
      <c r="A905" s="4">
        <v>45534</v>
      </c>
      <c r="B905" s="4" t="s">
        <v>57</v>
      </c>
      <c r="C905" s="5" t="s">
        <v>316</v>
      </c>
      <c r="D905" s="5" t="s">
        <v>33</v>
      </c>
      <c r="E905" s="5" t="s">
        <v>99</v>
      </c>
      <c r="F905" s="5" t="s">
        <v>18</v>
      </c>
      <c r="G905" s="5" t="s">
        <v>28</v>
      </c>
      <c r="H905" s="5">
        <v>59</v>
      </c>
      <c r="I905" s="5">
        <v>638</v>
      </c>
      <c r="J905" s="5">
        <v>1080</v>
      </c>
      <c r="K905" s="6">
        <f t="shared" si="56"/>
        <v>37642</v>
      </c>
      <c r="L905" s="6">
        <f t="shared" si="57"/>
        <v>63720</v>
      </c>
      <c r="M905" s="6">
        <f t="shared" si="58"/>
        <v>26078</v>
      </c>
      <c r="N905" s="6" t="str">
        <f t="shared" si="59"/>
        <v>profit</v>
      </c>
    </row>
    <row r="906" spans="1:14" ht="16.5" thickTop="1" thickBot="1" x14ac:dyDescent="0.3">
      <c r="A906" s="4">
        <v>45536</v>
      </c>
      <c r="B906" s="4" t="s">
        <v>69</v>
      </c>
      <c r="C906" s="5" t="s">
        <v>317</v>
      </c>
      <c r="D906" s="5" t="s">
        <v>33</v>
      </c>
      <c r="E906" s="5" t="s">
        <v>99</v>
      </c>
      <c r="F906" s="5" t="s">
        <v>23</v>
      </c>
      <c r="G906" s="5" t="s">
        <v>28</v>
      </c>
      <c r="H906" s="5">
        <v>68</v>
      </c>
      <c r="I906" s="5">
        <v>881</v>
      </c>
      <c r="J906" s="5">
        <v>1266</v>
      </c>
      <c r="K906" s="6">
        <f t="shared" si="56"/>
        <v>59908</v>
      </c>
      <c r="L906" s="6">
        <f t="shared" si="57"/>
        <v>86088</v>
      </c>
      <c r="M906" s="6">
        <f t="shared" si="58"/>
        <v>26180</v>
      </c>
      <c r="N906" s="6" t="str">
        <f t="shared" si="59"/>
        <v>profit</v>
      </c>
    </row>
    <row r="907" spans="1:14" ht="16.5" thickTop="1" thickBot="1" x14ac:dyDescent="0.3">
      <c r="A907" s="4">
        <v>45626</v>
      </c>
      <c r="B907" s="4" t="s">
        <v>161</v>
      </c>
      <c r="C907" s="5" t="s">
        <v>187</v>
      </c>
      <c r="D907" s="5" t="s">
        <v>46</v>
      </c>
      <c r="E907" s="5" t="s">
        <v>118</v>
      </c>
      <c r="F907" s="5" t="s">
        <v>39</v>
      </c>
      <c r="G907" s="5" t="s">
        <v>19</v>
      </c>
      <c r="H907" s="5">
        <v>22</v>
      </c>
      <c r="I907" s="5">
        <v>606</v>
      </c>
      <c r="J907" s="5">
        <v>1459</v>
      </c>
      <c r="K907" s="6">
        <f t="shared" si="56"/>
        <v>13332</v>
      </c>
      <c r="L907" s="6">
        <f t="shared" si="57"/>
        <v>32098</v>
      </c>
      <c r="M907" s="6">
        <f t="shared" si="58"/>
        <v>18766</v>
      </c>
      <c r="N907" s="6" t="str">
        <f t="shared" si="59"/>
        <v>profit</v>
      </c>
    </row>
    <row r="908" spans="1:14" ht="16.5" thickTop="1" thickBot="1" x14ac:dyDescent="0.3">
      <c r="A908" s="4">
        <v>45537</v>
      </c>
      <c r="B908" s="4" t="s">
        <v>69</v>
      </c>
      <c r="C908" s="5" t="s">
        <v>318</v>
      </c>
      <c r="D908" s="5" t="s">
        <v>33</v>
      </c>
      <c r="E908" s="5" t="s">
        <v>120</v>
      </c>
      <c r="F908" s="5" t="s">
        <v>25</v>
      </c>
      <c r="G908" s="5" t="s">
        <v>28</v>
      </c>
      <c r="H908" s="5">
        <v>55</v>
      </c>
      <c r="I908" s="5">
        <v>639</v>
      </c>
      <c r="J908" s="5">
        <v>1311</v>
      </c>
      <c r="K908" s="6">
        <f t="shared" si="56"/>
        <v>35145</v>
      </c>
      <c r="L908" s="6">
        <f t="shared" si="57"/>
        <v>72105</v>
      </c>
      <c r="M908" s="6">
        <f t="shared" si="58"/>
        <v>36960</v>
      </c>
      <c r="N908" s="6" t="str">
        <f t="shared" si="59"/>
        <v>profit</v>
      </c>
    </row>
    <row r="909" spans="1:14" ht="16.5" thickTop="1" thickBot="1" x14ac:dyDescent="0.3">
      <c r="A909" s="4">
        <v>45538</v>
      </c>
      <c r="B909" s="4" t="s">
        <v>69</v>
      </c>
      <c r="C909" s="5" t="s">
        <v>319</v>
      </c>
      <c r="D909" s="5" t="s">
        <v>33</v>
      </c>
      <c r="E909" s="5" t="s">
        <v>120</v>
      </c>
      <c r="F909" s="5" t="s">
        <v>25</v>
      </c>
      <c r="G909" s="5" t="s">
        <v>28</v>
      </c>
      <c r="H909" s="5">
        <v>52</v>
      </c>
      <c r="I909" s="5">
        <v>718</v>
      </c>
      <c r="J909" s="5">
        <v>919</v>
      </c>
      <c r="K909" s="6">
        <f t="shared" si="56"/>
        <v>37336</v>
      </c>
      <c r="L909" s="6">
        <f t="shared" si="57"/>
        <v>47788</v>
      </c>
      <c r="M909" s="6">
        <f t="shared" si="58"/>
        <v>10452</v>
      </c>
      <c r="N909" s="6" t="str">
        <f t="shared" si="59"/>
        <v>profit</v>
      </c>
    </row>
    <row r="910" spans="1:14" ht="16.5" thickTop="1" thickBot="1" x14ac:dyDescent="0.3">
      <c r="A910" s="4">
        <v>45629</v>
      </c>
      <c r="B910" s="4" t="s">
        <v>190</v>
      </c>
      <c r="C910" s="5" t="s">
        <v>191</v>
      </c>
      <c r="D910" s="5" t="s">
        <v>46</v>
      </c>
      <c r="E910" s="5" t="s">
        <v>118</v>
      </c>
      <c r="F910" s="5" t="s">
        <v>60</v>
      </c>
      <c r="G910" s="5" t="s">
        <v>28</v>
      </c>
      <c r="H910" s="5">
        <v>28</v>
      </c>
      <c r="I910" s="5">
        <v>507</v>
      </c>
      <c r="J910" s="5">
        <v>1379</v>
      </c>
      <c r="K910" s="6">
        <f t="shared" si="56"/>
        <v>14196</v>
      </c>
      <c r="L910" s="6">
        <f t="shared" si="57"/>
        <v>38612</v>
      </c>
      <c r="M910" s="6">
        <f t="shared" si="58"/>
        <v>24416</v>
      </c>
      <c r="N910" s="6" t="str">
        <f t="shared" si="59"/>
        <v>profit</v>
      </c>
    </row>
    <row r="911" spans="1:14" ht="16.5" thickTop="1" thickBot="1" x14ac:dyDescent="0.3">
      <c r="A911" s="4">
        <v>45539</v>
      </c>
      <c r="B911" s="4" t="s">
        <v>69</v>
      </c>
      <c r="C911" s="5" t="s">
        <v>320</v>
      </c>
      <c r="D911" s="5" t="s">
        <v>33</v>
      </c>
      <c r="E911" s="5" t="s">
        <v>120</v>
      </c>
      <c r="F911" s="5" t="s">
        <v>27</v>
      </c>
      <c r="G911" s="5" t="s">
        <v>19</v>
      </c>
      <c r="H911" s="5">
        <v>95</v>
      </c>
      <c r="I911" s="5">
        <v>944</v>
      </c>
      <c r="J911" s="5">
        <v>1263</v>
      </c>
      <c r="K911" s="6">
        <f t="shared" si="56"/>
        <v>89680</v>
      </c>
      <c r="L911" s="6">
        <f t="shared" si="57"/>
        <v>119985</v>
      </c>
      <c r="M911" s="6">
        <f t="shared" si="58"/>
        <v>30305</v>
      </c>
      <c r="N911" s="6" t="str">
        <f t="shared" si="59"/>
        <v>profit</v>
      </c>
    </row>
    <row r="912" spans="1:14" ht="16.5" thickTop="1" thickBot="1" x14ac:dyDescent="0.3">
      <c r="A912" s="4">
        <v>45541</v>
      </c>
      <c r="B912" s="4" t="s">
        <v>69</v>
      </c>
      <c r="C912" s="5" t="s">
        <v>321</v>
      </c>
      <c r="D912" s="5" t="s">
        <v>33</v>
      </c>
      <c r="E912" s="5" t="s">
        <v>120</v>
      </c>
      <c r="F912" s="5" t="s">
        <v>25</v>
      </c>
      <c r="G912" s="5" t="s">
        <v>19</v>
      </c>
      <c r="H912" s="5">
        <v>99</v>
      </c>
      <c r="I912" s="5">
        <v>523</v>
      </c>
      <c r="J912" s="5">
        <v>1350</v>
      </c>
      <c r="K912" s="6">
        <f t="shared" si="56"/>
        <v>51777</v>
      </c>
      <c r="L912" s="6">
        <f t="shared" si="57"/>
        <v>133650</v>
      </c>
      <c r="M912" s="6">
        <f t="shared" si="58"/>
        <v>81873</v>
      </c>
      <c r="N912" s="6" t="str">
        <f t="shared" si="59"/>
        <v>profit</v>
      </c>
    </row>
    <row r="913" spans="1:14" ht="16.5" thickTop="1" thickBot="1" x14ac:dyDescent="0.3">
      <c r="A913" s="4">
        <v>45542</v>
      </c>
      <c r="B913" s="4" t="s">
        <v>69</v>
      </c>
      <c r="C913" s="5" t="s">
        <v>322</v>
      </c>
      <c r="D913" s="5" t="s">
        <v>33</v>
      </c>
      <c r="E913" s="5" t="s">
        <v>120</v>
      </c>
      <c r="F913" s="5" t="s">
        <v>76</v>
      </c>
      <c r="G913" s="5" t="s">
        <v>28</v>
      </c>
      <c r="H913" s="5">
        <v>92</v>
      </c>
      <c r="I913" s="5">
        <v>814</v>
      </c>
      <c r="J913" s="5">
        <v>865</v>
      </c>
      <c r="K913" s="6">
        <f t="shared" si="56"/>
        <v>74888</v>
      </c>
      <c r="L913" s="6">
        <f t="shared" si="57"/>
        <v>79580</v>
      </c>
      <c r="M913" s="6">
        <f t="shared" si="58"/>
        <v>4692</v>
      </c>
      <c r="N913" s="6" t="str">
        <f t="shared" si="59"/>
        <v>profit</v>
      </c>
    </row>
    <row r="914" spans="1:14" ht="16.5" thickTop="1" thickBot="1" x14ac:dyDescent="0.3">
      <c r="A914" s="4">
        <v>45555</v>
      </c>
      <c r="B914" s="4" t="s">
        <v>69</v>
      </c>
      <c r="C914" s="5" t="s">
        <v>323</v>
      </c>
      <c r="D914" s="5" t="s">
        <v>33</v>
      </c>
      <c r="E914" s="5" t="s">
        <v>120</v>
      </c>
      <c r="F914" s="5" t="s">
        <v>44</v>
      </c>
      <c r="G914" s="5" t="s">
        <v>28</v>
      </c>
      <c r="H914" s="5">
        <v>62</v>
      </c>
      <c r="I914" s="5">
        <v>891</v>
      </c>
      <c r="J914" s="5">
        <v>1170</v>
      </c>
      <c r="K914" s="6">
        <f t="shared" si="56"/>
        <v>55242</v>
      </c>
      <c r="L914" s="6">
        <f t="shared" si="57"/>
        <v>72540</v>
      </c>
      <c r="M914" s="6">
        <f t="shared" si="58"/>
        <v>17298</v>
      </c>
      <c r="N914" s="6" t="str">
        <f t="shared" si="59"/>
        <v>profit</v>
      </c>
    </row>
    <row r="915" spans="1:14" ht="16.5" thickTop="1" thickBot="1" x14ac:dyDescent="0.3">
      <c r="A915" s="4">
        <v>45634</v>
      </c>
      <c r="B915" s="4" t="s">
        <v>190</v>
      </c>
      <c r="C915" s="5" t="s">
        <v>196</v>
      </c>
      <c r="D915" s="5" t="s">
        <v>46</v>
      </c>
      <c r="E915" s="5" t="s">
        <v>118</v>
      </c>
      <c r="F915" s="5" t="s">
        <v>153</v>
      </c>
      <c r="G915" s="5" t="s">
        <v>28</v>
      </c>
      <c r="H915" s="5">
        <v>29</v>
      </c>
      <c r="I915" s="5">
        <v>989</v>
      </c>
      <c r="J915" s="5">
        <v>836</v>
      </c>
      <c r="K915" s="6">
        <f t="shared" si="56"/>
        <v>28681</v>
      </c>
      <c r="L915" s="6">
        <f t="shared" si="57"/>
        <v>24244</v>
      </c>
      <c r="M915" s="6">
        <f t="shared" si="58"/>
        <v>-4437</v>
      </c>
      <c r="N915" s="6" t="str">
        <f t="shared" si="59"/>
        <v>loss</v>
      </c>
    </row>
    <row r="916" spans="1:14" ht="16.5" thickTop="1" thickBot="1" x14ac:dyDescent="0.3">
      <c r="A916" s="4">
        <v>45556</v>
      </c>
      <c r="B916" s="4" t="s">
        <v>69</v>
      </c>
      <c r="C916" s="5" t="s">
        <v>324</v>
      </c>
      <c r="D916" s="5" t="s">
        <v>33</v>
      </c>
      <c r="E916" s="5" t="s">
        <v>120</v>
      </c>
      <c r="F916" s="5" t="s">
        <v>27</v>
      </c>
      <c r="G916" s="5" t="s">
        <v>28</v>
      </c>
      <c r="H916" s="5">
        <v>89</v>
      </c>
      <c r="I916" s="5">
        <v>990</v>
      </c>
      <c r="J916" s="5">
        <v>1047</v>
      </c>
      <c r="K916" s="6">
        <f t="shared" si="56"/>
        <v>88110</v>
      </c>
      <c r="L916" s="6">
        <f t="shared" si="57"/>
        <v>93183</v>
      </c>
      <c r="M916" s="6">
        <f t="shared" si="58"/>
        <v>5073</v>
      </c>
      <c r="N916" s="6" t="str">
        <f t="shared" si="59"/>
        <v>profit</v>
      </c>
    </row>
    <row r="917" spans="1:14" ht="16.5" thickTop="1" thickBot="1" x14ac:dyDescent="0.3">
      <c r="A917" s="4">
        <v>45557</v>
      </c>
      <c r="B917" s="4" t="s">
        <v>69</v>
      </c>
      <c r="C917" s="5" t="s">
        <v>325</v>
      </c>
      <c r="D917" s="5" t="s">
        <v>33</v>
      </c>
      <c r="E917" s="5" t="s">
        <v>120</v>
      </c>
      <c r="F917" s="5" t="s">
        <v>44</v>
      </c>
      <c r="G917" s="5" t="s">
        <v>28</v>
      </c>
      <c r="H917" s="5">
        <v>61</v>
      </c>
      <c r="I917" s="5">
        <v>907</v>
      </c>
      <c r="J917" s="5">
        <v>1327</v>
      </c>
      <c r="K917" s="6">
        <f t="shared" si="56"/>
        <v>55327</v>
      </c>
      <c r="L917" s="6">
        <f t="shared" si="57"/>
        <v>80947</v>
      </c>
      <c r="M917" s="6">
        <f t="shared" si="58"/>
        <v>25620</v>
      </c>
      <c r="N917" s="6" t="str">
        <f t="shared" si="59"/>
        <v>profit</v>
      </c>
    </row>
    <row r="918" spans="1:14" ht="16.5" thickTop="1" thickBot="1" x14ac:dyDescent="0.3">
      <c r="A918" s="4">
        <v>45637</v>
      </c>
      <c r="B918" s="4" t="s">
        <v>190</v>
      </c>
      <c r="C918" s="5" t="s">
        <v>198</v>
      </c>
      <c r="D918" s="5" t="s">
        <v>33</v>
      </c>
      <c r="E918" s="5" t="s">
        <v>99</v>
      </c>
      <c r="F918" s="5" t="s">
        <v>21</v>
      </c>
      <c r="G918" s="5" t="s">
        <v>28</v>
      </c>
      <c r="H918" s="5">
        <v>55</v>
      </c>
      <c r="I918" s="5">
        <v>666</v>
      </c>
      <c r="J918" s="5">
        <v>1358</v>
      </c>
      <c r="K918" s="6">
        <f t="shared" si="56"/>
        <v>36630</v>
      </c>
      <c r="L918" s="6">
        <f t="shared" si="57"/>
        <v>74690</v>
      </c>
      <c r="M918" s="6">
        <f t="shared" si="58"/>
        <v>38060</v>
      </c>
      <c r="N918" s="6" t="str">
        <f t="shared" si="59"/>
        <v>profit</v>
      </c>
    </row>
    <row r="919" spans="1:14" ht="16.5" thickTop="1" thickBot="1" x14ac:dyDescent="0.3">
      <c r="A919" s="4">
        <v>45558</v>
      </c>
      <c r="B919" s="4" t="s">
        <v>69</v>
      </c>
      <c r="C919" s="5" t="s">
        <v>326</v>
      </c>
      <c r="D919" s="5" t="s">
        <v>33</v>
      </c>
      <c r="E919" s="5" t="s">
        <v>120</v>
      </c>
      <c r="F919" s="5" t="s">
        <v>49</v>
      </c>
      <c r="G919" s="5" t="s">
        <v>19</v>
      </c>
      <c r="H919" s="5">
        <v>52</v>
      </c>
      <c r="I919" s="5">
        <v>766</v>
      </c>
      <c r="J919" s="5">
        <v>1318</v>
      </c>
      <c r="K919" s="6">
        <f t="shared" si="56"/>
        <v>39832</v>
      </c>
      <c r="L919" s="6">
        <f t="shared" si="57"/>
        <v>68536</v>
      </c>
      <c r="M919" s="6">
        <f t="shared" si="58"/>
        <v>28704</v>
      </c>
      <c r="N919" s="6" t="str">
        <f t="shared" si="59"/>
        <v>profit</v>
      </c>
    </row>
    <row r="920" spans="1:14" ht="16.5" thickTop="1" thickBot="1" x14ac:dyDescent="0.3">
      <c r="A920" s="4">
        <v>45559</v>
      </c>
      <c r="B920" s="4" t="s">
        <v>69</v>
      </c>
      <c r="C920" s="5" t="s">
        <v>327</v>
      </c>
      <c r="D920" s="5" t="s">
        <v>33</v>
      </c>
      <c r="E920" s="5" t="s">
        <v>120</v>
      </c>
      <c r="F920" s="5" t="s">
        <v>27</v>
      </c>
      <c r="G920" s="5" t="s">
        <v>28</v>
      </c>
      <c r="H920" s="5">
        <v>96</v>
      </c>
      <c r="I920" s="5">
        <v>520</v>
      </c>
      <c r="J920" s="5">
        <v>1208</v>
      </c>
      <c r="K920" s="6">
        <f t="shared" si="56"/>
        <v>49920</v>
      </c>
      <c r="L920" s="6">
        <f t="shared" si="57"/>
        <v>115968</v>
      </c>
      <c r="M920" s="6">
        <f t="shared" si="58"/>
        <v>66048</v>
      </c>
      <c r="N920" s="6" t="str">
        <f t="shared" si="59"/>
        <v>profit</v>
      </c>
    </row>
    <row r="921" spans="1:14" ht="16.5" thickTop="1" thickBot="1" x14ac:dyDescent="0.3">
      <c r="A921" s="4">
        <v>45560</v>
      </c>
      <c r="B921" s="4" t="s">
        <v>69</v>
      </c>
      <c r="C921" s="5" t="s">
        <v>328</v>
      </c>
      <c r="D921" s="5" t="s">
        <v>33</v>
      </c>
      <c r="E921" s="5" t="s">
        <v>120</v>
      </c>
      <c r="F921" s="5" t="s">
        <v>52</v>
      </c>
      <c r="G921" s="5" t="s">
        <v>28</v>
      </c>
      <c r="H921" s="5">
        <v>90</v>
      </c>
      <c r="I921" s="5">
        <v>792</v>
      </c>
      <c r="J921" s="5">
        <v>818</v>
      </c>
      <c r="K921" s="6">
        <f t="shared" si="56"/>
        <v>71280</v>
      </c>
      <c r="L921" s="6">
        <f t="shared" si="57"/>
        <v>73620</v>
      </c>
      <c r="M921" s="6">
        <f t="shared" si="58"/>
        <v>2340</v>
      </c>
      <c r="N921" s="6" t="str">
        <f t="shared" si="59"/>
        <v>profit</v>
      </c>
    </row>
    <row r="922" spans="1:14" ht="16.5" thickTop="1" thickBot="1" x14ac:dyDescent="0.3">
      <c r="A922" s="4">
        <v>45561</v>
      </c>
      <c r="B922" s="4" t="s">
        <v>69</v>
      </c>
      <c r="C922" s="5" t="s">
        <v>329</v>
      </c>
      <c r="D922" s="5" t="s">
        <v>33</v>
      </c>
      <c r="E922" s="5" t="s">
        <v>120</v>
      </c>
      <c r="F922" s="5" t="s">
        <v>54</v>
      </c>
      <c r="G922" s="5" t="s">
        <v>28</v>
      </c>
      <c r="H922" s="5">
        <v>98</v>
      </c>
      <c r="I922" s="5">
        <v>711</v>
      </c>
      <c r="J922" s="5">
        <v>1190</v>
      </c>
      <c r="K922" s="6">
        <f t="shared" si="56"/>
        <v>69678</v>
      </c>
      <c r="L922" s="6">
        <f t="shared" si="57"/>
        <v>116620</v>
      </c>
      <c r="M922" s="6">
        <f t="shared" si="58"/>
        <v>46942</v>
      </c>
      <c r="N922" s="6" t="str">
        <f t="shared" si="59"/>
        <v>profit</v>
      </c>
    </row>
    <row r="923" spans="1:14" ht="16.5" thickTop="1" thickBot="1" x14ac:dyDescent="0.3">
      <c r="A923" s="4">
        <v>45642</v>
      </c>
      <c r="B923" s="4" t="s">
        <v>190</v>
      </c>
      <c r="C923" s="5" t="s">
        <v>202</v>
      </c>
      <c r="D923" s="5" t="s">
        <v>33</v>
      </c>
      <c r="E923" s="5" t="s">
        <v>99</v>
      </c>
      <c r="F923" s="5" t="s">
        <v>39</v>
      </c>
      <c r="G923" s="5" t="s">
        <v>19</v>
      </c>
      <c r="H923" s="5">
        <v>94</v>
      </c>
      <c r="I923" s="5">
        <v>616</v>
      </c>
      <c r="J923" s="5">
        <v>1200</v>
      </c>
      <c r="K923" s="6">
        <f t="shared" si="56"/>
        <v>57904</v>
      </c>
      <c r="L923" s="6">
        <f t="shared" si="57"/>
        <v>112800</v>
      </c>
      <c r="M923" s="6">
        <f t="shared" si="58"/>
        <v>54896</v>
      </c>
      <c r="N923" s="6" t="str">
        <f t="shared" si="59"/>
        <v>profit</v>
      </c>
    </row>
    <row r="924" spans="1:14" ht="16.5" thickTop="1" thickBot="1" x14ac:dyDescent="0.3">
      <c r="A924" s="4">
        <v>45569</v>
      </c>
      <c r="B924" s="4" t="s">
        <v>85</v>
      </c>
      <c r="C924" s="5" t="s">
        <v>330</v>
      </c>
      <c r="D924" s="5" t="s">
        <v>33</v>
      </c>
      <c r="E924" s="5" t="s">
        <v>99</v>
      </c>
      <c r="F924" s="5" t="s">
        <v>30</v>
      </c>
      <c r="G924" s="5" t="s">
        <v>19</v>
      </c>
      <c r="H924" s="5">
        <v>93</v>
      </c>
      <c r="I924" s="5">
        <v>660</v>
      </c>
      <c r="J924" s="5">
        <v>880</v>
      </c>
      <c r="K924" s="6">
        <f t="shared" si="56"/>
        <v>61380</v>
      </c>
      <c r="L924" s="6">
        <f t="shared" si="57"/>
        <v>81840</v>
      </c>
      <c r="M924" s="6">
        <f t="shared" si="58"/>
        <v>20460</v>
      </c>
      <c r="N924" s="6" t="str">
        <f t="shared" si="59"/>
        <v>profit</v>
      </c>
    </row>
    <row r="925" spans="1:14" ht="16.5" thickTop="1" thickBot="1" x14ac:dyDescent="0.3">
      <c r="A925" s="4">
        <v>45570</v>
      </c>
      <c r="B925" s="4" t="s">
        <v>85</v>
      </c>
      <c r="C925" s="5" t="s">
        <v>331</v>
      </c>
      <c r="D925" s="5" t="s">
        <v>33</v>
      </c>
      <c r="E925" s="5" t="s">
        <v>99</v>
      </c>
      <c r="F925" s="5" t="s">
        <v>113</v>
      </c>
      <c r="G925" s="5" t="s">
        <v>19</v>
      </c>
      <c r="H925" s="5">
        <v>59</v>
      </c>
      <c r="I925" s="5">
        <v>623</v>
      </c>
      <c r="J925" s="5">
        <v>1386</v>
      </c>
      <c r="K925" s="6">
        <f t="shared" si="56"/>
        <v>36757</v>
      </c>
      <c r="L925" s="6">
        <f t="shared" si="57"/>
        <v>81774</v>
      </c>
      <c r="M925" s="6">
        <f t="shared" si="58"/>
        <v>45017</v>
      </c>
      <c r="N925" s="6" t="str">
        <f t="shared" si="59"/>
        <v>profit</v>
      </c>
    </row>
    <row r="926" spans="1:14" ht="16.5" thickTop="1" thickBot="1" x14ac:dyDescent="0.3">
      <c r="A926" s="4">
        <v>45572</v>
      </c>
      <c r="B926" s="4" t="s">
        <v>85</v>
      </c>
      <c r="C926" s="5" t="s">
        <v>332</v>
      </c>
      <c r="D926" s="5" t="s">
        <v>33</v>
      </c>
      <c r="E926" s="5" t="s">
        <v>99</v>
      </c>
      <c r="F926" s="5" t="s">
        <v>153</v>
      </c>
      <c r="G926" s="5" t="s">
        <v>19</v>
      </c>
      <c r="H926" s="5">
        <v>98</v>
      </c>
      <c r="I926" s="5">
        <v>865</v>
      </c>
      <c r="J926" s="5">
        <v>1260</v>
      </c>
      <c r="K926" s="6">
        <f t="shared" si="56"/>
        <v>84770</v>
      </c>
      <c r="L926" s="6">
        <f t="shared" si="57"/>
        <v>123480</v>
      </c>
      <c r="M926" s="6">
        <f t="shared" si="58"/>
        <v>38710</v>
      </c>
      <c r="N926" s="6" t="str">
        <f t="shared" si="59"/>
        <v>profit</v>
      </c>
    </row>
    <row r="927" spans="1:14" ht="16.5" thickTop="1" thickBot="1" x14ac:dyDescent="0.3">
      <c r="A927" s="4">
        <v>45646</v>
      </c>
      <c r="B927" s="4" t="s">
        <v>190</v>
      </c>
      <c r="C927" s="5" t="s">
        <v>206</v>
      </c>
      <c r="D927" s="5" t="s">
        <v>33</v>
      </c>
      <c r="E927" s="5" t="s">
        <v>99</v>
      </c>
      <c r="F927" s="5" t="s">
        <v>39</v>
      </c>
      <c r="G927" s="5" t="s">
        <v>19</v>
      </c>
      <c r="H927" s="5">
        <v>67</v>
      </c>
      <c r="I927" s="5">
        <v>898</v>
      </c>
      <c r="J927" s="5">
        <v>1133</v>
      </c>
      <c r="K927" s="6">
        <f t="shared" si="56"/>
        <v>60166</v>
      </c>
      <c r="L927" s="6">
        <f t="shared" si="57"/>
        <v>75911</v>
      </c>
      <c r="M927" s="6">
        <f t="shared" si="58"/>
        <v>15745</v>
      </c>
      <c r="N927" s="6" t="str">
        <f t="shared" si="59"/>
        <v>profit</v>
      </c>
    </row>
    <row r="928" spans="1:14" ht="16.5" thickTop="1" thickBot="1" x14ac:dyDescent="0.3">
      <c r="A928" s="4">
        <v>45573</v>
      </c>
      <c r="B928" s="4" t="s">
        <v>85</v>
      </c>
      <c r="C928" s="5" t="s">
        <v>333</v>
      </c>
      <c r="D928" s="5" t="s">
        <v>33</v>
      </c>
      <c r="E928" s="5" t="s">
        <v>99</v>
      </c>
      <c r="F928" s="5" t="s">
        <v>155</v>
      </c>
      <c r="G928" s="5" t="s">
        <v>19</v>
      </c>
      <c r="H928" s="5">
        <v>83</v>
      </c>
      <c r="I928" s="5">
        <v>709</v>
      </c>
      <c r="J928" s="5">
        <v>1206</v>
      </c>
      <c r="K928" s="6">
        <f t="shared" si="56"/>
        <v>58847</v>
      </c>
      <c r="L928" s="6">
        <f t="shared" si="57"/>
        <v>100098</v>
      </c>
      <c r="M928" s="6">
        <f t="shared" si="58"/>
        <v>41251</v>
      </c>
      <c r="N928" s="6" t="str">
        <f t="shared" si="59"/>
        <v>profit</v>
      </c>
    </row>
    <row r="929" spans="1:14" ht="16.5" thickTop="1" thickBot="1" x14ac:dyDescent="0.3">
      <c r="A929" s="4">
        <v>45648</v>
      </c>
      <c r="B929" s="4" t="s">
        <v>190</v>
      </c>
      <c r="C929" s="5" t="s">
        <v>208</v>
      </c>
      <c r="D929" s="5" t="s">
        <v>33</v>
      </c>
      <c r="E929" s="5" t="s">
        <v>120</v>
      </c>
      <c r="F929" s="5" t="s">
        <v>113</v>
      </c>
      <c r="G929" s="5" t="s">
        <v>19</v>
      </c>
      <c r="H929" s="5">
        <v>72</v>
      </c>
      <c r="I929" s="5">
        <v>603</v>
      </c>
      <c r="J929" s="5">
        <v>941</v>
      </c>
      <c r="K929" s="6">
        <f t="shared" si="56"/>
        <v>43416</v>
      </c>
      <c r="L929" s="6">
        <f t="shared" si="57"/>
        <v>67752</v>
      </c>
      <c r="M929" s="6">
        <f t="shared" si="58"/>
        <v>24336</v>
      </c>
      <c r="N929" s="6" t="str">
        <f t="shared" si="59"/>
        <v>profit</v>
      </c>
    </row>
    <row r="930" spans="1:14" ht="16.5" thickTop="1" thickBot="1" x14ac:dyDescent="0.3">
      <c r="A930" s="4">
        <v>45574</v>
      </c>
      <c r="B930" s="4" t="s">
        <v>85</v>
      </c>
      <c r="C930" s="5" t="s">
        <v>334</v>
      </c>
      <c r="D930" s="5" t="s">
        <v>33</v>
      </c>
      <c r="E930" s="5" t="s">
        <v>120</v>
      </c>
      <c r="F930" s="5" t="s">
        <v>18</v>
      </c>
      <c r="G930" s="5" t="s">
        <v>19</v>
      </c>
      <c r="H930" s="5">
        <v>69</v>
      </c>
      <c r="I930" s="5">
        <v>657</v>
      </c>
      <c r="J930" s="5">
        <v>1493</v>
      </c>
      <c r="K930" s="6">
        <f t="shared" si="56"/>
        <v>45333</v>
      </c>
      <c r="L930" s="6">
        <f t="shared" si="57"/>
        <v>103017</v>
      </c>
      <c r="M930" s="6">
        <f t="shared" si="58"/>
        <v>57684</v>
      </c>
      <c r="N930" s="6" t="str">
        <f t="shared" si="59"/>
        <v>profit</v>
      </c>
    </row>
    <row r="931" spans="1:14" ht="16.5" thickTop="1" thickBot="1" x14ac:dyDescent="0.3">
      <c r="A931" s="4">
        <v>45575</v>
      </c>
      <c r="B931" s="4" t="s">
        <v>85</v>
      </c>
      <c r="C931" s="5" t="s">
        <v>335</v>
      </c>
      <c r="D931" s="5" t="s">
        <v>33</v>
      </c>
      <c r="E931" s="5" t="s">
        <v>120</v>
      </c>
      <c r="F931" s="5" t="s">
        <v>21</v>
      </c>
      <c r="G931" s="5" t="s">
        <v>19</v>
      </c>
      <c r="H931" s="5">
        <v>81</v>
      </c>
      <c r="I931" s="5">
        <v>709</v>
      </c>
      <c r="J931" s="5">
        <v>1180</v>
      </c>
      <c r="K931" s="6">
        <f t="shared" si="56"/>
        <v>57429</v>
      </c>
      <c r="L931" s="6">
        <f t="shared" si="57"/>
        <v>95580</v>
      </c>
      <c r="M931" s="6">
        <f t="shared" si="58"/>
        <v>38151</v>
      </c>
      <c r="N931" s="6" t="str">
        <f t="shared" si="59"/>
        <v>profit</v>
      </c>
    </row>
    <row r="932" spans="1:14" ht="16.5" thickTop="1" thickBot="1" x14ac:dyDescent="0.3">
      <c r="A932" s="4">
        <v>45576</v>
      </c>
      <c r="B932" s="4" t="s">
        <v>85</v>
      </c>
      <c r="C932" s="5" t="s">
        <v>336</v>
      </c>
      <c r="D932" s="5" t="s">
        <v>33</v>
      </c>
      <c r="E932" s="5" t="s">
        <v>120</v>
      </c>
      <c r="F932" s="5" t="s">
        <v>23</v>
      </c>
      <c r="G932" s="5" t="s">
        <v>19</v>
      </c>
      <c r="H932" s="5">
        <v>61</v>
      </c>
      <c r="I932" s="5">
        <v>547</v>
      </c>
      <c r="J932" s="5">
        <v>1060</v>
      </c>
      <c r="K932" s="6">
        <f t="shared" si="56"/>
        <v>33367</v>
      </c>
      <c r="L932" s="6">
        <f t="shared" si="57"/>
        <v>64660</v>
      </c>
      <c r="M932" s="6">
        <f t="shared" si="58"/>
        <v>31293</v>
      </c>
      <c r="N932" s="6" t="str">
        <f t="shared" si="59"/>
        <v>profit</v>
      </c>
    </row>
    <row r="933" spans="1:14" ht="16.5" thickTop="1" thickBot="1" x14ac:dyDescent="0.3">
      <c r="A933" s="4">
        <v>45577</v>
      </c>
      <c r="B933" s="4" t="s">
        <v>85</v>
      </c>
      <c r="C933" s="5" t="s">
        <v>337</v>
      </c>
      <c r="D933" s="5" t="s">
        <v>33</v>
      </c>
      <c r="E933" s="5" t="s">
        <v>120</v>
      </c>
      <c r="F933" s="5" t="s">
        <v>25</v>
      </c>
      <c r="G933" s="5" t="s">
        <v>19</v>
      </c>
      <c r="H933" s="5">
        <v>57</v>
      </c>
      <c r="I933" s="5">
        <v>734</v>
      </c>
      <c r="J933" s="5">
        <v>979</v>
      </c>
      <c r="K933" s="6">
        <f t="shared" si="56"/>
        <v>41838</v>
      </c>
      <c r="L933" s="6">
        <f t="shared" si="57"/>
        <v>55803</v>
      </c>
      <c r="M933" s="6">
        <f t="shared" si="58"/>
        <v>13965</v>
      </c>
      <c r="N933" s="6" t="str">
        <f t="shared" si="59"/>
        <v>profit</v>
      </c>
    </row>
    <row r="934" spans="1:14" ht="16.5" thickTop="1" thickBot="1" x14ac:dyDescent="0.3">
      <c r="A934" s="4">
        <v>45653</v>
      </c>
      <c r="B934" s="4" t="s">
        <v>190</v>
      </c>
      <c r="C934" s="5" t="s">
        <v>213</v>
      </c>
      <c r="D934" s="5" t="s">
        <v>33</v>
      </c>
      <c r="E934" s="5" t="s">
        <v>120</v>
      </c>
      <c r="F934" s="5" t="s">
        <v>21</v>
      </c>
      <c r="G934" s="5" t="s">
        <v>28</v>
      </c>
      <c r="H934" s="5">
        <v>97</v>
      </c>
      <c r="I934" s="5">
        <v>500</v>
      </c>
      <c r="J934" s="5">
        <v>1417</v>
      </c>
      <c r="K934" s="6">
        <f t="shared" si="56"/>
        <v>48500</v>
      </c>
      <c r="L934" s="6">
        <f t="shared" si="57"/>
        <v>137449</v>
      </c>
      <c r="M934" s="6">
        <f t="shared" si="58"/>
        <v>88949</v>
      </c>
      <c r="N934" s="6" t="str">
        <f t="shared" si="59"/>
        <v>profit</v>
      </c>
    </row>
    <row r="935" spans="1:14" ht="16.5" thickTop="1" thickBot="1" x14ac:dyDescent="0.3">
      <c r="A935" s="4">
        <v>45579</v>
      </c>
      <c r="B935" s="4" t="s">
        <v>85</v>
      </c>
      <c r="C935" s="5" t="s">
        <v>338</v>
      </c>
      <c r="D935" s="5" t="s">
        <v>33</v>
      </c>
      <c r="E935" s="5" t="s">
        <v>120</v>
      </c>
      <c r="F935" s="5" t="s">
        <v>27</v>
      </c>
      <c r="G935" s="5" t="s">
        <v>28</v>
      </c>
      <c r="H935" s="5">
        <v>60</v>
      </c>
      <c r="I935" s="5">
        <v>937</v>
      </c>
      <c r="J935" s="5">
        <v>948</v>
      </c>
      <c r="K935" s="6">
        <f t="shared" si="56"/>
        <v>56220</v>
      </c>
      <c r="L935" s="6">
        <f t="shared" si="57"/>
        <v>56880</v>
      </c>
      <c r="M935" s="6">
        <f t="shared" si="58"/>
        <v>660</v>
      </c>
      <c r="N935" s="6" t="str">
        <f t="shared" si="59"/>
        <v>profit</v>
      </c>
    </row>
    <row r="936" spans="1:14" ht="16.5" thickTop="1" thickBot="1" x14ac:dyDescent="0.3">
      <c r="A936" s="4">
        <v>45592</v>
      </c>
      <c r="B936" s="4" t="s">
        <v>85</v>
      </c>
      <c r="C936" s="5" t="s">
        <v>339</v>
      </c>
      <c r="D936" s="5" t="s">
        <v>33</v>
      </c>
      <c r="E936" s="5" t="s">
        <v>34</v>
      </c>
      <c r="F936" s="5" t="s">
        <v>113</v>
      </c>
      <c r="G936" s="5" t="s">
        <v>28</v>
      </c>
      <c r="H936" s="5">
        <v>71</v>
      </c>
      <c r="I936" s="5">
        <v>777</v>
      </c>
      <c r="J936" s="5">
        <v>1034</v>
      </c>
      <c r="K936" s="6">
        <f t="shared" si="56"/>
        <v>55167</v>
      </c>
      <c r="L936" s="6">
        <f t="shared" si="57"/>
        <v>73414</v>
      </c>
      <c r="M936" s="6">
        <f t="shared" si="58"/>
        <v>18247</v>
      </c>
      <c r="N936" s="6" t="str">
        <f t="shared" si="59"/>
        <v>profit</v>
      </c>
    </row>
    <row r="937" spans="1:14" ht="16.5" thickTop="1" thickBot="1" x14ac:dyDescent="0.3">
      <c r="A937" s="4">
        <v>45593</v>
      </c>
      <c r="B937" s="4" t="s">
        <v>85</v>
      </c>
      <c r="C937" s="5" t="s">
        <v>340</v>
      </c>
      <c r="D937" s="5" t="s">
        <v>33</v>
      </c>
      <c r="E937" s="5" t="s">
        <v>34</v>
      </c>
      <c r="F937" s="5" t="s">
        <v>44</v>
      </c>
      <c r="G937" s="5" t="s">
        <v>28</v>
      </c>
      <c r="H937" s="5">
        <v>52</v>
      </c>
      <c r="I937" s="5">
        <v>509</v>
      </c>
      <c r="J937" s="5">
        <v>764</v>
      </c>
      <c r="K937" s="6">
        <f t="shared" si="56"/>
        <v>26468</v>
      </c>
      <c r="L937" s="6">
        <f t="shared" si="57"/>
        <v>39728</v>
      </c>
      <c r="M937" s="6">
        <f t="shared" si="58"/>
        <v>13260</v>
      </c>
      <c r="N937" s="6" t="str">
        <f t="shared" si="59"/>
        <v>profit</v>
      </c>
    </row>
    <row r="938" spans="1:14" ht="16.5" thickTop="1" thickBot="1" x14ac:dyDescent="0.3">
      <c r="A938" s="4">
        <v>45594</v>
      </c>
      <c r="B938" s="4" t="s">
        <v>85</v>
      </c>
      <c r="C938" s="5" t="s">
        <v>341</v>
      </c>
      <c r="D938" s="5" t="s">
        <v>33</v>
      </c>
      <c r="E938" s="5" t="s">
        <v>34</v>
      </c>
      <c r="F938" s="5" t="s">
        <v>153</v>
      </c>
      <c r="G938" s="5" t="s">
        <v>19</v>
      </c>
      <c r="H938" s="5">
        <v>66</v>
      </c>
      <c r="I938" s="5">
        <v>701</v>
      </c>
      <c r="J938" s="5">
        <v>1204</v>
      </c>
      <c r="K938" s="6">
        <f t="shared" si="56"/>
        <v>46266</v>
      </c>
      <c r="L938" s="6">
        <f t="shared" si="57"/>
        <v>79464</v>
      </c>
      <c r="M938" s="6">
        <f t="shared" si="58"/>
        <v>33198</v>
      </c>
      <c r="N938" s="6" t="str">
        <f t="shared" si="59"/>
        <v>profit</v>
      </c>
    </row>
    <row r="939" spans="1:14" ht="16.5" thickTop="1" thickBot="1" x14ac:dyDescent="0.3">
      <c r="A939" s="4">
        <v>45595</v>
      </c>
      <c r="B939" s="4" t="s">
        <v>85</v>
      </c>
      <c r="C939" s="5" t="s">
        <v>342</v>
      </c>
      <c r="D939" s="5" t="s">
        <v>33</v>
      </c>
      <c r="E939" s="5" t="s">
        <v>34</v>
      </c>
      <c r="F939" s="5" t="s">
        <v>155</v>
      </c>
      <c r="G939" s="5" t="s">
        <v>28</v>
      </c>
      <c r="H939" s="5">
        <v>97</v>
      </c>
      <c r="I939" s="5">
        <v>654</v>
      </c>
      <c r="J939" s="5">
        <v>839</v>
      </c>
      <c r="K939" s="6">
        <f t="shared" si="56"/>
        <v>63438</v>
      </c>
      <c r="L939" s="6">
        <f t="shared" si="57"/>
        <v>81383</v>
      </c>
      <c r="M939" s="6">
        <f t="shared" si="58"/>
        <v>17945</v>
      </c>
      <c r="N939" s="6" t="str">
        <f t="shared" si="59"/>
        <v>profit</v>
      </c>
    </row>
    <row r="940" spans="1:14" ht="16.5" thickTop="1" thickBot="1" x14ac:dyDescent="0.3">
      <c r="A940" s="4">
        <v>45603</v>
      </c>
      <c r="B940" s="4" t="s">
        <v>161</v>
      </c>
      <c r="C940" s="5" t="s">
        <v>343</v>
      </c>
      <c r="D940" s="5" t="s">
        <v>33</v>
      </c>
      <c r="E940" s="5" t="s">
        <v>163</v>
      </c>
      <c r="F940" s="5" t="s">
        <v>25</v>
      </c>
      <c r="G940" s="5" t="s">
        <v>19</v>
      </c>
      <c r="H940" s="5">
        <v>63</v>
      </c>
      <c r="I940" s="5">
        <v>833</v>
      </c>
      <c r="J940" s="5">
        <v>1040</v>
      </c>
      <c r="K940" s="6">
        <f t="shared" si="56"/>
        <v>52479</v>
      </c>
      <c r="L940" s="6">
        <f t="shared" si="57"/>
        <v>65520</v>
      </c>
      <c r="M940" s="6">
        <f t="shared" si="58"/>
        <v>13041</v>
      </c>
      <c r="N940" s="6" t="str">
        <f t="shared" si="59"/>
        <v>profit</v>
      </c>
    </row>
    <row r="941" spans="1:14" ht="16.5" thickTop="1" thickBot="1" x14ac:dyDescent="0.3">
      <c r="A941" s="4">
        <v>45660</v>
      </c>
      <c r="B941" s="4" t="s">
        <v>95</v>
      </c>
      <c r="C941" s="5" t="s">
        <v>220</v>
      </c>
      <c r="D941" s="5" t="s">
        <v>16</v>
      </c>
      <c r="E941" s="5" t="s">
        <v>17</v>
      </c>
      <c r="F941" s="5" t="s">
        <v>76</v>
      </c>
      <c r="G941" s="5" t="s">
        <v>19</v>
      </c>
      <c r="H941" s="5">
        <v>12</v>
      </c>
      <c r="I941" s="5">
        <v>864</v>
      </c>
      <c r="J941" s="5">
        <v>953</v>
      </c>
      <c r="K941" s="6">
        <f t="shared" si="56"/>
        <v>10368</v>
      </c>
      <c r="L941" s="6">
        <f t="shared" si="57"/>
        <v>11436</v>
      </c>
      <c r="M941" s="6">
        <f t="shared" si="58"/>
        <v>1068</v>
      </c>
      <c r="N941" s="6" t="str">
        <f t="shared" si="59"/>
        <v>profit</v>
      </c>
    </row>
    <row r="942" spans="1:14" ht="16.5" thickTop="1" thickBot="1" x14ac:dyDescent="0.3">
      <c r="A942" s="4">
        <v>45604</v>
      </c>
      <c r="B942" s="4" t="s">
        <v>161</v>
      </c>
      <c r="C942" s="5" t="s">
        <v>344</v>
      </c>
      <c r="D942" s="5" t="s">
        <v>33</v>
      </c>
      <c r="E942" s="5" t="s">
        <v>163</v>
      </c>
      <c r="F942" s="5" t="s">
        <v>76</v>
      </c>
      <c r="G942" s="5" t="s">
        <v>19</v>
      </c>
      <c r="H942" s="5">
        <v>74</v>
      </c>
      <c r="I942" s="5">
        <v>743</v>
      </c>
      <c r="J942" s="5">
        <v>974</v>
      </c>
      <c r="K942" s="6">
        <f t="shared" si="56"/>
        <v>54982</v>
      </c>
      <c r="L942" s="6">
        <f t="shared" si="57"/>
        <v>72076</v>
      </c>
      <c r="M942" s="6">
        <f t="shared" si="58"/>
        <v>17094</v>
      </c>
      <c r="N942" s="6" t="str">
        <f t="shared" si="59"/>
        <v>profit</v>
      </c>
    </row>
    <row r="943" spans="1:14" ht="16.5" thickTop="1" thickBot="1" x14ac:dyDescent="0.3">
      <c r="A943" s="4">
        <v>45662</v>
      </c>
      <c r="B943" s="4" t="s">
        <v>95</v>
      </c>
      <c r="C943" s="5" t="s">
        <v>222</v>
      </c>
      <c r="D943" s="5" t="s">
        <v>16</v>
      </c>
      <c r="E943" s="5" t="s">
        <v>17</v>
      </c>
      <c r="F943" s="5" t="s">
        <v>44</v>
      </c>
      <c r="G943" s="5" t="s">
        <v>19</v>
      </c>
      <c r="H943" s="5">
        <v>13</v>
      </c>
      <c r="I943" s="5">
        <v>839</v>
      </c>
      <c r="J943" s="5">
        <v>1025</v>
      </c>
      <c r="K943" s="6">
        <f t="shared" si="56"/>
        <v>10907</v>
      </c>
      <c r="L943" s="6">
        <f t="shared" si="57"/>
        <v>13325</v>
      </c>
      <c r="M943" s="6">
        <f t="shared" si="58"/>
        <v>2418</v>
      </c>
      <c r="N943" s="6" t="str">
        <f t="shared" si="59"/>
        <v>profit</v>
      </c>
    </row>
    <row r="944" spans="1:14" ht="16.5" thickTop="1" thickBot="1" x14ac:dyDescent="0.3">
      <c r="A944" s="4">
        <v>45606</v>
      </c>
      <c r="B944" s="4" t="s">
        <v>161</v>
      </c>
      <c r="C944" s="5" t="s">
        <v>345</v>
      </c>
      <c r="D944" s="5" t="s">
        <v>33</v>
      </c>
      <c r="E944" s="5" t="s">
        <v>163</v>
      </c>
      <c r="F944" s="5" t="s">
        <v>44</v>
      </c>
      <c r="G944" s="5" t="s">
        <v>19</v>
      </c>
      <c r="H944" s="5">
        <v>86</v>
      </c>
      <c r="I944" s="5">
        <v>593</v>
      </c>
      <c r="J944" s="5">
        <v>1425</v>
      </c>
      <c r="K944" s="6">
        <f t="shared" si="56"/>
        <v>50998</v>
      </c>
      <c r="L944" s="6">
        <f t="shared" si="57"/>
        <v>122550</v>
      </c>
      <c r="M944" s="6">
        <f t="shared" si="58"/>
        <v>71552</v>
      </c>
      <c r="N944" s="6" t="str">
        <f t="shared" si="59"/>
        <v>profit</v>
      </c>
    </row>
    <row r="945" spans="1:14" ht="16.5" thickTop="1" thickBot="1" x14ac:dyDescent="0.3">
      <c r="A945" s="4">
        <v>45664</v>
      </c>
      <c r="B945" s="4" t="s">
        <v>95</v>
      </c>
      <c r="C945" s="5" t="s">
        <v>224</v>
      </c>
      <c r="D945" s="5" t="s">
        <v>16</v>
      </c>
      <c r="E945" s="5" t="s">
        <v>17</v>
      </c>
      <c r="F945" s="5" t="s">
        <v>23</v>
      </c>
      <c r="G945" s="5" t="s">
        <v>19</v>
      </c>
      <c r="H945" s="5">
        <v>11</v>
      </c>
      <c r="I945" s="5">
        <v>944</v>
      </c>
      <c r="J945" s="5">
        <v>949</v>
      </c>
      <c r="K945" s="6">
        <f t="shared" si="56"/>
        <v>10384</v>
      </c>
      <c r="L945" s="6">
        <f t="shared" si="57"/>
        <v>10439</v>
      </c>
      <c r="M945" s="6">
        <f t="shared" si="58"/>
        <v>55</v>
      </c>
      <c r="N945" s="6" t="str">
        <f t="shared" si="59"/>
        <v>profit</v>
      </c>
    </row>
    <row r="946" spans="1:14" ht="16.5" thickTop="1" thickBot="1" x14ac:dyDescent="0.3">
      <c r="A946" s="4">
        <v>45607</v>
      </c>
      <c r="B946" s="4" t="s">
        <v>161</v>
      </c>
      <c r="C946" s="5" t="s">
        <v>346</v>
      </c>
      <c r="D946" s="5" t="s">
        <v>33</v>
      </c>
      <c r="E946" s="5" t="s">
        <v>163</v>
      </c>
      <c r="F946" s="5" t="s">
        <v>25</v>
      </c>
      <c r="G946" s="5" t="s">
        <v>19</v>
      </c>
      <c r="H946" s="5">
        <v>92</v>
      </c>
      <c r="I946" s="5">
        <v>609</v>
      </c>
      <c r="J946" s="5">
        <v>792</v>
      </c>
      <c r="K946" s="6">
        <f t="shared" si="56"/>
        <v>56028</v>
      </c>
      <c r="L946" s="6">
        <f t="shared" si="57"/>
        <v>72864</v>
      </c>
      <c r="M946" s="6">
        <f t="shared" si="58"/>
        <v>16836</v>
      </c>
      <c r="N946" s="6" t="str">
        <f t="shared" si="59"/>
        <v>profit</v>
      </c>
    </row>
    <row r="947" spans="1:14" ht="16.5" thickTop="1" thickBot="1" x14ac:dyDescent="0.3">
      <c r="A947" s="4">
        <v>45608</v>
      </c>
      <c r="B947" s="4" t="s">
        <v>161</v>
      </c>
      <c r="C947" s="5" t="s">
        <v>347</v>
      </c>
      <c r="D947" s="5" t="s">
        <v>33</v>
      </c>
      <c r="E947" s="5" t="s">
        <v>163</v>
      </c>
      <c r="F947" s="5" t="s">
        <v>64</v>
      </c>
      <c r="G947" s="5" t="s">
        <v>19</v>
      </c>
      <c r="H947" s="5">
        <v>96</v>
      </c>
      <c r="I947" s="5">
        <v>674</v>
      </c>
      <c r="J947" s="5">
        <v>1178</v>
      </c>
      <c r="K947" s="6">
        <f t="shared" si="56"/>
        <v>64704</v>
      </c>
      <c r="L947" s="6">
        <f t="shared" si="57"/>
        <v>113088</v>
      </c>
      <c r="M947" s="6">
        <f t="shared" si="58"/>
        <v>48384</v>
      </c>
      <c r="N947" s="6" t="str">
        <f t="shared" si="59"/>
        <v>profit</v>
      </c>
    </row>
    <row r="948" spans="1:14" ht="16.5" thickTop="1" thickBot="1" x14ac:dyDescent="0.3">
      <c r="A948" s="4">
        <v>45636</v>
      </c>
      <c r="B948" s="4" t="s">
        <v>190</v>
      </c>
      <c r="C948" s="5" t="s">
        <v>192</v>
      </c>
      <c r="D948" s="5" t="s">
        <v>33</v>
      </c>
      <c r="E948" s="5" t="s">
        <v>99</v>
      </c>
      <c r="F948" s="5" t="s">
        <v>18</v>
      </c>
      <c r="G948" s="5" t="s">
        <v>28</v>
      </c>
      <c r="H948" s="5">
        <v>65</v>
      </c>
      <c r="I948" s="5">
        <v>804</v>
      </c>
      <c r="J948" s="5">
        <v>876</v>
      </c>
      <c r="K948" s="6">
        <f t="shared" si="56"/>
        <v>52260</v>
      </c>
      <c r="L948" s="6">
        <f t="shared" si="57"/>
        <v>56940</v>
      </c>
      <c r="M948" s="6">
        <f t="shared" si="58"/>
        <v>4680</v>
      </c>
      <c r="N948" s="6" t="str">
        <f t="shared" si="59"/>
        <v>profit</v>
      </c>
    </row>
    <row r="949" spans="1:14" ht="16.5" thickTop="1" thickBot="1" x14ac:dyDescent="0.3">
      <c r="A949" s="4">
        <v>45638</v>
      </c>
      <c r="B949" s="4" t="s">
        <v>190</v>
      </c>
      <c r="C949" s="5" t="s">
        <v>348</v>
      </c>
      <c r="D949" s="5" t="s">
        <v>33</v>
      </c>
      <c r="E949" s="5" t="s">
        <v>99</v>
      </c>
      <c r="F949" s="5" t="s">
        <v>23</v>
      </c>
      <c r="G949" s="5" t="s">
        <v>19</v>
      </c>
      <c r="H949" s="5">
        <v>83</v>
      </c>
      <c r="I949" s="5">
        <v>541</v>
      </c>
      <c r="J949" s="5">
        <v>1072</v>
      </c>
      <c r="K949" s="6">
        <f t="shared" si="56"/>
        <v>44903</v>
      </c>
      <c r="L949" s="6">
        <f t="shared" si="57"/>
        <v>88976</v>
      </c>
      <c r="M949" s="6">
        <f t="shared" si="58"/>
        <v>44073</v>
      </c>
      <c r="N949" s="6" t="str">
        <f t="shared" si="59"/>
        <v>profit</v>
      </c>
    </row>
    <row r="950" spans="1:14" ht="16.5" thickTop="1" thickBot="1" x14ac:dyDescent="0.3">
      <c r="A950" s="4">
        <v>45639</v>
      </c>
      <c r="B950" s="4" t="s">
        <v>190</v>
      </c>
      <c r="C950" s="5" t="s">
        <v>349</v>
      </c>
      <c r="D950" s="5" t="s">
        <v>33</v>
      </c>
      <c r="E950" s="5" t="s">
        <v>99</v>
      </c>
      <c r="F950" s="5" t="s">
        <v>25</v>
      </c>
      <c r="G950" s="5" t="s">
        <v>19</v>
      </c>
      <c r="H950" s="5">
        <v>89</v>
      </c>
      <c r="I950" s="5">
        <v>545</v>
      </c>
      <c r="J950" s="5">
        <v>978</v>
      </c>
      <c r="K950" s="6">
        <f t="shared" si="56"/>
        <v>48505</v>
      </c>
      <c r="L950" s="6">
        <f t="shared" si="57"/>
        <v>87042</v>
      </c>
      <c r="M950" s="6">
        <f t="shared" si="58"/>
        <v>38537</v>
      </c>
      <c r="N950" s="6" t="str">
        <f t="shared" si="59"/>
        <v>profit</v>
      </c>
    </row>
    <row r="951" spans="1:14" ht="16.5" thickTop="1" thickBot="1" x14ac:dyDescent="0.3">
      <c r="A951" s="4">
        <v>45640</v>
      </c>
      <c r="B951" s="4" t="s">
        <v>190</v>
      </c>
      <c r="C951" s="5" t="s">
        <v>350</v>
      </c>
      <c r="D951" s="5" t="s">
        <v>33</v>
      </c>
      <c r="E951" s="5" t="s">
        <v>99</v>
      </c>
      <c r="F951" s="5" t="s">
        <v>35</v>
      </c>
      <c r="G951" s="5" t="s">
        <v>19</v>
      </c>
      <c r="H951" s="5">
        <v>80</v>
      </c>
      <c r="I951" s="5">
        <v>671</v>
      </c>
      <c r="J951" s="5">
        <v>1251</v>
      </c>
      <c r="K951" s="6">
        <f t="shared" si="56"/>
        <v>53680</v>
      </c>
      <c r="L951" s="6">
        <f t="shared" si="57"/>
        <v>100080</v>
      </c>
      <c r="M951" s="6">
        <f t="shared" si="58"/>
        <v>46400</v>
      </c>
      <c r="N951" s="6" t="str">
        <f t="shared" si="59"/>
        <v>profit</v>
      </c>
    </row>
    <row r="952" spans="1:14" ht="16.5" thickTop="1" thickBot="1" x14ac:dyDescent="0.3">
      <c r="A952" s="4">
        <v>45671</v>
      </c>
      <c r="B952" s="4" t="s">
        <v>95</v>
      </c>
      <c r="C952" s="5" t="s">
        <v>231</v>
      </c>
      <c r="D952" s="5" t="s">
        <v>33</v>
      </c>
      <c r="E952" s="5" t="s">
        <v>120</v>
      </c>
      <c r="F952" s="5" t="s">
        <v>60</v>
      </c>
      <c r="G952" s="5" t="s">
        <v>28</v>
      </c>
      <c r="H952" s="5">
        <v>82</v>
      </c>
      <c r="I952" s="5">
        <v>822</v>
      </c>
      <c r="J952" s="5">
        <v>1445</v>
      </c>
      <c r="K952" s="6">
        <f t="shared" si="56"/>
        <v>67404</v>
      </c>
      <c r="L952" s="6">
        <f t="shared" si="57"/>
        <v>118490</v>
      </c>
      <c r="M952" s="6">
        <f t="shared" si="58"/>
        <v>51086</v>
      </c>
      <c r="N952" s="6" t="str">
        <f t="shared" si="59"/>
        <v>profit</v>
      </c>
    </row>
    <row r="953" spans="1:14" ht="16.5" thickTop="1" thickBot="1" x14ac:dyDescent="0.3">
      <c r="A953" s="4">
        <v>45641</v>
      </c>
      <c r="B953" s="4" t="s">
        <v>190</v>
      </c>
      <c r="C953" s="5" t="s">
        <v>351</v>
      </c>
      <c r="D953" s="5" t="s">
        <v>33</v>
      </c>
      <c r="E953" s="5" t="s">
        <v>99</v>
      </c>
      <c r="F953" s="5" t="s">
        <v>39</v>
      </c>
      <c r="G953" s="5" t="s">
        <v>19</v>
      </c>
      <c r="H953" s="5">
        <v>68</v>
      </c>
      <c r="I953" s="5">
        <v>815</v>
      </c>
      <c r="J953" s="5">
        <v>808</v>
      </c>
      <c r="K953" s="6">
        <f t="shared" si="56"/>
        <v>55420</v>
      </c>
      <c r="L953" s="6">
        <f t="shared" si="57"/>
        <v>54944</v>
      </c>
      <c r="M953" s="6">
        <f t="shared" si="58"/>
        <v>-476</v>
      </c>
      <c r="N953" s="6" t="str">
        <f t="shared" si="59"/>
        <v>loss</v>
      </c>
    </row>
    <row r="954" spans="1:14" ht="16.5" thickTop="1" thickBot="1" x14ac:dyDescent="0.3">
      <c r="A954" s="4">
        <v>45643</v>
      </c>
      <c r="B954" s="4" t="s">
        <v>190</v>
      </c>
      <c r="C954" s="5" t="s">
        <v>352</v>
      </c>
      <c r="D954" s="5" t="s">
        <v>33</v>
      </c>
      <c r="E954" s="5" t="s">
        <v>99</v>
      </c>
      <c r="F954" s="5" t="s">
        <v>64</v>
      </c>
      <c r="G954" s="5" t="s">
        <v>19</v>
      </c>
      <c r="H954" s="5">
        <v>88</v>
      </c>
      <c r="I954" s="5">
        <v>674</v>
      </c>
      <c r="J954" s="5">
        <v>891</v>
      </c>
      <c r="K954" s="6">
        <f t="shared" si="56"/>
        <v>59312</v>
      </c>
      <c r="L954" s="6">
        <f t="shared" si="57"/>
        <v>78408</v>
      </c>
      <c r="M954" s="6">
        <f t="shared" si="58"/>
        <v>19096</v>
      </c>
      <c r="N954" s="6" t="str">
        <f t="shared" si="59"/>
        <v>profit</v>
      </c>
    </row>
    <row r="955" spans="1:14" ht="16.5" thickTop="1" thickBot="1" x14ac:dyDescent="0.3">
      <c r="A955" s="4">
        <v>45644</v>
      </c>
      <c r="B955" s="4" t="s">
        <v>190</v>
      </c>
      <c r="C955" s="5" t="s">
        <v>353</v>
      </c>
      <c r="D955" s="5" t="s">
        <v>33</v>
      </c>
      <c r="E955" s="5" t="s">
        <v>99</v>
      </c>
      <c r="F955" s="5" t="s">
        <v>64</v>
      </c>
      <c r="G955" s="5" t="s">
        <v>19</v>
      </c>
      <c r="H955" s="5">
        <v>64</v>
      </c>
      <c r="I955" s="5">
        <v>665</v>
      </c>
      <c r="J955" s="5">
        <v>783</v>
      </c>
      <c r="K955" s="6">
        <f t="shared" si="56"/>
        <v>42560</v>
      </c>
      <c r="L955" s="6">
        <f t="shared" si="57"/>
        <v>50112</v>
      </c>
      <c r="M955" s="6">
        <f t="shared" si="58"/>
        <v>7552</v>
      </c>
      <c r="N955" s="6" t="str">
        <f t="shared" si="59"/>
        <v>profit</v>
      </c>
    </row>
    <row r="956" spans="1:14" ht="16.5" thickTop="1" thickBot="1" x14ac:dyDescent="0.3">
      <c r="A956" s="4">
        <v>45645</v>
      </c>
      <c r="B956" s="4" t="s">
        <v>190</v>
      </c>
      <c r="C956" s="5" t="s">
        <v>354</v>
      </c>
      <c r="D956" s="5" t="s">
        <v>33</v>
      </c>
      <c r="E956" s="5" t="s">
        <v>99</v>
      </c>
      <c r="F956" s="5" t="s">
        <v>60</v>
      </c>
      <c r="G956" s="5" t="s">
        <v>19</v>
      </c>
      <c r="H956" s="5">
        <v>81</v>
      </c>
      <c r="I956" s="5">
        <v>801</v>
      </c>
      <c r="J956" s="5">
        <v>846</v>
      </c>
      <c r="K956" s="6">
        <f t="shared" si="56"/>
        <v>64881</v>
      </c>
      <c r="L956" s="6">
        <f t="shared" si="57"/>
        <v>68526</v>
      </c>
      <c r="M956" s="6">
        <f t="shared" si="58"/>
        <v>3645</v>
      </c>
      <c r="N956" s="6" t="str">
        <f t="shared" si="59"/>
        <v>profit</v>
      </c>
    </row>
    <row r="957" spans="1:14" ht="16.5" thickTop="1" thickBot="1" x14ac:dyDescent="0.3">
      <c r="A957" s="4">
        <v>45647</v>
      </c>
      <c r="B957" s="4" t="s">
        <v>190</v>
      </c>
      <c r="C957" s="5" t="s">
        <v>355</v>
      </c>
      <c r="D957" s="5" t="s">
        <v>33</v>
      </c>
      <c r="E957" s="5" t="s">
        <v>99</v>
      </c>
      <c r="F957" s="5" t="s">
        <v>30</v>
      </c>
      <c r="G957" s="5" t="s">
        <v>19</v>
      </c>
      <c r="H957" s="5">
        <v>74</v>
      </c>
      <c r="I957" s="5">
        <v>734</v>
      </c>
      <c r="J957" s="5">
        <v>886</v>
      </c>
      <c r="K957" s="6">
        <f t="shared" si="56"/>
        <v>54316</v>
      </c>
      <c r="L957" s="6">
        <f t="shared" si="57"/>
        <v>65564</v>
      </c>
      <c r="M957" s="6">
        <f t="shared" si="58"/>
        <v>11248</v>
      </c>
      <c r="N957" s="6" t="str">
        <f t="shared" si="59"/>
        <v>profit</v>
      </c>
    </row>
    <row r="958" spans="1:14" ht="16.5" thickTop="1" thickBot="1" x14ac:dyDescent="0.3">
      <c r="A958" s="4">
        <v>45677</v>
      </c>
      <c r="B958" s="4" t="s">
        <v>95</v>
      </c>
      <c r="C958" s="5" t="s">
        <v>129</v>
      </c>
      <c r="D958" s="5" t="s">
        <v>16</v>
      </c>
      <c r="E958" s="5" t="s">
        <v>37</v>
      </c>
      <c r="F958" s="5" t="s">
        <v>155</v>
      </c>
      <c r="G958" s="5" t="s">
        <v>19</v>
      </c>
      <c r="H958" s="5">
        <v>10</v>
      </c>
      <c r="I958" s="5">
        <v>519</v>
      </c>
      <c r="J958" s="5">
        <v>1420</v>
      </c>
      <c r="K958" s="6">
        <f t="shared" si="56"/>
        <v>5190</v>
      </c>
      <c r="L958" s="6">
        <f t="shared" si="57"/>
        <v>14200</v>
      </c>
      <c r="M958" s="6">
        <f t="shared" si="58"/>
        <v>9010</v>
      </c>
      <c r="N958" s="6" t="str">
        <f t="shared" si="59"/>
        <v>profit</v>
      </c>
    </row>
    <row r="959" spans="1:14" ht="16.5" thickTop="1" thickBot="1" x14ac:dyDescent="0.3">
      <c r="A959" s="4">
        <v>45649</v>
      </c>
      <c r="B959" s="4" t="s">
        <v>190</v>
      </c>
      <c r="C959" s="5" t="s">
        <v>356</v>
      </c>
      <c r="D959" s="5" t="s">
        <v>33</v>
      </c>
      <c r="E959" s="5" t="s">
        <v>120</v>
      </c>
      <c r="F959" s="5" t="s">
        <v>44</v>
      </c>
      <c r="G959" s="5" t="s">
        <v>19</v>
      </c>
      <c r="H959" s="5">
        <v>94</v>
      </c>
      <c r="I959" s="5">
        <v>564</v>
      </c>
      <c r="J959" s="5">
        <v>941</v>
      </c>
      <c r="K959" s="6">
        <f t="shared" si="56"/>
        <v>53016</v>
      </c>
      <c r="L959" s="6">
        <f t="shared" si="57"/>
        <v>88454</v>
      </c>
      <c r="M959" s="6">
        <f t="shared" si="58"/>
        <v>35438</v>
      </c>
      <c r="N959" s="6" t="str">
        <f t="shared" si="59"/>
        <v>profit</v>
      </c>
    </row>
    <row r="960" spans="1:14" ht="16.5" thickTop="1" thickBot="1" x14ac:dyDescent="0.3">
      <c r="A960" s="4">
        <v>45650</v>
      </c>
      <c r="B960" s="4" t="s">
        <v>190</v>
      </c>
      <c r="C960" s="5" t="s">
        <v>357</v>
      </c>
      <c r="D960" s="5" t="s">
        <v>33</v>
      </c>
      <c r="E960" s="5" t="s">
        <v>120</v>
      </c>
      <c r="F960" s="5" t="s">
        <v>153</v>
      </c>
      <c r="G960" s="5" t="s">
        <v>19</v>
      </c>
      <c r="H960" s="5">
        <v>50</v>
      </c>
      <c r="I960" s="5">
        <v>545</v>
      </c>
      <c r="J960" s="5">
        <v>1050</v>
      </c>
      <c r="K960" s="6">
        <f t="shared" si="56"/>
        <v>27250</v>
      </c>
      <c r="L960" s="6">
        <f t="shared" si="57"/>
        <v>52500</v>
      </c>
      <c r="M960" s="6">
        <f t="shared" si="58"/>
        <v>25250</v>
      </c>
      <c r="N960" s="6" t="str">
        <f t="shared" si="59"/>
        <v>profit</v>
      </c>
    </row>
    <row r="961" spans="1:14" ht="16.5" thickTop="1" thickBot="1" x14ac:dyDescent="0.3">
      <c r="A961" s="4">
        <v>45651</v>
      </c>
      <c r="B961" s="4" t="s">
        <v>190</v>
      </c>
      <c r="C961" s="5" t="s">
        <v>358</v>
      </c>
      <c r="D961" s="5" t="s">
        <v>33</v>
      </c>
      <c r="E961" s="5" t="s">
        <v>120</v>
      </c>
      <c r="F961" s="5" t="s">
        <v>155</v>
      </c>
      <c r="G961" s="5" t="s">
        <v>19</v>
      </c>
      <c r="H961" s="5">
        <v>60</v>
      </c>
      <c r="I961" s="5">
        <v>783</v>
      </c>
      <c r="J961" s="5">
        <v>1422</v>
      </c>
      <c r="K961" s="6">
        <f t="shared" si="56"/>
        <v>46980</v>
      </c>
      <c r="L961" s="6">
        <f t="shared" si="57"/>
        <v>85320</v>
      </c>
      <c r="M961" s="6">
        <f t="shared" si="58"/>
        <v>38340</v>
      </c>
      <c r="N961" s="6" t="str">
        <f t="shared" si="59"/>
        <v>profit</v>
      </c>
    </row>
    <row r="962" spans="1:14" ht="16.5" thickTop="1" thickBot="1" x14ac:dyDescent="0.3">
      <c r="A962" s="4">
        <v>45652</v>
      </c>
      <c r="B962" s="4" t="s">
        <v>190</v>
      </c>
      <c r="C962" s="5" t="s">
        <v>359</v>
      </c>
      <c r="D962" s="5" t="s">
        <v>33</v>
      </c>
      <c r="E962" s="5" t="s">
        <v>120</v>
      </c>
      <c r="F962" s="5" t="s">
        <v>18</v>
      </c>
      <c r="G962" s="5" t="s">
        <v>19</v>
      </c>
      <c r="H962" s="5">
        <v>63</v>
      </c>
      <c r="I962" s="5">
        <v>746</v>
      </c>
      <c r="J962" s="5">
        <v>1075</v>
      </c>
      <c r="K962" s="6">
        <f t="shared" ref="K962:K993" si="60">H962*I962</f>
        <v>46998</v>
      </c>
      <c r="L962" s="6">
        <f t="shared" ref="L962:L993" si="61">H962*J962</f>
        <v>67725</v>
      </c>
      <c r="M962" s="6">
        <f t="shared" ref="M962:M993" si="62">L962-K962</f>
        <v>20727</v>
      </c>
      <c r="N962" s="6" t="str">
        <f t="shared" ref="N962:N993" si="63">IF(M962&gt;0,"profit","loss")</f>
        <v>profit</v>
      </c>
    </row>
    <row r="963" spans="1:14" ht="16.5" thickTop="1" thickBot="1" x14ac:dyDescent="0.3">
      <c r="A963" s="4">
        <v>45654</v>
      </c>
      <c r="B963" s="4" t="s">
        <v>190</v>
      </c>
      <c r="C963" s="5" t="s">
        <v>360</v>
      </c>
      <c r="D963" s="5" t="s">
        <v>33</v>
      </c>
      <c r="E963" s="5" t="s">
        <v>120</v>
      </c>
      <c r="F963" s="5" t="s">
        <v>23</v>
      </c>
      <c r="G963" s="5" t="s">
        <v>28</v>
      </c>
      <c r="H963" s="5">
        <v>86</v>
      </c>
      <c r="I963" s="5">
        <v>834</v>
      </c>
      <c r="J963" s="5">
        <v>1372</v>
      </c>
      <c r="K963" s="6">
        <f t="shared" si="60"/>
        <v>71724</v>
      </c>
      <c r="L963" s="6">
        <f t="shared" si="61"/>
        <v>117992</v>
      </c>
      <c r="M963" s="6">
        <f t="shared" si="62"/>
        <v>46268</v>
      </c>
      <c r="N963" s="6" t="str">
        <f t="shared" si="63"/>
        <v>profit</v>
      </c>
    </row>
    <row r="964" spans="1:14" ht="16.5" thickTop="1" thickBot="1" x14ac:dyDescent="0.3">
      <c r="A964" s="4">
        <v>45683</v>
      </c>
      <c r="B964" s="4" t="s">
        <v>95</v>
      </c>
      <c r="C964" s="5" t="s">
        <v>243</v>
      </c>
      <c r="D964" s="5" t="s">
        <v>16</v>
      </c>
      <c r="E964" s="5" t="s">
        <v>37</v>
      </c>
      <c r="F964" s="5" t="s">
        <v>27</v>
      </c>
      <c r="G964" s="5" t="s">
        <v>19</v>
      </c>
      <c r="H964" s="5">
        <v>17</v>
      </c>
      <c r="I964" s="5">
        <v>922</v>
      </c>
      <c r="J964" s="5">
        <v>899</v>
      </c>
      <c r="K964" s="6">
        <f t="shared" si="60"/>
        <v>15674</v>
      </c>
      <c r="L964" s="6">
        <f t="shared" si="61"/>
        <v>15283</v>
      </c>
      <c r="M964" s="6">
        <f t="shared" si="62"/>
        <v>-391</v>
      </c>
      <c r="N964" s="6" t="str">
        <f t="shared" si="63"/>
        <v>loss</v>
      </c>
    </row>
    <row r="965" spans="1:14" ht="16.5" thickTop="1" thickBot="1" x14ac:dyDescent="0.3">
      <c r="A965" s="4">
        <v>45655</v>
      </c>
      <c r="B965" s="4" t="s">
        <v>190</v>
      </c>
      <c r="C965" s="5" t="s">
        <v>361</v>
      </c>
      <c r="D965" s="5" t="s">
        <v>33</v>
      </c>
      <c r="E965" s="5" t="s">
        <v>120</v>
      </c>
      <c r="F965" s="5" t="s">
        <v>25</v>
      </c>
      <c r="G965" s="5" t="s">
        <v>28</v>
      </c>
      <c r="H965" s="5">
        <v>51</v>
      </c>
      <c r="I965" s="5">
        <v>944</v>
      </c>
      <c r="J965" s="5">
        <v>1062</v>
      </c>
      <c r="K965" s="6">
        <f t="shared" si="60"/>
        <v>48144</v>
      </c>
      <c r="L965" s="6">
        <f t="shared" si="61"/>
        <v>54162</v>
      </c>
      <c r="M965" s="6">
        <f t="shared" si="62"/>
        <v>6018</v>
      </c>
      <c r="N965" s="6" t="str">
        <f t="shared" si="63"/>
        <v>profit</v>
      </c>
    </row>
    <row r="966" spans="1:14" ht="16.5" thickTop="1" thickBot="1" x14ac:dyDescent="0.3">
      <c r="A966" s="4">
        <v>45656</v>
      </c>
      <c r="B966" s="4" t="s">
        <v>190</v>
      </c>
      <c r="C966" s="5" t="s">
        <v>362</v>
      </c>
      <c r="D966" s="5" t="s">
        <v>33</v>
      </c>
      <c r="E966" s="5" t="s">
        <v>120</v>
      </c>
      <c r="F966" s="5" t="s">
        <v>25</v>
      </c>
      <c r="G966" s="5" t="s">
        <v>28</v>
      </c>
      <c r="H966" s="5">
        <v>75</v>
      </c>
      <c r="I966" s="5">
        <v>547</v>
      </c>
      <c r="J966" s="5">
        <v>1203</v>
      </c>
      <c r="K966" s="6">
        <f t="shared" si="60"/>
        <v>41025</v>
      </c>
      <c r="L966" s="6">
        <f t="shared" si="61"/>
        <v>90225</v>
      </c>
      <c r="M966" s="6">
        <f t="shared" si="62"/>
        <v>49200</v>
      </c>
      <c r="N966" s="6" t="str">
        <f t="shared" si="63"/>
        <v>profit</v>
      </c>
    </row>
    <row r="967" spans="1:14" ht="16.5" thickTop="1" thickBot="1" x14ac:dyDescent="0.3">
      <c r="A967" s="4">
        <v>45657</v>
      </c>
      <c r="B967" s="4" t="s">
        <v>190</v>
      </c>
      <c r="C967" s="5" t="s">
        <v>363</v>
      </c>
      <c r="D967" s="5" t="s">
        <v>33</v>
      </c>
      <c r="E967" s="5" t="s">
        <v>120</v>
      </c>
      <c r="F967" s="5" t="s">
        <v>27</v>
      </c>
      <c r="G967" s="5" t="s">
        <v>28</v>
      </c>
      <c r="H967" s="5">
        <v>64</v>
      </c>
      <c r="I967" s="5">
        <v>918</v>
      </c>
      <c r="J967" s="5">
        <v>907</v>
      </c>
      <c r="K967" s="6">
        <f t="shared" si="60"/>
        <v>58752</v>
      </c>
      <c r="L967" s="6">
        <f t="shared" si="61"/>
        <v>58048</v>
      </c>
      <c r="M967" s="6">
        <f t="shared" si="62"/>
        <v>-704</v>
      </c>
      <c r="N967" s="6" t="str">
        <f t="shared" si="63"/>
        <v>loss</v>
      </c>
    </row>
    <row r="968" spans="1:14" ht="16.5" thickTop="1" thickBot="1" x14ac:dyDescent="0.3">
      <c r="A968" s="4">
        <v>45687</v>
      </c>
      <c r="B968" s="4" t="s">
        <v>95</v>
      </c>
      <c r="C968" s="5" t="s">
        <v>247</v>
      </c>
      <c r="D968" s="5" t="s">
        <v>16</v>
      </c>
      <c r="E968" s="5" t="s">
        <v>37</v>
      </c>
      <c r="F968" s="5" t="s">
        <v>30</v>
      </c>
      <c r="G968" s="5" t="s">
        <v>28</v>
      </c>
      <c r="H968" s="5">
        <v>12</v>
      </c>
      <c r="I968" s="5">
        <v>519</v>
      </c>
      <c r="J968" s="5">
        <v>1212</v>
      </c>
      <c r="K968" s="6">
        <f t="shared" si="60"/>
        <v>6228</v>
      </c>
      <c r="L968" s="6">
        <f t="shared" si="61"/>
        <v>14544</v>
      </c>
      <c r="M968" s="6">
        <f t="shared" si="62"/>
        <v>8316</v>
      </c>
      <c r="N968" s="6" t="str">
        <f t="shared" si="63"/>
        <v>profit</v>
      </c>
    </row>
    <row r="969" spans="1:14" ht="16.5" thickTop="1" thickBot="1" x14ac:dyDescent="0.3">
      <c r="A969" s="4">
        <v>45658</v>
      </c>
      <c r="B969" s="4" t="s">
        <v>95</v>
      </c>
      <c r="C969" s="5" t="s">
        <v>364</v>
      </c>
      <c r="D969" s="5" t="s">
        <v>33</v>
      </c>
      <c r="E969" s="5" t="s">
        <v>120</v>
      </c>
      <c r="F969" s="5" t="s">
        <v>30</v>
      </c>
      <c r="G969" s="5" t="s">
        <v>19</v>
      </c>
      <c r="H969" s="5">
        <v>74</v>
      </c>
      <c r="I969" s="5">
        <v>965</v>
      </c>
      <c r="J969" s="5">
        <v>906</v>
      </c>
      <c r="K969" s="6">
        <f t="shared" si="60"/>
        <v>71410</v>
      </c>
      <c r="L969" s="6">
        <f t="shared" si="61"/>
        <v>67044</v>
      </c>
      <c r="M969" s="6">
        <f t="shared" si="62"/>
        <v>-4366</v>
      </c>
      <c r="N969" s="6" t="str">
        <f t="shared" si="63"/>
        <v>loss</v>
      </c>
    </row>
    <row r="970" spans="1:14" ht="16.5" thickTop="1" thickBot="1" x14ac:dyDescent="0.3">
      <c r="A970" s="4">
        <v>45666</v>
      </c>
      <c r="B970" s="4" t="s">
        <v>95</v>
      </c>
      <c r="C970" s="5" t="s">
        <v>365</v>
      </c>
      <c r="D970" s="5" t="s">
        <v>33</v>
      </c>
      <c r="E970" s="5" t="s">
        <v>99</v>
      </c>
      <c r="F970" s="5" t="s">
        <v>35</v>
      </c>
      <c r="G970" s="5" t="s">
        <v>28</v>
      </c>
      <c r="H970" s="5">
        <v>100</v>
      </c>
      <c r="I970" s="5">
        <v>667</v>
      </c>
      <c r="J970" s="5">
        <v>1109</v>
      </c>
      <c r="K970" s="6">
        <f t="shared" si="60"/>
        <v>66700</v>
      </c>
      <c r="L970" s="6">
        <f t="shared" si="61"/>
        <v>110900</v>
      </c>
      <c r="M970" s="6">
        <f t="shared" si="62"/>
        <v>44200</v>
      </c>
      <c r="N970" s="6" t="str">
        <f t="shared" si="63"/>
        <v>profit</v>
      </c>
    </row>
    <row r="971" spans="1:14" ht="16.5" thickTop="1" thickBot="1" x14ac:dyDescent="0.3">
      <c r="A971" s="4">
        <v>45667</v>
      </c>
      <c r="B971" s="4" t="s">
        <v>95</v>
      </c>
      <c r="C971" s="5" t="s">
        <v>366</v>
      </c>
      <c r="D971" s="5" t="s">
        <v>33</v>
      </c>
      <c r="E971" s="5" t="s">
        <v>99</v>
      </c>
      <c r="F971" s="5" t="s">
        <v>39</v>
      </c>
      <c r="G971" s="5" t="s">
        <v>28</v>
      </c>
      <c r="H971" s="5">
        <v>60</v>
      </c>
      <c r="I971" s="5">
        <v>509</v>
      </c>
      <c r="J971" s="5">
        <v>954</v>
      </c>
      <c r="K971" s="6">
        <f t="shared" si="60"/>
        <v>30540</v>
      </c>
      <c r="L971" s="6">
        <f t="shared" si="61"/>
        <v>57240</v>
      </c>
      <c r="M971" s="6">
        <f t="shared" si="62"/>
        <v>26700</v>
      </c>
      <c r="N971" s="6" t="str">
        <f t="shared" si="63"/>
        <v>profit</v>
      </c>
    </row>
    <row r="972" spans="1:14" ht="16.5" thickTop="1" thickBot="1" x14ac:dyDescent="0.3">
      <c r="A972" s="4">
        <v>45668</v>
      </c>
      <c r="B972" s="4" t="s">
        <v>95</v>
      </c>
      <c r="C972" s="5" t="s">
        <v>367</v>
      </c>
      <c r="D972" s="5" t="s">
        <v>33</v>
      </c>
      <c r="E972" s="5" t="s">
        <v>99</v>
      </c>
      <c r="F972" s="5" t="s">
        <v>39</v>
      </c>
      <c r="G972" s="5" t="s">
        <v>28</v>
      </c>
      <c r="H972" s="5">
        <v>93</v>
      </c>
      <c r="I972" s="5">
        <v>814</v>
      </c>
      <c r="J972" s="5">
        <v>832</v>
      </c>
      <c r="K972" s="6">
        <f t="shared" si="60"/>
        <v>75702</v>
      </c>
      <c r="L972" s="6">
        <f t="shared" si="61"/>
        <v>77376</v>
      </c>
      <c r="M972" s="6">
        <f t="shared" si="62"/>
        <v>1674</v>
      </c>
      <c r="N972" s="6" t="str">
        <f t="shared" si="63"/>
        <v>profit</v>
      </c>
    </row>
    <row r="973" spans="1:14" ht="16.5" thickTop="1" thickBot="1" x14ac:dyDescent="0.3">
      <c r="A973" s="4">
        <v>45669</v>
      </c>
      <c r="B973" s="4" t="s">
        <v>95</v>
      </c>
      <c r="C973" s="5" t="s">
        <v>368</v>
      </c>
      <c r="D973" s="5" t="s">
        <v>33</v>
      </c>
      <c r="E973" s="5" t="s">
        <v>99</v>
      </c>
      <c r="F973" s="5" t="s">
        <v>64</v>
      </c>
      <c r="G973" s="5" t="s">
        <v>19</v>
      </c>
      <c r="H973" s="5">
        <v>86</v>
      </c>
      <c r="I973" s="5">
        <v>567</v>
      </c>
      <c r="J973" s="5">
        <v>1491</v>
      </c>
      <c r="K973" s="6">
        <f t="shared" si="60"/>
        <v>48762</v>
      </c>
      <c r="L973" s="6">
        <f t="shared" si="61"/>
        <v>128226</v>
      </c>
      <c r="M973" s="6">
        <f t="shared" si="62"/>
        <v>79464</v>
      </c>
      <c r="N973" s="6" t="str">
        <f t="shared" si="63"/>
        <v>profit</v>
      </c>
    </row>
    <row r="974" spans="1:14" ht="16.5" thickTop="1" thickBot="1" x14ac:dyDescent="0.3">
      <c r="A974" s="4">
        <v>45670</v>
      </c>
      <c r="B974" s="4" t="s">
        <v>95</v>
      </c>
      <c r="C974" s="5" t="s">
        <v>369</v>
      </c>
      <c r="D974" s="5" t="s">
        <v>33</v>
      </c>
      <c r="E974" s="5" t="s">
        <v>99</v>
      </c>
      <c r="F974" s="5" t="s">
        <v>64</v>
      </c>
      <c r="G974" s="5" t="s">
        <v>28</v>
      </c>
      <c r="H974" s="5">
        <v>54</v>
      </c>
      <c r="I974" s="5">
        <v>674</v>
      </c>
      <c r="J974" s="5">
        <v>787</v>
      </c>
      <c r="K974" s="6">
        <f t="shared" si="60"/>
        <v>36396</v>
      </c>
      <c r="L974" s="6">
        <f t="shared" si="61"/>
        <v>42498</v>
      </c>
      <c r="M974" s="6">
        <f t="shared" si="62"/>
        <v>6102</v>
      </c>
      <c r="N974" s="6" t="str">
        <f t="shared" si="63"/>
        <v>profit</v>
      </c>
    </row>
    <row r="975" spans="1:14" ht="16.5" thickTop="1" thickBot="1" x14ac:dyDescent="0.3">
      <c r="A975" s="4">
        <v>45672</v>
      </c>
      <c r="B975" s="4" t="s">
        <v>95</v>
      </c>
      <c r="C975" s="5" t="s">
        <v>370</v>
      </c>
      <c r="D975" s="5" t="s">
        <v>33</v>
      </c>
      <c r="E975" s="5" t="s">
        <v>120</v>
      </c>
      <c r="F975" s="5" t="s">
        <v>39</v>
      </c>
      <c r="G975" s="5" t="s">
        <v>28</v>
      </c>
      <c r="H975" s="5">
        <v>98</v>
      </c>
      <c r="I975" s="5">
        <v>950</v>
      </c>
      <c r="J975" s="5">
        <v>1426</v>
      </c>
      <c r="K975" s="6">
        <f t="shared" si="60"/>
        <v>93100</v>
      </c>
      <c r="L975" s="6">
        <f t="shared" si="61"/>
        <v>139748</v>
      </c>
      <c r="M975" s="6">
        <f t="shared" si="62"/>
        <v>46648</v>
      </c>
      <c r="N975" s="6" t="str">
        <f t="shared" si="63"/>
        <v>profit</v>
      </c>
    </row>
    <row r="976" spans="1:14" ht="16.5" thickTop="1" thickBot="1" x14ac:dyDescent="0.3">
      <c r="A976" s="4">
        <v>45673</v>
      </c>
      <c r="B976" s="4" t="s">
        <v>95</v>
      </c>
      <c r="C976" s="5" t="s">
        <v>371</v>
      </c>
      <c r="D976" s="5" t="s">
        <v>33</v>
      </c>
      <c r="E976" s="5" t="s">
        <v>120</v>
      </c>
      <c r="F976" s="5" t="s">
        <v>30</v>
      </c>
      <c r="G976" s="5" t="s">
        <v>28</v>
      </c>
      <c r="H976" s="5">
        <v>82</v>
      </c>
      <c r="I976" s="5">
        <v>916</v>
      </c>
      <c r="J976" s="5">
        <v>1461</v>
      </c>
      <c r="K976" s="6">
        <f t="shared" si="60"/>
        <v>75112</v>
      </c>
      <c r="L976" s="6">
        <f t="shared" si="61"/>
        <v>119802</v>
      </c>
      <c r="M976" s="6">
        <f t="shared" si="62"/>
        <v>44690</v>
      </c>
      <c r="N976" s="6" t="str">
        <f t="shared" si="63"/>
        <v>profit</v>
      </c>
    </row>
    <row r="977" spans="1:17" ht="16.5" thickTop="1" thickBot="1" x14ac:dyDescent="0.3">
      <c r="A977" s="4">
        <v>45674</v>
      </c>
      <c r="B977" s="4" t="s">
        <v>95</v>
      </c>
      <c r="C977" s="5" t="s">
        <v>372</v>
      </c>
      <c r="D977" s="5" t="s">
        <v>33</v>
      </c>
      <c r="E977" s="5" t="s">
        <v>120</v>
      </c>
      <c r="F977" s="5" t="s">
        <v>113</v>
      </c>
      <c r="G977" s="5" t="s">
        <v>19</v>
      </c>
      <c r="H977" s="5">
        <v>66</v>
      </c>
      <c r="I977" s="5">
        <v>710</v>
      </c>
      <c r="J977" s="5">
        <v>1034</v>
      </c>
      <c r="K977" s="6">
        <f t="shared" si="60"/>
        <v>46860</v>
      </c>
      <c r="L977" s="6">
        <f t="shared" si="61"/>
        <v>68244</v>
      </c>
      <c r="M977" s="6">
        <f t="shared" si="62"/>
        <v>21384</v>
      </c>
      <c r="N977" s="6" t="str">
        <f t="shared" si="63"/>
        <v>profit</v>
      </c>
    </row>
    <row r="978" spans="1:17" ht="16.5" thickTop="1" thickBot="1" x14ac:dyDescent="0.3">
      <c r="A978" s="4">
        <v>45675</v>
      </c>
      <c r="B978" s="4" t="s">
        <v>95</v>
      </c>
      <c r="C978" s="5" t="s">
        <v>373</v>
      </c>
      <c r="D978" s="5" t="s">
        <v>33</v>
      </c>
      <c r="E978" s="5" t="s">
        <v>120</v>
      </c>
      <c r="F978" s="5" t="s">
        <v>44</v>
      </c>
      <c r="G978" s="5" t="s">
        <v>19</v>
      </c>
      <c r="H978" s="5">
        <v>77</v>
      </c>
      <c r="I978" s="5">
        <v>922</v>
      </c>
      <c r="J978" s="5">
        <v>1400</v>
      </c>
      <c r="K978" s="6">
        <f t="shared" si="60"/>
        <v>70994</v>
      </c>
      <c r="L978" s="6">
        <f t="shared" si="61"/>
        <v>107800</v>
      </c>
      <c r="M978" s="6">
        <f t="shared" si="62"/>
        <v>36806</v>
      </c>
      <c r="N978" s="6" t="str">
        <f t="shared" si="63"/>
        <v>profit</v>
      </c>
    </row>
    <row r="979" spans="1:17" ht="16.5" thickTop="1" thickBot="1" x14ac:dyDescent="0.3">
      <c r="A979" s="4">
        <v>45698</v>
      </c>
      <c r="B979" s="4" t="s">
        <v>239</v>
      </c>
      <c r="C979" s="5" t="s">
        <v>252</v>
      </c>
      <c r="D979" s="5" t="s">
        <v>46</v>
      </c>
      <c r="E979" s="5" t="s">
        <v>118</v>
      </c>
      <c r="F979" s="5" t="s">
        <v>30</v>
      </c>
      <c r="G979" s="5" t="s">
        <v>19</v>
      </c>
      <c r="H979" s="5">
        <v>22</v>
      </c>
      <c r="I979" s="5">
        <v>745</v>
      </c>
      <c r="J979" s="5">
        <v>1153</v>
      </c>
      <c r="K979" s="6">
        <f t="shared" si="60"/>
        <v>16390</v>
      </c>
      <c r="L979" s="6">
        <f t="shared" si="61"/>
        <v>25366</v>
      </c>
      <c r="M979" s="6">
        <f t="shared" si="62"/>
        <v>8976</v>
      </c>
      <c r="N979" s="6" t="str">
        <f t="shared" si="63"/>
        <v>profit</v>
      </c>
    </row>
    <row r="980" spans="1:17" ht="16.5" thickTop="1" thickBot="1" x14ac:dyDescent="0.3">
      <c r="A980" s="4">
        <v>45676</v>
      </c>
      <c r="B980" s="4" t="s">
        <v>95</v>
      </c>
      <c r="C980" s="5" t="s">
        <v>374</v>
      </c>
      <c r="D980" s="5" t="s">
        <v>33</v>
      </c>
      <c r="E980" s="5" t="s">
        <v>120</v>
      </c>
      <c r="F980" s="5" t="s">
        <v>153</v>
      </c>
      <c r="G980" s="5" t="s">
        <v>19</v>
      </c>
      <c r="H980" s="5">
        <v>93</v>
      </c>
      <c r="I980" s="5">
        <v>887</v>
      </c>
      <c r="J980" s="5">
        <v>993</v>
      </c>
      <c r="K980" s="6">
        <f t="shared" si="60"/>
        <v>82491</v>
      </c>
      <c r="L980" s="6">
        <f t="shared" si="61"/>
        <v>92349</v>
      </c>
      <c r="M980" s="6">
        <f t="shared" si="62"/>
        <v>9858</v>
      </c>
      <c r="N980" s="6" t="str">
        <f t="shared" si="63"/>
        <v>profit</v>
      </c>
    </row>
    <row r="981" spans="1:17" ht="16.5" thickTop="1" thickBot="1" x14ac:dyDescent="0.3">
      <c r="A981" s="4">
        <v>45700</v>
      </c>
      <c r="B981" s="4" t="s">
        <v>239</v>
      </c>
      <c r="C981" s="5" t="s">
        <v>375</v>
      </c>
      <c r="D981" s="5" t="s">
        <v>33</v>
      </c>
      <c r="E981" s="5" t="s">
        <v>99</v>
      </c>
      <c r="F981" s="5" t="s">
        <v>39</v>
      </c>
      <c r="G981" s="5" t="s">
        <v>19</v>
      </c>
      <c r="H981" s="5">
        <v>78</v>
      </c>
      <c r="I981" s="5">
        <v>709</v>
      </c>
      <c r="J981" s="5">
        <v>1494</v>
      </c>
      <c r="K981" s="6">
        <f t="shared" si="60"/>
        <v>55302</v>
      </c>
      <c r="L981" s="6">
        <f t="shared" si="61"/>
        <v>116532</v>
      </c>
      <c r="M981" s="6">
        <f t="shared" si="62"/>
        <v>61230</v>
      </c>
      <c r="N981" s="6" t="str">
        <f t="shared" si="63"/>
        <v>profit</v>
      </c>
    </row>
    <row r="982" spans="1:17" ht="16.5" thickTop="1" thickBot="1" x14ac:dyDescent="0.3">
      <c r="A982" s="4">
        <v>45701</v>
      </c>
      <c r="B982" s="4" t="s">
        <v>239</v>
      </c>
      <c r="C982" s="5" t="s">
        <v>376</v>
      </c>
      <c r="D982" s="5" t="s">
        <v>33</v>
      </c>
      <c r="E982" s="5" t="s">
        <v>99</v>
      </c>
      <c r="F982" s="5" t="s">
        <v>39</v>
      </c>
      <c r="G982" s="5" t="s">
        <v>19</v>
      </c>
      <c r="H982" s="5">
        <v>87</v>
      </c>
      <c r="I982" s="5">
        <v>714</v>
      </c>
      <c r="J982" s="5">
        <v>926</v>
      </c>
      <c r="K982" s="6">
        <f t="shared" si="60"/>
        <v>62118</v>
      </c>
      <c r="L982" s="6">
        <f t="shared" si="61"/>
        <v>80562</v>
      </c>
      <c r="M982" s="6">
        <f t="shared" si="62"/>
        <v>18444</v>
      </c>
      <c r="N982" s="6" t="str">
        <f t="shared" si="63"/>
        <v>profit</v>
      </c>
    </row>
    <row r="983" spans="1:17" ht="16.5" thickTop="1" thickBot="1" x14ac:dyDescent="0.3">
      <c r="A983" s="4">
        <v>45702</v>
      </c>
      <c r="B983" s="4" t="s">
        <v>239</v>
      </c>
      <c r="C983" s="5" t="s">
        <v>253</v>
      </c>
      <c r="D983" s="5" t="s">
        <v>33</v>
      </c>
      <c r="E983" s="5" t="s">
        <v>99</v>
      </c>
      <c r="F983" s="5" t="s">
        <v>64</v>
      </c>
      <c r="G983" s="5" t="s">
        <v>19</v>
      </c>
      <c r="H983" s="5">
        <v>90</v>
      </c>
      <c r="I983" s="5">
        <v>983</v>
      </c>
      <c r="J983" s="5">
        <v>924</v>
      </c>
      <c r="K983" s="6">
        <f t="shared" si="60"/>
        <v>88470</v>
      </c>
      <c r="L983" s="6">
        <f t="shared" si="61"/>
        <v>83160</v>
      </c>
      <c r="M983" s="6">
        <f t="shared" si="62"/>
        <v>-5310</v>
      </c>
      <c r="N983" s="6" t="str">
        <f t="shared" si="63"/>
        <v>loss</v>
      </c>
    </row>
    <row r="984" spans="1:17" ht="16.5" thickTop="1" thickBot="1" x14ac:dyDescent="0.3">
      <c r="A984" s="4">
        <v>45703</v>
      </c>
      <c r="B984" s="4" t="s">
        <v>239</v>
      </c>
      <c r="C984" s="5" t="s">
        <v>377</v>
      </c>
      <c r="D984" s="5" t="s">
        <v>33</v>
      </c>
      <c r="E984" s="5" t="s">
        <v>99</v>
      </c>
      <c r="F984" s="5" t="s">
        <v>64</v>
      </c>
      <c r="G984" s="5" t="s">
        <v>19</v>
      </c>
      <c r="H984" s="5">
        <v>78</v>
      </c>
      <c r="I984" s="5">
        <v>789</v>
      </c>
      <c r="J984" s="5">
        <v>1064</v>
      </c>
      <c r="K984" s="6">
        <f t="shared" si="60"/>
        <v>61542</v>
      </c>
      <c r="L984" s="6">
        <f t="shared" si="61"/>
        <v>82992</v>
      </c>
      <c r="M984" s="6">
        <f t="shared" si="62"/>
        <v>21450</v>
      </c>
      <c r="N984" s="6" t="str">
        <f t="shared" si="63"/>
        <v>profit</v>
      </c>
    </row>
    <row r="985" spans="1:17" ht="16.5" thickTop="1" thickBot="1" x14ac:dyDescent="0.3">
      <c r="A985" s="4">
        <v>45704</v>
      </c>
      <c r="B985" s="4" t="s">
        <v>239</v>
      </c>
      <c r="C985" s="5" t="s">
        <v>378</v>
      </c>
      <c r="D985" s="5" t="s">
        <v>33</v>
      </c>
      <c r="E985" s="5" t="s">
        <v>99</v>
      </c>
      <c r="F985" s="5" t="s">
        <v>60</v>
      </c>
      <c r="G985" s="5" t="s">
        <v>28</v>
      </c>
      <c r="H985" s="5">
        <v>74</v>
      </c>
      <c r="I985" s="5">
        <v>835</v>
      </c>
      <c r="J985" s="5">
        <v>1096</v>
      </c>
      <c r="K985" s="6">
        <f t="shared" si="60"/>
        <v>61790</v>
      </c>
      <c r="L985" s="6">
        <f t="shared" si="61"/>
        <v>81104</v>
      </c>
      <c r="M985" s="6">
        <f t="shared" si="62"/>
        <v>19314</v>
      </c>
      <c r="N985" s="6" t="str">
        <f t="shared" si="63"/>
        <v>profit</v>
      </c>
    </row>
    <row r="986" spans="1:17" ht="16.5" thickTop="1" thickBot="1" x14ac:dyDescent="0.3">
      <c r="A986" s="4">
        <v>45705</v>
      </c>
      <c r="B986" s="4" t="s">
        <v>239</v>
      </c>
      <c r="C986" s="5" t="s">
        <v>379</v>
      </c>
      <c r="D986" s="5" t="s">
        <v>33</v>
      </c>
      <c r="E986" s="5" t="s">
        <v>99</v>
      </c>
      <c r="F986" s="5" t="s">
        <v>39</v>
      </c>
      <c r="G986" s="5" t="s">
        <v>28</v>
      </c>
      <c r="H986" s="5">
        <v>94</v>
      </c>
      <c r="I986" s="5">
        <v>952</v>
      </c>
      <c r="J986" s="5">
        <v>1425</v>
      </c>
      <c r="K986" s="6">
        <f t="shared" si="60"/>
        <v>89488</v>
      </c>
      <c r="L986" s="6">
        <f t="shared" si="61"/>
        <v>133950</v>
      </c>
      <c r="M986" s="6">
        <f t="shared" si="62"/>
        <v>44462</v>
      </c>
      <c r="N986" s="6" t="str">
        <f t="shared" si="63"/>
        <v>profit</v>
      </c>
    </row>
    <row r="987" spans="1:17" ht="16.5" thickTop="1" thickBot="1" x14ac:dyDescent="0.3">
      <c r="A987" s="4">
        <v>45706</v>
      </c>
      <c r="B987" s="4" t="s">
        <v>239</v>
      </c>
      <c r="C987" s="5" t="s">
        <v>380</v>
      </c>
      <c r="D987" s="5" t="s">
        <v>33</v>
      </c>
      <c r="E987" s="5" t="s">
        <v>99</v>
      </c>
      <c r="F987" s="5" t="s">
        <v>30</v>
      </c>
      <c r="G987" s="5" t="s">
        <v>28</v>
      </c>
      <c r="H987" s="5">
        <v>55</v>
      </c>
      <c r="I987" s="5">
        <v>558</v>
      </c>
      <c r="J987" s="5">
        <v>1203</v>
      </c>
      <c r="K987" s="6">
        <f t="shared" si="60"/>
        <v>30690</v>
      </c>
      <c r="L987" s="6">
        <f t="shared" si="61"/>
        <v>66165</v>
      </c>
      <c r="M987" s="6">
        <f t="shared" si="62"/>
        <v>35475</v>
      </c>
      <c r="N987" s="6" t="str">
        <f t="shared" si="63"/>
        <v>profit</v>
      </c>
      <c r="Q987" t="e">
        <f>#REF!/#REF!</f>
        <v>#REF!</v>
      </c>
    </row>
    <row r="988" spans="1:17" ht="16.5" thickTop="1" thickBot="1" x14ac:dyDescent="0.3">
      <c r="A988" s="4">
        <v>45707</v>
      </c>
      <c r="B988" s="4" t="s">
        <v>239</v>
      </c>
      <c r="C988" s="5" t="s">
        <v>381</v>
      </c>
      <c r="D988" s="5" t="s">
        <v>33</v>
      </c>
      <c r="E988" s="5" t="s">
        <v>99</v>
      </c>
      <c r="F988" s="5" t="s">
        <v>113</v>
      </c>
      <c r="G988" s="5" t="s">
        <v>28</v>
      </c>
      <c r="H988" s="5">
        <v>56</v>
      </c>
      <c r="I988" s="5">
        <v>562</v>
      </c>
      <c r="J988" s="5">
        <v>1341</v>
      </c>
      <c r="K988" s="6">
        <f t="shared" si="60"/>
        <v>31472</v>
      </c>
      <c r="L988" s="6">
        <f t="shared" si="61"/>
        <v>75096</v>
      </c>
      <c r="M988" s="6">
        <f t="shared" si="62"/>
        <v>43624</v>
      </c>
      <c r="N988" s="6" t="str">
        <f t="shared" si="63"/>
        <v>profit</v>
      </c>
    </row>
    <row r="989" spans="1:17" ht="16.5" thickTop="1" thickBot="1" x14ac:dyDescent="0.3">
      <c r="A989" s="4">
        <v>45708</v>
      </c>
      <c r="B989" s="4" t="s">
        <v>239</v>
      </c>
      <c r="C989" s="5" t="s">
        <v>382</v>
      </c>
      <c r="D989" s="5" t="s">
        <v>33</v>
      </c>
      <c r="E989" s="5" t="s">
        <v>99</v>
      </c>
      <c r="F989" s="5" t="s">
        <v>44</v>
      </c>
      <c r="G989" s="5" t="s">
        <v>19</v>
      </c>
      <c r="H989" s="5">
        <v>94</v>
      </c>
      <c r="I989" s="5">
        <v>513</v>
      </c>
      <c r="J989" s="5">
        <v>1318</v>
      </c>
      <c r="K989" s="6">
        <f t="shared" si="60"/>
        <v>48222</v>
      </c>
      <c r="L989" s="6">
        <f t="shared" si="61"/>
        <v>123892</v>
      </c>
      <c r="M989" s="6">
        <f t="shared" si="62"/>
        <v>75670</v>
      </c>
      <c r="N989" s="6" t="str">
        <f t="shared" si="63"/>
        <v>profit</v>
      </c>
    </row>
    <row r="990" spans="1:17" ht="16.5" thickTop="1" thickBot="1" x14ac:dyDescent="0.3">
      <c r="A990" s="4">
        <v>45709</v>
      </c>
      <c r="B990" s="4" t="s">
        <v>239</v>
      </c>
      <c r="C990" s="5" t="s">
        <v>254</v>
      </c>
      <c r="D990" s="5" t="s">
        <v>33</v>
      </c>
      <c r="E990" s="5" t="s">
        <v>99</v>
      </c>
      <c r="F990" s="5" t="s">
        <v>153</v>
      </c>
      <c r="G990" s="5" t="s">
        <v>28</v>
      </c>
      <c r="H990" s="5">
        <v>76</v>
      </c>
      <c r="I990" s="5">
        <v>526</v>
      </c>
      <c r="J990" s="5">
        <v>1260</v>
      </c>
      <c r="K990" s="6">
        <f t="shared" si="60"/>
        <v>39976</v>
      </c>
      <c r="L990" s="6">
        <f t="shared" si="61"/>
        <v>95760</v>
      </c>
      <c r="M990" s="6">
        <f t="shared" si="62"/>
        <v>55784</v>
      </c>
      <c r="N990" s="6" t="str">
        <f t="shared" si="63"/>
        <v>profit</v>
      </c>
    </row>
    <row r="991" spans="1:17" ht="16.5" thickTop="1" thickBot="1" x14ac:dyDescent="0.3">
      <c r="A991" s="4">
        <v>45710</v>
      </c>
      <c r="B991" s="4" t="s">
        <v>239</v>
      </c>
      <c r="C991" s="5" t="s">
        <v>383</v>
      </c>
      <c r="D991" s="5" t="s">
        <v>33</v>
      </c>
      <c r="E991" s="5" t="s">
        <v>99</v>
      </c>
      <c r="F991" s="5" t="s">
        <v>155</v>
      </c>
      <c r="G991" s="5" t="s">
        <v>28</v>
      </c>
      <c r="H991" s="5">
        <v>61</v>
      </c>
      <c r="I991" s="5">
        <v>545</v>
      </c>
      <c r="J991" s="5">
        <v>915</v>
      </c>
      <c r="K991" s="6">
        <f t="shared" si="60"/>
        <v>33245</v>
      </c>
      <c r="L991" s="6">
        <f t="shared" si="61"/>
        <v>55815</v>
      </c>
      <c r="M991" s="6">
        <f t="shared" si="62"/>
        <v>22570</v>
      </c>
      <c r="N991" s="6" t="str">
        <f t="shared" si="63"/>
        <v>profit</v>
      </c>
    </row>
    <row r="992" spans="1:17" ht="16.5" thickTop="1" thickBot="1" x14ac:dyDescent="0.3">
      <c r="A992" s="4">
        <v>45711</v>
      </c>
      <c r="B992" s="4" t="s">
        <v>239</v>
      </c>
      <c r="C992" s="5" t="s">
        <v>384</v>
      </c>
      <c r="D992" s="5" t="s">
        <v>33</v>
      </c>
      <c r="E992" s="5" t="s">
        <v>99</v>
      </c>
      <c r="F992" s="5" t="s">
        <v>18</v>
      </c>
      <c r="G992" s="5" t="s">
        <v>28</v>
      </c>
      <c r="H992" s="5">
        <v>99</v>
      </c>
      <c r="I992" s="5">
        <v>943</v>
      </c>
      <c r="J992" s="5">
        <v>823</v>
      </c>
      <c r="K992" s="6">
        <f t="shared" si="60"/>
        <v>93357</v>
      </c>
      <c r="L992" s="6">
        <f t="shared" si="61"/>
        <v>81477</v>
      </c>
      <c r="M992" s="6">
        <f t="shared" si="62"/>
        <v>-11880</v>
      </c>
      <c r="N992" s="6" t="str">
        <f t="shared" si="63"/>
        <v>loss</v>
      </c>
    </row>
    <row r="993" spans="1:14" ht="16.5" thickTop="1" thickBot="1" x14ac:dyDescent="0.3">
      <c r="A993" s="4">
        <v>45712</v>
      </c>
      <c r="B993" s="7" t="s">
        <v>239</v>
      </c>
      <c r="C993" s="8" t="s">
        <v>385</v>
      </c>
      <c r="D993" s="8" t="s">
        <v>33</v>
      </c>
      <c r="E993" s="8" t="s">
        <v>120</v>
      </c>
      <c r="F993" s="8" t="s">
        <v>21</v>
      </c>
      <c r="G993" s="5" t="s">
        <v>28</v>
      </c>
      <c r="H993" s="5">
        <v>84</v>
      </c>
      <c r="I993" s="5">
        <v>738</v>
      </c>
      <c r="J993" s="5">
        <v>1080</v>
      </c>
      <c r="K993" s="6">
        <f t="shared" si="60"/>
        <v>61992</v>
      </c>
      <c r="L993" s="6">
        <f t="shared" si="61"/>
        <v>90720</v>
      </c>
      <c r="M993" s="6">
        <f t="shared" si="62"/>
        <v>28728</v>
      </c>
      <c r="N993" s="6" t="str">
        <f t="shared" si="63"/>
        <v>profit</v>
      </c>
    </row>
    <row r="994" spans="1:14" ht="15.75" thickTop="1" x14ac:dyDescent="0.25"/>
  </sheetData>
  <pageMargins left="0.7" right="0.7" top="0.75" bottom="0.75" header="0.3" footer="0.3"/>
  <pageSetup scale="49" fitToWidth="15" fitToHeight="1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5500-DEB2-4E0A-9F94-47396F016850}">
  <sheetPr>
    <tabColor theme="4" tint="-0.249977111117893"/>
  </sheetPr>
  <dimension ref="A6:B19"/>
  <sheetViews>
    <sheetView topLeftCell="A3" zoomScale="109" zoomScaleNormal="220" workbookViewId="0">
      <selection activeCell="E19" sqref="E19"/>
    </sheetView>
  </sheetViews>
  <sheetFormatPr defaultRowHeight="15" x14ac:dyDescent="0.25"/>
  <cols>
    <col min="1" max="1" width="16.140625" bestFit="1" customWidth="1"/>
    <col min="2" max="2" width="16.5703125" bestFit="1" customWidth="1"/>
    <col min="3" max="3" width="15.28515625" bestFit="1" customWidth="1"/>
    <col min="4" max="6" width="15" bestFit="1" customWidth="1"/>
    <col min="7" max="22" width="15.85546875" bestFit="1" customWidth="1"/>
    <col min="23" max="23" width="10.7109375" bestFit="1" customWidth="1"/>
  </cols>
  <sheetData>
    <row r="6" spans="1:2" x14ac:dyDescent="0.25">
      <c r="A6" s="18" t="s">
        <v>4</v>
      </c>
      <c r="B6" t="s">
        <v>411</v>
      </c>
    </row>
    <row r="7" spans="1:2" x14ac:dyDescent="0.25">
      <c r="A7" t="s">
        <v>17</v>
      </c>
      <c r="B7">
        <v>1023983</v>
      </c>
    </row>
    <row r="8" spans="1:2" x14ac:dyDescent="0.25">
      <c r="A8" t="s">
        <v>387</v>
      </c>
      <c r="B8">
        <v>137206</v>
      </c>
    </row>
    <row r="9" spans="1:2" x14ac:dyDescent="0.25">
      <c r="A9" t="s">
        <v>133</v>
      </c>
      <c r="B9">
        <v>515464</v>
      </c>
    </row>
    <row r="10" spans="1:2" x14ac:dyDescent="0.25">
      <c r="A10" t="s">
        <v>37</v>
      </c>
      <c r="B10">
        <v>2732908</v>
      </c>
    </row>
    <row r="11" spans="1:2" x14ac:dyDescent="0.25">
      <c r="A11" t="s">
        <v>118</v>
      </c>
      <c r="B11">
        <v>4793940</v>
      </c>
    </row>
    <row r="12" spans="1:2" x14ac:dyDescent="0.25">
      <c r="A12" t="s">
        <v>163</v>
      </c>
      <c r="B12">
        <v>3327327</v>
      </c>
    </row>
    <row r="13" spans="1:2" x14ac:dyDescent="0.25">
      <c r="A13" t="s">
        <v>99</v>
      </c>
      <c r="B13">
        <v>18135629</v>
      </c>
    </row>
    <row r="14" spans="1:2" x14ac:dyDescent="0.25">
      <c r="A14" t="s">
        <v>47</v>
      </c>
      <c r="B14">
        <v>1182418</v>
      </c>
    </row>
    <row r="15" spans="1:2" x14ac:dyDescent="0.25">
      <c r="A15" t="s">
        <v>120</v>
      </c>
      <c r="B15">
        <v>14643730</v>
      </c>
    </row>
    <row r="16" spans="1:2" x14ac:dyDescent="0.25">
      <c r="A16" t="s">
        <v>63</v>
      </c>
      <c r="B16">
        <v>2530939</v>
      </c>
    </row>
    <row r="17" spans="1:2" x14ac:dyDescent="0.25">
      <c r="A17" t="s">
        <v>34</v>
      </c>
      <c r="B17">
        <v>1985667</v>
      </c>
    </row>
    <row r="18" spans="1:2" x14ac:dyDescent="0.25">
      <c r="A18" t="s">
        <v>412</v>
      </c>
    </row>
    <row r="19" spans="1:2" x14ac:dyDescent="0.25">
      <c r="A19" t="s">
        <v>406</v>
      </c>
      <c r="B19">
        <v>51009211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4755-8916-4D1A-BBCB-020BDCB61B5A}">
  <dimension ref="A1:N27"/>
  <sheetViews>
    <sheetView workbookViewId="0">
      <selection activeCell="F14" sqref="F14"/>
    </sheetView>
  </sheetViews>
  <sheetFormatPr defaultRowHeight="15" x14ac:dyDescent="0.25"/>
  <cols>
    <col min="1" max="1" width="10.28515625" bestFit="1" customWidth="1"/>
    <col min="2" max="2" width="8.85546875" bestFit="1" customWidth="1"/>
    <col min="3" max="3" width="22.28515625" bestFit="1" customWidth="1"/>
    <col min="4" max="4" width="10.5703125" bestFit="1" customWidth="1"/>
    <col min="5" max="5" width="15.140625" bestFit="1" customWidth="1"/>
    <col min="6" max="6" width="15.85546875" bestFit="1" customWidth="1"/>
    <col min="7" max="7" width="9.28515625" bestFit="1" customWidth="1"/>
    <col min="8" max="8" width="10.42578125" bestFit="1" customWidth="1"/>
    <col min="9" max="10" width="8.85546875" bestFit="1" customWidth="1"/>
    <col min="11" max="11" width="14.85546875" bestFit="1" customWidth="1"/>
    <col min="12" max="12" width="11" bestFit="1" customWidth="1"/>
    <col min="13" max="14" width="8.85546875" bestFit="1" customWidth="1"/>
  </cols>
  <sheetData>
    <row r="1" spans="1:14" x14ac:dyDescent="0.25">
      <c r="A1" s="30" t="s">
        <v>415</v>
      </c>
      <c r="B1" s="30"/>
      <c r="C1" s="30"/>
      <c r="D1" s="30"/>
      <c r="E1" s="30"/>
      <c r="F1" s="30"/>
      <c r="G1" s="30"/>
      <c r="H1" s="30"/>
      <c r="I1" s="30"/>
      <c r="J1" s="30"/>
      <c r="K1" s="30"/>
      <c r="L1" s="30"/>
      <c r="M1" s="30"/>
      <c r="N1" s="30"/>
    </row>
    <row r="3" spans="1:14" x14ac:dyDescent="0.25">
      <c r="A3" t="s">
        <v>0</v>
      </c>
      <c r="B3" t="s">
        <v>1</v>
      </c>
      <c r="C3" t="s">
        <v>2</v>
      </c>
      <c r="D3" t="s">
        <v>3</v>
      </c>
      <c r="E3" t="s">
        <v>4</v>
      </c>
      <c r="F3" t="s">
        <v>5</v>
      </c>
      <c r="G3" t="s">
        <v>6</v>
      </c>
      <c r="H3" t="s">
        <v>7</v>
      </c>
      <c r="I3" t="s">
        <v>8</v>
      </c>
      <c r="J3" t="s">
        <v>9</v>
      </c>
      <c r="K3" t="s">
        <v>10</v>
      </c>
      <c r="L3" t="s">
        <v>11</v>
      </c>
      <c r="M3" t="s">
        <v>12</v>
      </c>
      <c r="N3" t="s">
        <v>13</v>
      </c>
    </row>
    <row r="4" spans="1:14" x14ac:dyDescent="0.25">
      <c r="A4" s="23">
        <v>45595</v>
      </c>
      <c r="B4" t="s">
        <v>85</v>
      </c>
      <c r="C4" t="s">
        <v>342</v>
      </c>
      <c r="D4" t="s">
        <v>33</v>
      </c>
      <c r="E4" t="s">
        <v>34</v>
      </c>
      <c r="F4" t="s">
        <v>155</v>
      </c>
      <c r="G4" t="s">
        <v>28</v>
      </c>
      <c r="H4">
        <v>97</v>
      </c>
      <c r="I4">
        <v>654</v>
      </c>
      <c r="J4">
        <v>839</v>
      </c>
      <c r="K4">
        <v>63438</v>
      </c>
      <c r="L4">
        <v>81383</v>
      </c>
      <c r="M4">
        <v>17945</v>
      </c>
      <c r="N4" t="s">
        <v>413</v>
      </c>
    </row>
    <row r="5" spans="1:14" x14ac:dyDescent="0.25">
      <c r="A5" s="23">
        <v>45594</v>
      </c>
      <c r="B5" t="s">
        <v>85</v>
      </c>
      <c r="C5" t="s">
        <v>341</v>
      </c>
      <c r="D5" t="s">
        <v>33</v>
      </c>
      <c r="E5" t="s">
        <v>34</v>
      </c>
      <c r="F5" t="s">
        <v>153</v>
      </c>
      <c r="G5" t="s">
        <v>19</v>
      </c>
      <c r="H5">
        <v>66</v>
      </c>
      <c r="I5">
        <v>701</v>
      </c>
      <c r="J5">
        <v>1204</v>
      </c>
      <c r="K5">
        <v>46266</v>
      </c>
      <c r="L5">
        <v>79464</v>
      </c>
      <c r="M5">
        <v>33198</v>
      </c>
      <c r="N5" t="s">
        <v>413</v>
      </c>
    </row>
    <row r="6" spans="1:14" x14ac:dyDescent="0.25">
      <c r="A6" s="23">
        <v>45593</v>
      </c>
      <c r="B6" t="s">
        <v>85</v>
      </c>
      <c r="C6" t="s">
        <v>340</v>
      </c>
      <c r="D6" t="s">
        <v>33</v>
      </c>
      <c r="E6" t="s">
        <v>34</v>
      </c>
      <c r="F6" t="s">
        <v>44</v>
      </c>
      <c r="G6" t="s">
        <v>28</v>
      </c>
      <c r="H6">
        <v>52</v>
      </c>
      <c r="I6">
        <v>509</v>
      </c>
      <c r="J6">
        <v>764</v>
      </c>
      <c r="K6">
        <v>26468</v>
      </c>
      <c r="L6">
        <v>39728</v>
      </c>
      <c r="M6">
        <v>13260</v>
      </c>
      <c r="N6" t="s">
        <v>413</v>
      </c>
    </row>
    <row r="7" spans="1:14" x14ac:dyDescent="0.25">
      <c r="A7" s="23">
        <v>45592</v>
      </c>
      <c r="B7" t="s">
        <v>85</v>
      </c>
      <c r="C7" t="s">
        <v>339</v>
      </c>
      <c r="D7" t="s">
        <v>33</v>
      </c>
      <c r="E7" t="s">
        <v>34</v>
      </c>
      <c r="F7" t="s">
        <v>113</v>
      </c>
      <c r="G7" t="s">
        <v>28</v>
      </c>
      <c r="H7">
        <v>71</v>
      </c>
      <c r="I7">
        <v>777</v>
      </c>
      <c r="J7">
        <v>1034</v>
      </c>
      <c r="K7">
        <v>55167</v>
      </c>
      <c r="L7">
        <v>73414</v>
      </c>
      <c r="M7">
        <v>18247</v>
      </c>
      <c r="N7" t="s">
        <v>413</v>
      </c>
    </row>
    <row r="8" spans="1:14" x14ac:dyDescent="0.25">
      <c r="A8" s="23">
        <v>45390</v>
      </c>
      <c r="B8" t="s">
        <v>31</v>
      </c>
      <c r="C8" t="s">
        <v>257</v>
      </c>
      <c r="D8" t="s">
        <v>33</v>
      </c>
      <c r="E8" t="s">
        <v>34</v>
      </c>
      <c r="F8" t="s">
        <v>44</v>
      </c>
      <c r="G8" t="s">
        <v>28</v>
      </c>
      <c r="H8">
        <v>79</v>
      </c>
      <c r="I8">
        <v>632</v>
      </c>
      <c r="J8">
        <v>1271</v>
      </c>
      <c r="K8">
        <v>49928</v>
      </c>
      <c r="L8">
        <v>100409</v>
      </c>
      <c r="M8">
        <v>50481</v>
      </c>
      <c r="N8" t="s">
        <v>413</v>
      </c>
    </row>
    <row r="9" spans="1:14" x14ac:dyDescent="0.25">
      <c r="A9" s="23">
        <v>45388</v>
      </c>
      <c r="B9" t="s">
        <v>31</v>
      </c>
      <c r="C9" t="s">
        <v>256</v>
      </c>
      <c r="D9" t="s">
        <v>33</v>
      </c>
      <c r="E9" t="s">
        <v>34</v>
      </c>
      <c r="F9" t="s">
        <v>78</v>
      </c>
      <c r="G9" t="s">
        <v>28</v>
      </c>
      <c r="H9">
        <v>100</v>
      </c>
      <c r="I9">
        <v>893</v>
      </c>
      <c r="J9">
        <v>1460</v>
      </c>
      <c r="K9">
        <v>89300</v>
      </c>
      <c r="L9">
        <v>146000</v>
      </c>
      <c r="M9">
        <v>56700</v>
      </c>
      <c r="N9" t="s">
        <v>413</v>
      </c>
    </row>
    <row r="10" spans="1:14" x14ac:dyDescent="0.25">
      <c r="A10" s="23">
        <v>45389</v>
      </c>
      <c r="B10" t="s">
        <v>31</v>
      </c>
      <c r="C10" t="s">
        <v>32</v>
      </c>
      <c r="D10" t="s">
        <v>33</v>
      </c>
      <c r="E10" t="s">
        <v>34</v>
      </c>
      <c r="F10" t="s">
        <v>35</v>
      </c>
      <c r="G10" t="s">
        <v>28</v>
      </c>
      <c r="H10">
        <v>55</v>
      </c>
      <c r="I10">
        <v>637</v>
      </c>
      <c r="J10">
        <v>1143</v>
      </c>
      <c r="K10">
        <v>35035</v>
      </c>
      <c r="L10">
        <v>62865</v>
      </c>
      <c r="M10">
        <v>27830</v>
      </c>
      <c r="N10" t="s">
        <v>413</v>
      </c>
    </row>
    <row r="11" spans="1:14" x14ac:dyDescent="0.25">
      <c r="A11" s="23">
        <v>45387</v>
      </c>
      <c r="B11" t="s">
        <v>31</v>
      </c>
      <c r="C11" t="s">
        <v>255</v>
      </c>
      <c r="D11" t="s">
        <v>33</v>
      </c>
      <c r="E11" t="s">
        <v>34</v>
      </c>
      <c r="F11" t="s">
        <v>76</v>
      </c>
      <c r="G11" t="s">
        <v>28</v>
      </c>
      <c r="H11">
        <v>65</v>
      </c>
      <c r="I11">
        <v>816</v>
      </c>
      <c r="J11">
        <v>1347</v>
      </c>
      <c r="K11">
        <v>53040</v>
      </c>
      <c r="L11">
        <v>87555</v>
      </c>
      <c r="M11">
        <v>34515</v>
      </c>
      <c r="N11" t="s">
        <v>413</v>
      </c>
    </row>
    <row r="12" spans="1:14" x14ac:dyDescent="0.25">
      <c r="A12" s="23">
        <v>45595</v>
      </c>
      <c r="B12" t="s">
        <v>85</v>
      </c>
      <c r="C12" t="s">
        <v>342</v>
      </c>
      <c r="D12" t="s">
        <v>33</v>
      </c>
      <c r="E12" t="s">
        <v>34</v>
      </c>
      <c r="F12" t="s">
        <v>155</v>
      </c>
      <c r="G12" t="s">
        <v>28</v>
      </c>
      <c r="H12">
        <v>88</v>
      </c>
      <c r="I12">
        <v>552</v>
      </c>
      <c r="J12">
        <v>1422</v>
      </c>
      <c r="K12">
        <v>48576</v>
      </c>
      <c r="L12">
        <v>125136</v>
      </c>
      <c r="M12">
        <v>76560</v>
      </c>
      <c r="N12" t="s">
        <v>413</v>
      </c>
    </row>
    <row r="13" spans="1:14" x14ac:dyDescent="0.25">
      <c r="A13" s="23">
        <v>45594</v>
      </c>
      <c r="B13" t="s">
        <v>85</v>
      </c>
      <c r="C13" t="s">
        <v>341</v>
      </c>
      <c r="D13" t="s">
        <v>33</v>
      </c>
      <c r="E13" t="s">
        <v>34</v>
      </c>
      <c r="F13" t="s">
        <v>153</v>
      </c>
      <c r="G13" t="s">
        <v>19</v>
      </c>
      <c r="H13">
        <v>99</v>
      </c>
      <c r="I13">
        <v>880</v>
      </c>
      <c r="J13">
        <v>1318</v>
      </c>
      <c r="K13">
        <v>87120</v>
      </c>
      <c r="L13">
        <v>130482</v>
      </c>
      <c r="M13">
        <v>43362</v>
      </c>
      <c r="N13" t="s">
        <v>413</v>
      </c>
    </row>
    <row r="14" spans="1:14" x14ac:dyDescent="0.25">
      <c r="A14" s="23">
        <v>45593</v>
      </c>
      <c r="B14" t="s">
        <v>85</v>
      </c>
      <c r="C14" t="s">
        <v>340</v>
      </c>
      <c r="D14" t="s">
        <v>33</v>
      </c>
      <c r="E14" t="s">
        <v>34</v>
      </c>
      <c r="F14" t="s">
        <v>44</v>
      </c>
      <c r="G14" t="s">
        <v>28</v>
      </c>
      <c r="H14">
        <v>60</v>
      </c>
      <c r="I14">
        <v>729</v>
      </c>
      <c r="J14">
        <v>759</v>
      </c>
      <c r="K14">
        <v>43740</v>
      </c>
      <c r="L14">
        <v>45540</v>
      </c>
      <c r="M14">
        <v>1800</v>
      </c>
      <c r="N14" t="s">
        <v>413</v>
      </c>
    </row>
    <row r="15" spans="1:14" x14ac:dyDescent="0.25">
      <c r="A15" s="23">
        <v>45592</v>
      </c>
      <c r="B15" t="s">
        <v>85</v>
      </c>
      <c r="C15" t="s">
        <v>339</v>
      </c>
      <c r="D15" t="s">
        <v>33</v>
      </c>
      <c r="E15" t="s">
        <v>34</v>
      </c>
      <c r="F15" t="s">
        <v>113</v>
      </c>
      <c r="G15" t="s">
        <v>28</v>
      </c>
      <c r="H15">
        <v>69</v>
      </c>
      <c r="I15">
        <v>921</v>
      </c>
      <c r="J15">
        <v>1177</v>
      </c>
      <c r="K15">
        <v>63549</v>
      </c>
      <c r="L15">
        <v>81213</v>
      </c>
      <c r="M15">
        <v>17664</v>
      </c>
      <c r="N15" t="s">
        <v>413</v>
      </c>
    </row>
    <row r="16" spans="1:14" x14ac:dyDescent="0.25">
      <c r="A16" s="23">
        <v>45390</v>
      </c>
      <c r="B16" t="s">
        <v>31</v>
      </c>
      <c r="C16" t="s">
        <v>257</v>
      </c>
      <c r="D16" t="s">
        <v>33</v>
      </c>
      <c r="E16" t="s">
        <v>34</v>
      </c>
      <c r="F16" t="s">
        <v>44</v>
      </c>
      <c r="G16" t="s">
        <v>28</v>
      </c>
      <c r="H16">
        <v>70</v>
      </c>
      <c r="I16">
        <v>878</v>
      </c>
      <c r="J16">
        <v>844</v>
      </c>
      <c r="K16">
        <v>61460</v>
      </c>
      <c r="L16">
        <v>59080</v>
      </c>
      <c r="M16">
        <v>-2380</v>
      </c>
      <c r="N16" t="s">
        <v>414</v>
      </c>
    </row>
    <row r="17" spans="1:14" x14ac:dyDescent="0.25">
      <c r="A17" s="23">
        <v>45388</v>
      </c>
      <c r="B17" t="s">
        <v>31</v>
      </c>
      <c r="C17" t="s">
        <v>256</v>
      </c>
      <c r="D17" t="s">
        <v>33</v>
      </c>
      <c r="E17" t="s">
        <v>34</v>
      </c>
      <c r="F17" t="s">
        <v>78</v>
      </c>
      <c r="G17" t="s">
        <v>28</v>
      </c>
      <c r="H17">
        <v>83</v>
      </c>
      <c r="I17">
        <v>594</v>
      </c>
      <c r="J17">
        <v>852</v>
      </c>
      <c r="K17">
        <v>49302</v>
      </c>
      <c r="L17">
        <v>70716</v>
      </c>
      <c r="M17">
        <v>21414</v>
      </c>
      <c r="N17" t="s">
        <v>413</v>
      </c>
    </row>
    <row r="18" spans="1:14" x14ac:dyDescent="0.25">
      <c r="A18" s="23">
        <v>45387</v>
      </c>
      <c r="B18" t="s">
        <v>31</v>
      </c>
      <c r="C18" t="s">
        <v>255</v>
      </c>
      <c r="D18" t="s">
        <v>33</v>
      </c>
      <c r="E18" t="s">
        <v>34</v>
      </c>
      <c r="F18" t="s">
        <v>76</v>
      </c>
      <c r="G18" t="s">
        <v>28</v>
      </c>
      <c r="H18">
        <v>74</v>
      </c>
      <c r="I18">
        <v>743</v>
      </c>
      <c r="J18">
        <v>1265</v>
      </c>
      <c r="K18">
        <v>54982</v>
      </c>
      <c r="L18">
        <v>93610</v>
      </c>
      <c r="M18">
        <v>38628</v>
      </c>
      <c r="N18" t="s">
        <v>413</v>
      </c>
    </row>
    <row r="19" spans="1:14" x14ac:dyDescent="0.25">
      <c r="A19" s="23">
        <v>45389</v>
      </c>
      <c r="B19" t="s">
        <v>31</v>
      </c>
      <c r="C19" t="s">
        <v>32</v>
      </c>
      <c r="D19" t="s">
        <v>33</v>
      </c>
      <c r="E19" t="s">
        <v>34</v>
      </c>
      <c r="F19" t="s">
        <v>35</v>
      </c>
      <c r="G19" t="s">
        <v>28</v>
      </c>
      <c r="H19">
        <v>78</v>
      </c>
      <c r="I19">
        <v>655</v>
      </c>
      <c r="J19">
        <v>790</v>
      </c>
      <c r="K19">
        <v>51090</v>
      </c>
      <c r="L19">
        <v>61620</v>
      </c>
      <c r="M19">
        <v>10530</v>
      </c>
      <c r="N19" t="s">
        <v>413</v>
      </c>
    </row>
    <row r="20" spans="1:14" x14ac:dyDescent="0.25">
      <c r="A20" s="23">
        <v>45595</v>
      </c>
      <c r="B20" t="s">
        <v>85</v>
      </c>
      <c r="C20" t="s">
        <v>342</v>
      </c>
      <c r="D20" t="s">
        <v>33</v>
      </c>
      <c r="E20" t="s">
        <v>34</v>
      </c>
      <c r="F20" t="s">
        <v>155</v>
      </c>
      <c r="G20" t="s">
        <v>28</v>
      </c>
      <c r="H20">
        <v>70</v>
      </c>
      <c r="I20">
        <v>699</v>
      </c>
      <c r="J20">
        <v>1090</v>
      </c>
      <c r="K20">
        <v>48930</v>
      </c>
      <c r="L20">
        <v>76300</v>
      </c>
      <c r="M20">
        <v>27370</v>
      </c>
      <c r="N20" t="s">
        <v>413</v>
      </c>
    </row>
    <row r="21" spans="1:14" x14ac:dyDescent="0.25">
      <c r="A21" s="23">
        <v>45594</v>
      </c>
      <c r="B21" t="s">
        <v>85</v>
      </c>
      <c r="C21" t="s">
        <v>341</v>
      </c>
      <c r="D21" t="s">
        <v>33</v>
      </c>
      <c r="E21" t="s">
        <v>34</v>
      </c>
      <c r="F21" t="s">
        <v>153</v>
      </c>
      <c r="G21" t="s">
        <v>19</v>
      </c>
      <c r="H21">
        <v>73</v>
      </c>
      <c r="I21">
        <v>801</v>
      </c>
      <c r="J21">
        <v>1092</v>
      </c>
      <c r="K21">
        <v>58473</v>
      </c>
      <c r="L21">
        <v>79716</v>
      </c>
      <c r="M21">
        <v>21243</v>
      </c>
      <c r="N21" t="s">
        <v>413</v>
      </c>
    </row>
    <row r="22" spans="1:14" x14ac:dyDescent="0.25">
      <c r="A22" s="23">
        <v>45593</v>
      </c>
      <c r="B22" t="s">
        <v>85</v>
      </c>
      <c r="C22" t="s">
        <v>340</v>
      </c>
      <c r="D22" t="s">
        <v>33</v>
      </c>
      <c r="E22" t="s">
        <v>34</v>
      </c>
      <c r="F22" t="s">
        <v>44</v>
      </c>
      <c r="G22" t="s">
        <v>28</v>
      </c>
      <c r="H22">
        <v>86</v>
      </c>
      <c r="I22">
        <v>949</v>
      </c>
      <c r="J22">
        <v>924</v>
      </c>
      <c r="K22">
        <v>81614</v>
      </c>
      <c r="L22">
        <v>79464</v>
      </c>
      <c r="M22">
        <v>-2150</v>
      </c>
      <c r="N22" t="s">
        <v>414</v>
      </c>
    </row>
    <row r="23" spans="1:14" x14ac:dyDescent="0.25">
      <c r="A23" s="23">
        <v>45592</v>
      </c>
      <c r="B23" t="s">
        <v>85</v>
      </c>
      <c r="C23" t="s">
        <v>339</v>
      </c>
      <c r="D23" t="s">
        <v>33</v>
      </c>
      <c r="E23" t="s">
        <v>34</v>
      </c>
      <c r="F23" t="s">
        <v>113</v>
      </c>
      <c r="G23" t="s">
        <v>28</v>
      </c>
      <c r="H23">
        <v>95</v>
      </c>
      <c r="I23">
        <v>845</v>
      </c>
      <c r="J23">
        <v>1102</v>
      </c>
      <c r="K23">
        <v>80275</v>
      </c>
      <c r="L23">
        <v>104690</v>
      </c>
      <c r="M23">
        <v>24415</v>
      </c>
      <c r="N23" t="s">
        <v>413</v>
      </c>
    </row>
    <row r="24" spans="1:14" x14ac:dyDescent="0.25">
      <c r="A24" s="23">
        <v>45390</v>
      </c>
      <c r="B24" t="s">
        <v>31</v>
      </c>
      <c r="C24" t="s">
        <v>257</v>
      </c>
      <c r="D24" t="s">
        <v>33</v>
      </c>
      <c r="E24" t="s">
        <v>34</v>
      </c>
      <c r="F24" t="s">
        <v>44</v>
      </c>
      <c r="G24" t="s">
        <v>28</v>
      </c>
      <c r="H24">
        <v>51</v>
      </c>
      <c r="I24">
        <v>847</v>
      </c>
      <c r="J24">
        <v>972</v>
      </c>
      <c r="K24">
        <v>43197</v>
      </c>
      <c r="L24">
        <v>49572</v>
      </c>
      <c r="M24">
        <v>6375</v>
      </c>
      <c r="N24" t="s">
        <v>413</v>
      </c>
    </row>
    <row r="25" spans="1:14" x14ac:dyDescent="0.25">
      <c r="A25" s="23">
        <v>45388</v>
      </c>
      <c r="B25" t="s">
        <v>31</v>
      </c>
      <c r="C25" t="s">
        <v>256</v>
      </c>
      <c r="D25" t="s">
        <v>33</v>
      </c>
      <c r="E25" t="s">
        <v>34</v>
      </c>
      <c r="F25" t="s">
        <v>78</v>
      </c>
      <c r="G25" t="s">
        <v>28</v>
      </c>
      <c r="H25">
        <v>84</v>
      </c>
      <c r="I25">
        <v>784</v>
      </c>
      <c r="J25">
        <v>965</v>
      </c>
      <c r="K25">
        <v>65856</v>
      </c>
      <c r="L25">
        <v>81060</v>
      </c>
      <c r="M25">
        <v>15204</v>
      </c>
      <c r="N25" t="s">
        <v>413</v>
      </c>
    </row>
    <row r="26" spans="1:14" x14ac:dyDescent="0.25">
      <c r="A26" s="23">
        <v>45387</v>
      </c>
      <c r="B26" t="s">
        <v>31</v>
      </c>
      <c r="C26" t="s">
        <v>255</v>
      </c>
      <c r="D26" t="s">
        <v>33</v>
      </c>
      <c r="E26" t="s">
        <v>34</v>
      </c>
      <c r="F26" t="s">
        <v>76</v>
      </c>
      <c r="G26" t="s">
        <v>28</v>
      </c>
      <c r="H26">
        <v>95</v>
      </c>
      <c r="I26">
        <v>936</v>
      </c>
      <c r="J26">
        <v>1350</v>
      </c>
      <c r="K26">
        <v>88920</v>
      </c>
      <c r="L26">
        <v>128250</v>
      </c>
      <c r="M26">
        <v>39330</v>
      </c>
      <c r="N26" t="s">
        <v>413</v>
      </c>
    </row>
    <row r="27" spans="1:14" x14ac:dyDescent="0.25">
      <c r="A27" s="23">
        <v>45389</v>
      </c>
      <c r="B27" t="s">
        <v>31</v>
      </c>
      <c r="C27" t="s">
        <v>32</v>
      </c>
      <c r="D27" t="s">
        <v>33</v>
      </c>
      <c r="E27" t="s">
        <v>34</v>
      </c>
      <c r="F27" t="s">
        <v>35</v>
      </c>
      <c r="G27" t="s">
        <v>28</v>
      </c>
      <c r="H27">
        <v>55</v>
      </c>
      <c r="I27">
        <v>906</v>
      </c>
      <c r="J27">
        <v>880</v>
      </c>
      <c r="K27">
        <v>49830</v>
      </c>
      <c r="L27">
        <v>48400</v>
      </c>
      <c r="M27">
        <v>-1430</v>
      </c>
      <c r="N27" t="s">
        <v>414</v>
      </c>
    </row>
  </sheetData>
  <mergeCells count="1">
    <mergeCell ref="A1:N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AEBB-A833-476C-8BC2-16884E8D338B}">
  <sheetPr>
    <tabColor theme="9" tint="-0.249977111117893"/>
  </sheetPr>
  <dimension ref="A2:C14"/>
  <sheetViews>
    <sheetView zoomScale="141" zoomScaleNormal="265" workbookViewId="0">
      <selection activeCell="A2" sqref="A2"/>
    </sheetView>
  </sheetViews>
  <sheetFormatPr defaultRowHeight="15" x14ac:dyDescent="0.25"/>
  <cols>
    <col min="1" max="1" width="16.85546875" bestFit="1" customWidth="1"/>
    <col min="2" max="2" width="16" bestFit="1" customWidth="1"/>
    <col min="3" max="3" width="14.85546875" bestFit="1" customWidth="1"/>
    <col min="4" max="4" width="10.7109375" bestFit="1" customWidth="1"/>
    <col min="5" max="5" width="14" bestFit="1" customWidth="1"/>
    <col min="6" max="6" width="6.85546875" bestFit="1" customWidth="1"/>
    <col min="7" max="7" width="11.28515625" bestFit="1" customWidth="1"/>
    <col min="8" max="8" width="14.28515625" bestFit="1" customWidth="1"/>
    <col min="9" max="9" width="7.85546875" bestFit="1" customWidth="1"/>
    <col min="10" max="10" width="13.140625" bestFit="1" customWidth="1"/>
    <col min="11" max="11" width="10.7109375" bestFit="1" customWidth="1"/>
    <col min="12" max="12" width="8.28515625" bestFit="1" customWidth="1"/>
    <col min="13" max="13" width="9.85546875" bestFit="1" customWidth="1"/>
    <col min="14" max="14" width="13.85546875" bestFit="1" customWidth="1"/>
    <col min="15" max="15" width="6.85546875" bestFit="1" customWidth="1"/>
    <col min="16" max="16" width="8.28515625" bestFit="1" customWidth="1"/>
    <col min="17" max="17" width="12.5703125" bestFit="1" customWidth="1"/>
    <col min="18" max="18" width="10.7109375" bestFit="1" customWidth="1"/>
  </cols>
  <sheetData>
    <row r="2" spans="1:3" x14ac:dyDescent="0.25">
      <c r="A2" s="18" t="s">
        <v>6</v>
      </c>
      <c r="B2" t="s">
        <v>418</v>
      </c>
    </row>
    <row r="4" spans="1:3" x14ac:dyDescent="0.25">
      <c r="A4" s="18" t="s">
        <v>389</v>
      </c>
      <c r="B4" s="18" t="s">
        <v>4</v>
      </c>
      <c r="C4" t="s">
        <v>407</v>
      </c>
    </row>
    <row r="5" spans="1:3" x14ac:dyDescent="0.25">
      <c r="A5" t="s">
        <v>405</v>
      </c>
      <c r="B5" t="s">
        <v>392</v>
      </c>
      <c r="C5">
        <v>381736</v>
      </c>
    </row>
    <row r="6" spans="1:3" x14ac:dyDescent="0.25">
      <c r="B6" t="s">
        <v>118</v>
      </c>
      <c r="C6">
        <v>398150</v>
      </c>
    </row>
    <row r="7" spans="1:3" x14ac:dyDescent="0.25">
      <c r="A7" t="s">
        <v>400</v>
      </c>
      <c r="B7" t="s">
        <v>392</v>
      </c>
      <c r="C7">
        <v>379666</v>
      </c>
    </row>
    <row r="8" spans="1:3" x14ac:dyDescent="0.25">
      <c r="B8" t="s">
        <v>118</v>
      </c>
      <c r="C8">
        <v>253881</v>
      </c>
    </row>
    <row r="9" spans="1:3" x14ac:dyDescent="0.25">
      <c r="A9" t="s">
        <v>71</v>
      </c>
      <c r="B9" t="s">
        <v>392</v>
      </c>
      <c r="C9">
        <v>704224</v>
      </c>
    </row>
    <row r="10" spans="1:3" x14ac:dyDescent="0.25">
      <c r="B10" t="s">
        <v>118</v>
      </c>
      <c r="C10">
        <v>148442</v>
      </c>
    </row>
    <row r="11" spans="1:3" x14ac:dyDescent="0.25">
      <c r="A11" t="s">
        <v>394</v>
      </c>
      <c r="B11" t="s">
        <v>392</v>
      </c>
      <c r="C11">
        <v>183423</v>
      </c>
    </row>
    <row r="12" spans="1:3" x14ac:dyDescent="0.25">
      <c r="B12" t="s">
        <v>118</v>
      </c>
      <c r="C12">
        <v>735220</v>
      </c>
    </row>
    <row r="13" spans="1:3" x14ac:dyDescent="0.25">
      <c r="A13" t="s">
        <v>409</v>
      </c>
      <c r="B13" t="s">
        <v>392</v>
      </c>
      <c r="C13">
        <v>856945</v>
      </c>
    </row>
    <row r="14" spans="1:3" x14ac:dyDescent="0.25">
      <c r="A14" t="s">
        <v>406</v>
      </c>
      <c r="C14">
        <v>4041687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1EDF-6632-40D9-B288-997EEE681009}">
  <sheetPr>
    <tabColor theme="4" tint="-0.249977111117893"/>
  </sheetPr>
  <dimension ref="A1:D21"/>
  <sheetViews>
    <sheetView workbookViewId="0"/>
  </sheetViews>
  <sheetFormatPr defaultRowHeight="15" x14ac:dyDescent="0.25"/>
  <cols>
    <col min="1" max="1" width="13.5703125" bestFit="1" customWidth="1"/>
    <col min="2" max="2" width="18.42578125" bestFit="1" customWidth="1"/>
    <col min="3" max="3" width="14.85546875" bestFit="1" customWidth="1"/>
    <col min="4" max="4" width="15.85546875" bestFit="1" customWidth="1"/>
  </cols>
  <sheetData>
    <row r="1" spans="1:4" x14ac:dyDescent="0.25">
      <c r="A1" s="18" t="s">
        <v>6</v>
      </c>
      <c r="B1" t="s">
        <v>28</v>
      </c>
    </row>
    <row r="3" spans="1:4" x14ac:dyDescent="0.25">
      <c r="A3" s="18" t="s">
        <v>419</v>
      </c>
      <c r="B3" t="s">
        <v>420</v>
      </c>
      <c r="C3" t="s">
        <v>407</v>
      </c>
      <c r="D3" t="s">
        <v>421</v>
      </c>
    </row>
    <row r="4" spans="1:4" x14ac:dyDescent="0.25">
      <c r="A4" s="28" t="s">
        <v>405</v>
      </c>
      <c r="B4">
        <v>111847.16666666667</v>
      </c>
      <c r="C4">
        <v>671083</v>
      </c>
      <c r="D4" s="24">
        <v>0.22034725847706668</v>
      </c>
    </row>
    <row r="5" spans="1:4" x14ac:dyDescent="0.25">
      <c r="A5" s="29" t="s">
        <v>392</v>
      </c>
      <c r="B5">
        <v>96667</v>
      </c>
      <c r="C5">
        <v>193334</v>
      </c>
      <c r="D5" s="24">
        <v>6.3480399399783949E-2</v>
      </c>
    </row>
    <row r="6" spans="1:4" x14ac:dyDescent="0.25">
      <c r="A6" s="29" t="s">
        <v>118</v>
      </c>
      <c r="B6">
        <v>102140</v>
      </c>
      <c r="C6">
        <v>204280</v>
      </c>
      <c r="D6" s="24">
        <v>6.7074472102102392E-2</v>
      </c>
    </row>
    <row r="7" spans="1:4" x14ac:dyDescent="0.25">
      <c r="A7" s="29" t="s">
        <v>399</v>
      </c>
      <c r="B7">
        <v>136734.5</v>
      </c>
      <c r="C7">
        <v>273469</v>
      </c>
      <c r="D7" s="24">
        <v>8.9792386975180341E-2</v>
      </c>
    </row>
    <row r="8" spans="1:4" x14ac:dyDescent="0.25">
      <c r="A8" s="28" t="s">
        <v>400</v>
      </c>
      <c r="B8">
        <v>99091</v>
      </c>
      <c r="C8">
        <v>594546</v>
      </c>
      <c r="D8" s="24">
        <v>0.19521665895054127</v>
      </c>
    </row>
    <row r="9" spans="1:4" x14ac:dyDescent="0.25">
      <c r="A9" s="29" t="s">
        <v>392</v>
      </c>
      <c r="B9">
        <v>98091.5</v>
      </c>
      <c r="C9">
        <v>196183</v>
      </c>
      <c r="D9" s="24">
        <v>6.4415856473500857E-2</v>
      </c>
    </row>
    <row r="10" spans="1:4" x14ac:dyDescent="0.25">
      <c r="A10" s="29" t="s">
        <v>118</v>
      </c>
      <c r="B10">
        <v>131028</v>
      </c>
      <c r="C10">
        <v>131028</v>
      </c>
      <c r="D10" s="24">
        <v>4.3022488401185985E-2</v>
      </c>
    </row>
    <row r="11" spans="1:4" x14ac:dyDescent="0.25">
      <c r="A11" s="29" t="s">
        <v>399</v>
      </c>
      <c r="B11">
        <v>89111.666666666672</v>
      </c>
      <c r="C11">
        <v>267335</v>
      </c>
      <c r="D11" s="24">
        <v>8.7778314075854444E-2</v>
      </c>
    </row>
    <row r="12" spans="1:4" x14ac:dyDescent="0.25">
      <c r="A12" s="28" t="s">
        <v>71</v>
      </c>
      <c r="B12">
        <v>108064.77777777778</v>
      </c>
      <c r="C12">
        <v>972583</v>
      </c>
      <c r="D12" s="24">
        <v>0.31934350548501594</v>
      </c>
    </row>
    <row r="13" spans="1:4" x14ac:dyDescent="0.25">
      <c r="A13" s="29" t="s">
        <v>392</v>
      </c>
      <c r="B13">
        <v>93386.666666666672</v>
      </c>
      <c r="C13">
        <v>280160</v>
      </c>
      <c r="D13" s="24">
        <v>9.198934846350601E-2</v>
      </c>
    </row>
    <row r="14" spans="1:4" x14ac:dyDescent="0.25">
      <c r="A14" s="29" t="s">
        <v>118</v>
      </c>
      <c r="B14">
        <v>148442</v>
      </c>
      <c r="C14">
        <v>148442</v>
      </c>
      <c r="D14" s="24">
        <v>4.8740301487077954E-2</v>
      </c>
    </row>
    <row r="15" spans="1:4" x14ac:dyDescent="0.25">
      <c r="A15" s="29" t="s">
        <v>399</v>
      </c>
      <c r="B15">
        <v>108796.2</v>
      </c>
      <c r="C15">
        <v>543981</v>
      </c>
      <c r="D15" s="24">
        <v>0.17861385553443199</v>
      </c>
    </row>
    <row r="16" spans="1:4" x14ac:dyDescent="0.25">
      <c r="A16" s="28" t="s">
        <v>409</v>
      </c>
      <c r="B16">
        <v>459868</v>
      </c>
      <c r="C16">
        <v>459868</v>
      </c>
      <c r="D16" s="24">
        <v>0.15099570852090086</v>
      </c>
    </row>
    <row r="17" spans="1:4" x14ac:dyDescent="0.25">
      <c r="A17" s="29" t="s">
        <v>118</v>
      </c>
      <c r="B17">
        <v>459868</v>
      </c>
      <c r="C17">
        <v>459868</v>
      </c>
      <c r="D17" s="24">
        <v>0.15099570852090086</v>
      </c>
    </row>
    <row r="18" spans="1:4" x14ac:dyDescent="0.25">
      <c r="A18" s="28" t="s">
        <v>394</v>
      </c>
      <c r="B18">
        <v>86872.5</v>
      </c>
      <c r="C18">
        <v>347490</v>
      </c>
      <c r="D18" s="24">
        <v>0.11409686856647525</v>
      </c>
    </row>
    <row r="19" spans="1:4" x14ac:dyDescent="0.25">
      <c r="A19" s="29" t="s">
        <v>118</v>
      </c>
      <c r="B19">
        <v>91431</v>
      </c>
      <c r="C19">
        <v>274293</v>
      </c>
      <c r="D19" s="24">
        <v>9.0062943882425944E-2</v>
      </c>
    </row>
    <row r="20" spans="1:4" x14ac:dyDescent="0.25">
      <c r="A20" s="29" t="s">
        <v>399</v>
      </c>
      <c r="B20">
        <v>73197</v>
      </c>
      <c r="C20">
        <v>73197</v>
      </c>
      <c r="D20" s="24">
        <v>2.4033924684049291E-2</v>
      </c>
    </row>
    <row r="21" spans="1:4" x14ac:dyDescent="0.25">
      <c r="A21" s="28" t="s">
        <v>406</v>
      </c>
      <c r="B21">
        <v>117137.30769230769</v>
      </c>
      <c r="C21">
        <v>3045570</v>
      </c>
      <c r="D21" s="2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00C9-2702-4C2D-950F-2D99AA6FDC58}">
  <dimension ref="A1:E8"/>
  <sheetViews>
    <sheetView workbookViewId="0">
      <selection activeCell="A3" sqref="A3:E8"/>
    </sheetView>
  </sheetViews>
  <sheetFormatPr defaultRowHeight="15" x14ac:dyDescent="0.25"/>
  <cols>
    <col min="1" max="1" width="20.5703125" bestFit="1" customWidth="1"/>
    <col min="2" max="2" width="16" bestFit="1" customWidth="1"/>
    <col min="3" max="3" width="9.28515625" bestFit="1" customWidth="1"/>
    <col min="4" max="4" width="10" bestFit="1" customWidth="1"/>
    <col min="5" max="5" width="10.42578125" bestFit="1" customWidth="1"/>
  </cols>
  <sheetData>
    <row r="1" spans="1:5" x14ac:dyDescent="0.25">
      <c r="A1" s="22" t="s">
        <v>422</v>
      </c>
    </row>
    <row r="3" spans="1:5" x14ac:dyDescent="0.25">
      <c r="A3" t="s">
        <v>388</v>
      </c>
      <c r="B3" t="s">
        <v>4</v>
      </c>
      <c r="C3" t="s">
        <v>389</v>
      </c>
      <c r="D3" t="s">
        <v>6</v>
      </c>
      <c r="E3" t="s">
        <v>390</v>
      </c>
    </row>
    <row r="4" spans="1:5" x14ac:dyDescent="0.25">
      <c r="A4" t="s">
        <v>398</v>
      </c>
      <c r="B4" t="s">
        <v>392</v>
      </c>
      <c r="C4" t="s">
        <v>405</v>
      </c>
      <c r="D4" t="s">
        <v>19</v>
      </c>
      <c r="E4">
        <v>82337</v>
      </c>
    </row>
    <row r="5" spans="1:5" x14ac:dyDescent="0.25">
      <c r="A5" t="s">
        <v>397</v>
      </c>
      <c r="B5" t="s">
        <v>392</v>
      </c>
      <c r="C5" t="s">
        <v>405</v>
      </c>
      <c r="D5" t="s">
        <v>19</v>
      </c>
      <c r="E5">
        <v>106065</v>
      </c>
    </row>
    <row r="6" spans="1:5" x14ac:dyDescent="0.25">
      <c r="A6" t="s">
        <v>396</v>
      </c>
      <c r="B6" t="s">
        <v>118</v>
      </c>
      <c r="C6" t="s">
        <v>405</v>
      </c>
      <c r="D6" t="s">
        <v>19</v>
      </c>
      <c r="E6">
        <v>133884</v>
      </c>
    </row>
    <row r="7" spans="1:5" x14ac:dyDescent="0.25">
      <c r="A7" t="s">
        <v>393</v>
      </c>
      <c r="B7" t="s">
        <v>118</v>
      </c>
      <c r="C7" t="s">
        <v>405</v>
      </c>
      <c r="D7" t="s">
        <v>19</v>
      </c>
      <c r="E7">
        <v>59986</v>
      </c>
    </row>
    <row r="8" spans="1:5" x14ac:dyDescent="0.25">
      <c r="A8" t="s">
        <v>393</v>
      </c>
      <c r="B8" t="s">
        <v>399</v>
      </c>
      <c r="C8" t="s">
        <v>405</v>
      </c>
      <c r="D8" t="s">
        <v>19</v>
      </c>
      <c r="E8">
        <v>122231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0061-ADE6-48C1-9788-F8E559B4C02C}">
  <dimension ref="A1:E16"/>
  <sheetViews>
    <sheetView workbookViewId="0">
      <selection activeCell="A3" sqref="A3:E16"/>
    </sheetView>
  </sheetViews>
  <sheetFormatPr defaultRowHeight="15" x14ac:dyDescent="0.25"/>
  <cols>
    <col min="1" max="1" width="20.5703125" bestFit="1" customWidth="1"/>
    <col min="2" max="2" width="16" bestFit="1" customWidth="1"/>
    <col min="3" max="3" width="9.28515625" bestFit="1" customWidth="1"/>
    <col min="4" max="4" width="10" bestFit="1" customWidth="1"/>
    <col min="5" max="5" width="10.42578125" bestFit="1" customWidth="1"/>
  </cols>
  <sheetData>
    <row r="1" spans="1:5" x14ac:dyDescent="0.25">
      <c r="A1" s="22" t="s">
        <v>423</v>
      </c>
    </row>
    <row r="3" spans="1:5" x14ac:dyDescent="0.25">
      <c r="A3" t="s">
        <v>388</v>
      </c>
      <c r="B3" t="s">
        <v>4</v>
      </c>
      <c r="C3" t="s">
        <v>389</v>
      </c>
      <c r="D3" t="s">
        <v>6</v>
      </c>
      <c r="E3" t="s">
        <v>390</v>
      </c>
    </row>
    <row r="4" spans="1:5" x14ac:dyDescent="0.25">
      <c r="A4" t="s">
        <v>391</v>
      </c>
      <c r="B4" t="s">
        <v>392</v>
      </c>
      <c r="C4" t="s">
        <v>71</v>
      </c>
      <c r="D4" t="s">
        <v>19</v>
      </c>
      <c r="E4">
        <v>122444</v>
      </c>
    </row>
    <row r="5" spans="1:5" x14ac:dyDescent="0.25">
      <c r="A5" t="s">
        <v>404</v>
      </c>
      <c r="B5" t="s">
        <v>392</v>
      </c>
      <c r="C5" t="s">
        <v>400</v>
      </c>
      <c r="D5" t="s">
        <v>19</v>
      </c>
      <c r="E5">
        <v>88313</v>
      </c>
    </row>
    <row r="6" spans="1:5" x14ac:dyDescent="0.25">
      <c r="A6" t="s">
        <v>395</v>
      </c>
      <c r="B6" t="s">
        <v>392</v>
      </c>
      <c r="C6" t="s">
        <v>71</v>
      </c>
      <c r="D6" t="s">
        <v>19</v>
      </c>
      <c r="E6">
        <v>72679</v>
      </c>
    </row>
    <row r="7" spans="1:5" x14ac:dyDescent="0.25">
      <c r="A7" t="s">
        <v>396</v>
      </c>
      <c r="B7" t="s">
        <v>392</v>
      </c>
      <c r="C7" t="s">
        <v>71</v>
      </c>
      <c r="D7" t="s">
        <v>19</v>
      </c>
      <c r="E7">
        <v>130238</v>
      </c>
    </row>
    <row r="8" spans="1:5" x14ac:dyDescent="0.25">
      <c r="A8" t="s">
        <v>398</v>
      </c>
      <c r="B8" t="s">
        <v>392</v>
      </c>
      <c r="C8" t="s">
        <v>405</v>
      </c>
      <c r="D8" t="s">
        <v>19</v>
      </c>
      <c r="E8">
        <v>82337</v>
      </c>
    </row>
    <row r="9" spans="1:5" x14ac:dyDescent="0.25">
      <c r="A9" t="s">
        <v>397</v>
      </c>
      <c r="B9" t="s">
        <v>392</v>
      </c>
      <c r="C9" t="s">
        <v>405</v>
      </c>
      <c r="D9" t="s">
        <v>19</v>
      </c>
      <c r="E9">
        <v>106065</v>
      </c>
    </row>
    <row r="10" spans="1:5" x14ac:dyDescent="0.25">
      <c r="A10" t="s">
        <v>395</v>
      </c>
      <c r="B10" t="s">
        <v>392</v>
      </c>
      <c r="C10" t="s">
        <v>394</v>
      </c>
      <c r="D10" t="s">
        <v>19</v>
      </c>
      <c r="E10">
        <v>56765</v>
      </c>
    </row>
    <row r="11" spans="1:5" x14ac:dyDescent="0.25">
      <c r="A11" t="s">
        <v>408</v>
      </c>
      <c r="B11" t="s">
        <v>392</v>
      </c>
      <c r="C11" t="s">
        <v>409</v>
      </c>
      <c r="D11" t="s">
        <v>19</v>
      </c>
      <c r="E11">
        <v>856945</v>
      </c>
    </row>
    <row r="12" spans="1:5" x14ac:dyDescent="0.25">
      <c r="A12" t="s">
        <v>403</v>
      </c>
      <c r="B12" t="s">
        <v>392</v>
      </c>
      <c r="C12" t="s">
        <v>400</v>
      </c>
      <c r="D12" t="s">
        <v>19</v>
      </c>
      <c r="E12">
        <v>95170</v>
      </c>
    </row>
    <row r="13" spans="1:5" x14ac:dyDescent="0.25">
      <c r="A13" t="s">
        <v>404</v>
      </c>
      <c r="B13" t="s">
        <v>392</v>
      </c>
      <c r="C13" t="s">
        <v>71</v>
      </c>
      <c r="D13" t="s">
        <v>19</v>
      </c>
      <c r="E13">
        <v>85819</v>
      </c>
    </row>
    <row r="14" spans="1:5" x14ac:dyDescent="0.25">
      <c r="A14" t="s">
        <v>403</v>
      </c>
      <c r="B14" t="s">
        <v>392</v>
      </c>
      <c r="C14" t="s">
        <v>71</v>
      </c>
      <c r="D14" t="s">
        <v>19</v>
      </c>
      <c r="E14">
        <v>135328</v>
      </c>
    </row>
    <row r="15" spans="1:5" x14ac:dyDescent="0.25">
      <c r="A15" t="s">
        <v>397</v>
      </c>
      <c r="B15" t="s">
        <v>392</v>
      </c>
      <c r="C15" t="s">
        <v>394</v>
      </c>
      <c r="D15" t="s">
        <v>19</v>
      </c>
      <c r="E15">
        <v>76180</v>
      </c>
    </row>
    <row r="16" spans="1:5" x14ac:dyDescent="0.25">
      <c r="A16" t="s">
        <v>401</v>
      </c>
      <c r="B16" t="s">
        <v>392</v>
      </c>
      <c r="C16" t="s">
        <v>394</v>
      </c>
      <c r="D16" t="s">
        <v>19</v>
      </c>
      <c r="E16">
        <v>50478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B4A8-AC27-40CE-8933-8CA7EB94FD1D}">
  <dimension ref="D2:F6"/>
  <sheetViews>
    <sheetView zoomScaleNormal="100" workbookViewId="0">
      <selection activeCell="I22" sqref="I22"/>
    </sheetView>
  </sheetViews>
  <sheetFormatPr defaultRowHeight="15" x14ac:dyDescent="0.25"/>
  <cols>
    <col min="1" max="1" width="13.140625" bestFit="1" customWidth="1"/>
    <col min="2" max="2" width="14.85546875" bestFit="1" customWidth="1"/>
    <col min="4" max="4" width="13.140625" bestFit="1" customWidth="1"/>
    <col min="5" max="5" width="14.85546875" bestFit="1" customWidth="1"/>
    <col min="6" max="6" width="15.7109375" bestFit="1" customWidth="1"/>
    <col min="7" max="7" width="14.85546875" bestFit="1" customWidth="1"/>
    <col min="8" max="8" width="15.7109375" bestFit="1" customWidth="1"/>
  </cols>
  <sheetData>
    <row r="2" spans="4:6" x14ac:dyDescent="0.25">
      <c r="D2" s="18" t="s">
        <v>419</v>
      </c>
      <c r="E2" t="s">
        <v>407</v>
      </c>
      <c r="F2" t="s">
        <v>424</v>
      </c>
    </row>
    <row r="3" spans="4:6" x14ac:dyDescent="0.25">
      <c r="D3" s="28" t="s">
        <v>392</v>
      </c>
      <c r="E3" s="31">
        <v>2505994</v>
      </c>
      <c r="F3" s="24">
        <v>0.41069595102971684</v>
      </c>
    </row>
    <row r="4" spans="4:6" x14ac:dyDescent="0.25">
      <c r="D4" s="28" t="s">
        <v>118</v>
      </c>
      <c r="E4" s="31">
        <v>1995561</v>
      </c>
      <c r="F4" s="24">
        <v>0.32704340981375568</v>
      </c>
    </row>
    <row r="5" spans="4:6" x14ac:dyDescent="0.25">
      <c r="D5" s="28" t="s">
        <v>399</v>
      </c>
      <c r="E5" s="31">
        <v>1600268</v>
      </c>
      <c r="F5" s="24">
        <v>0.26226063915652748</v>
      </c>
    </row>
    <row r="6" spans="4:6" x14ac:dyDescent="0.25">
      <c r="D6" s="28" t="s">
        <v>406</v>
      </c>
      <c r="E6" s="31">
        <v>6101823</v>
      </c>
      <c r="F6" s="2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9CD3F-9508-4A10-ACBA-0EB791A10ED5}">
  <sheetPr>
    <tabColor rgb="FFFFFF00"/>
  </sheetPr>
  <dimension ref="D1:H52"/>
  <sheetViews>
    <sheetView zoomScale="164" zoomScaleNormal="164" workbookViewId="0">
      <selection activeCell="H3" sqref="H3"/>
    </sheetView>
  </sheetViews>
  <sheetFormatPr defaultRowHeight="15" x14ac:dyDescent="0.25"/>
  <cols>
    <col min="4" max="4" width="21.140625" style="17" customWidth="1"/>
    <col min="5" max="5" width="18.85546875" style="17" customWidth="1"/>
    <col min="6" max="6" width="10" style="17" customWidth="1"/>
    <col min="7" max="7" width="12.28515625" style="17" customWidth="1"/>
    <col min="8" max="8" width="10.28515625" style="17" customWidth="1"/>
  </cols>
  <sheetData>
    <row r="1" spans="4:8" x14ac:dyDescent="0.25">
      <c r="D1" s="11" t="s">
        <v>388</v>
      </c>
      <c r="E1" s="12" t="s">
        <v>4</v>
      </c>
      <c r="F1" s="12" t="s">
        <v>389</v>
      </c>
      <c r="G1" s="12" t="s">
        <v>6</v>
      </c>
      <c r="H1" s="13" t="s">
        <v>390</v>
      </c>
    </row>
    <row r="2" spans="4:8" x14ac:dyDescent="0.25">
      <c r="D2" s="14" t="s">
        <v>391</v>
      </c>
      <c r="E2" s="15" t="s">
        <v>392</v>
      </c>
      <c r="F2" s="15" t="s">
        <v>71</v>
      </c>
      <c r="G2" s="15" t="s">
        <v>19</v>
      </c>
      <c r="H2" s="16">
        <v>0</v>
      </c>
    </row>
    <row r="3" spans="4:8" x14ac:dyDescent="0.25">
      <c r="D3" s="14" t="s">
        <v>393</v>
      </c>
      <c r="E3" s="15" t="s">
        <v>118</v>
      </c>
      <c r="F3" s="15" t="s">
        <v>394</v>
      </c>
      <c r="G3" s="15" t="s">
        <v>28</v>
      </c>
      <c r="H3" s="16">
        <v>94138</v>
      </c>
    </row>
    <row r="4" spans="4:8" x14ac:dyDescent="0.25">
      <c r="D4" s="14" t="s">
        <v>395</v>
      </c>
      <c r="E4" s="15" t="s">
        <v>392</v>
      </c>
      <c r="F4" s="15" t="s">
        <v>71</v>
      </c>
      <c r="G4" s="15" t="s">
        <v>19</v>
      </c>
      <c r="H4" s="16">
        <v>72679</v>
      </c>
    </row>
    <row r="5" spans="4:8" x14ac:dyDescent="0.25">
      <c r="D5" s="14" t="s">
        <v>396</v>
      </c>
      <c r="E5" s="15" t="s">
        <v>392</v>
      </c>
      <c r="F5" s="15" t="s">
        <v>71</v>
      </c>
      <c r="G5" s="15" t="s">
        <v>19</v>
      </c>
      <c r="H5" s="16">
        <v>130238</v>
      </c>
    </row>
    <row r="6" spans="4:8" x14ac:dyDescent="0.25">
      <c r="D6" s="14" t="s">
        <v>397</v>
      </c>
      <c r="E6" s="15" t="s">
        <v>118</v>
      </c>
      <c r="F6" s="15" t="s">
        <v>394</v>
      </c>
      <c r="G6" s="15" t="s">
        <v>19</v>
      </c>
      <c r="H6" s="16">
        <v>108636</v>
      </c>
    </row>
    <row r="7" spans="4:8" x14ac:dyDescent="0.25">
      <c r="D7" s="14" t="s">
        <v>398</v>
      </c>
      <c r="E7" s="15" t="s">
        <v>399</v>
      </c>
      <c r="F7" s="15" t="s">
        <v>400</v>
      </c>
      <c r="G7" s="15" t="s">
        <v>28</v>
      </c>
      <c r="H7" s="16">
        <v>108005</v>
      </c>
    </row>
    <row r="8" spans="4:8" x14ac:dyDescent="0.25">
      <c r="D8" s="14" t="s">
        <v>401</v>
      </c>
      <c r="E8" s="15" t="s">
        <v>399</v>
      </c>
      <c r="F8" s="15" t="s">
        <v>71</v>
      </c>
      <c r="G8" s="15" t="s">
        <v>28</v>
      </c>
      <c r="H8" s="16">
        <v>141259</v>
      </c>
    </row>
    <row r="9" spans="4:8" x14ac:dyDescent="0.25">
      <c r="D9" s="14" t="s">
        <v>402</v>
      </c>
      <c r="E9" s="15" t="s">
        <v>399</v>
      </c>
      <c r="F9" s="15" t="s">
        <v>71</v>
      </c>
      <c r="G9" s="15" t="s">
        <v>28</v>
      </c>
      <c r="H9" s="16">
        <v>86739</v>
      </c>
    </row>
    <row r="10" spans="4:8" x14ac:dyDescent="0.25">
      <c r="D10" s="14" t="s">
        <v>403</v>
      </c>
      <c r="E10" s="15" t="s">
        <v>392</v>
      </c>
      <c r="F10" s="15" t="s">
        <v>400</v>
      </c>
      <c r="G10" s="15" t="s">
        <v>19</v>
      </c>
      <c r="H10" s="16">
        <v>95170</v>
      </c>
    </row>
    <row r="11" spans="4:8" x14ac:dyDescent="0.25">
      <c r="D11" s="14" t="s">
        <v>404</v>
      </c>
      <c r="E11" s="15" t="s">
        <v>118</v>
      </c>
      <c r="F11" s="15" t="s">
        <v>394</v>
      </c>
      <c r="G11" s="15" t="s">
        <v>28</v>
      </c>
      <c r="H11" s="16">
        <v>50655</v>
      </c>
    </row>
    <row r="12" spans="4:8" x14ac:dyDescent="0.25">
      <c r="D12" s="14" t="s">
        <v>391</v>
      </c>
      <c r="E12" s="15" t="s">
        <v>118</v>
      </c>
      <c r="F12" s="15" t="s">
        <v>394</v>
      </c>
      <c r="G12" s="15" t="s">
        <v>19</v>
      </c>
      <c r="H12" s="16">
        <v>76361</v>
      </c>
    </row>
    <row r="13" spans="4:8" x14ac:dyDescent="0.25">
      <c r="D13" s="14" t="s">
        <v>393</v>
      </c>
      <c r="E13" s="15" t="s">
        <v>118</v>
      </c>
      <c r="F13" s="15" t="s">
        <v>405</v>
      </c>
      <c r="G13" s="15" t="s">
        <v>19</v>
      </c>
      <c r="H13" s="16">
        <v>59986</v>
      </c>
    </row>
    <row r="14" spans="4:8" x14ac:dyDescent="0.25">
      <c r="D14" s="14" t="s">
        <v>395</v>
      </c>
      <c r="E14" s="15" t="s">
        <v>392</v>
      </c>
      <c r="F14" s="15" t="s">
        <v>405</v>
      </c>
      <c r="G14" s="15" t="s">
        <v>28</v>
      </c>
      <c r="H14" s="16">
        <v>96489</v>
      </c>
    </row>
    <row r="15" spans="4:8" x14ac:dyDescent="0.25">
      <c r="D15" s="14" t="s">
        <v>396</v>
      </c>
      <c r="E15" s="15" t="s">
        <v>392</v>
      </c>
      <c r="F15" s="15" t="s">
        <v>405</v>
      </c>
      <c r="G15" s="15" t="s">
        <v>28</v>
      </c>
      <c r="H15" s="16">
        <v>96845</v>
      </c>
    </row>
    <row r="16" spans="4:8" x14ac:dyDescent="0.25">
      <c r="D16" s="14" t="s">
        <v>397</v>
      </c>
      <c r="E16" s="15" t="s">
        <v>399</v>
      </c>
      <c r="F16" s="15" t="s">
        <v>71</v>
      </c>
      <c r="G16" s="15" t="s">
        <v>19</v>
      </c>
      <c r="H16" s="16">
        <v>147430</v>
      </c>
    </row>
    <row r="17" spans="4:8" x14ac:dyDescent="0.25">
      <c r="D17" s="14" t="s">
        <v>398</v>
      </c>
      <c r="E17" s="15" t="s">
        <v>399</v>
      </c>
      <c r="F17" s="15" t="s">
        <v>71</v>
      </c>
      <c r="G17" s="15" t="s">
        <v>19</v>
      </c>
      <c r="H17" s="16">
        <v>116547</v>
      </c>
    </row>
    <row r="18" spans="4:8" x14ac:dyDescent="0.25">
      <c r="D18" s="14" t="s">
        <v>401</v>
      </c>
      <c r="E18" s="15" t="s">
        <v>392</v>
      </c>
      <c r="F18" s="15" t="s">
        <v>394</v>
      </c>
      <c r="G18" s="15" t="s">
        <v>19</v>
      </c>
      <c r="H18" s="16">
        <v>50478</v>
      </c>
    </row>
    <row r="19" spans="4:8" x14ac:dyDescent="0.25">
      <c r="D19" s="14" t="s">
        <v>402</v>
      </c>
      <c r="E19" s="15" t="s">
        <v>118</v>
      </c>
      <c r="F19" s="15" t="s">
        <v>400</v>
      </c>
      <c r="G19" s="15" t="s">
        <v>28</v>
      </c>
      <c r="H19" s="16">
        <v>131028</v>
      </c>
    </row>
    <row r="20" spans="4:8" x14ac:dyDescent="0.25">
      <c r="D20" s="14" t="s">
        <v>403</v>
      </c>
      <c r="E20" s="15" t="s">
        <v>392</v>
      </c>
      <c r="F20" s="15" t="s">
        <v>400</v>
      </c>
      <c r="G20" s="15" t="s">
        <v>28</v>
      </c>
      <c r="H20" s="16">
        <v>136265</v>
      </c>
    </row>
    <row r="21" spans="4:8" x14ac:dyDescent="0.25">
      <c r="D21" s="14" t="s">
        <v>404</v>
      </c>
      <c r="E21" s="15" t="s">
        <v>392</v>
      </c>
      <c r="F21" s="15" t="s">
        <v>71</v>
      </c>
      <c r="G21" s="15" t="s">
        <v>28</v>
      </c>
      <c r="H21" s="16">
        <v>143860</v>
      </c>
    </row>
    <row r="22" spans="4:8" x14ac:dyDescent="0.25">
      <c r="D22" s="14" t="s">
        <v>391</v>
      </c>
      <c r="E22" s="15" t="s">
        <v>118</v>
      </c>
      <c r="F22" s="15" t="s">
        <v>394</v>
      </c>
      <c r="G22" s="15" t="s">
        <v>19</v>
      </c>
      <c r="H22" s="16">
        <v>57757</v>
      </c>
    </row>
    <row r="23" spans="4:8" x14ac:dyDescent="0.25">
      <c r="D23" s="14" t="s">
        <v>393</v>
      </c>
      <c r="E23" s="15" t="s">
        <v>399</v>
      </c>
      <c r="F23" s="15" t="s">
        <v>405</v>
      </c>
      <c r="G23" s="15" t="s">
        <v>19</v>
      </c>
      <c r="H23" s="16">
        <v>122231</v>
      </c>
    </row>
    <row r="24" spans="4:8" x14ac:dyDescent="0.25">
      <c r="D24" s="14" t="s">
        <v>395</v>
      </c>
      <c r="E24" s="15" t="s">
        <v>399</v>
      </c>
      <c r="F24" s="15" t="s">
        <v>405</v>
      </c>
      <c r="G24" s="15" t="s">
        <v>28</v>
      </c>
      <c r="H24" s="16">
        <v>127292</v>
      </c>
    </row>
    <row r="25" spans="4:8" x14ac:dyDescent="0.25">
      <c r="D25" s="14" t="s">
        <v>396</v>
      </c>
      <c r="E25" s="15" t="s">
        <v>399</v>
      </c>
      <c r="F25" s="15" t="s">
        <v>400</v>
      </c>
      <c r="G25" s="15" t="s">
        <v>28</v>
      </c>
      <c r="H25" s="16">
        <v>50194</v>
      </c>
    </row>
    <row r="26" spans="4:8" x14ac:dyDescent="0.25">
      <c r="D26" s="14" t="s">
        <v>397</v>
      </c>
      <c r="E26" s="15" t="s">
        <v>392</v>
      </c>
      <c r="F26" s="15" t="s">
        <v>394</v>
      </c>
      <c r="G26" s="15" t="s">
        <v>19</v>
      </c>
      <c r="H26" s="16">
        <v>76180</v>
      </c>
    </row>
    <row r="27" spans="4:8" x14ac:dyDescent="0.25">
      <c r="D27" s="14" t="s">
        <v>398</v>
      </c>
      <c r="E27" s="15" t="s">
        <v>118</v>
      </c>
      <c r="F27" s="15" t="s">
        <v>394</v>
      </c>
      <c r="G27" s="15" t="s">
        <v>19</v>
      </c>
      <c r="H27" s="16">
        <v>112323</v>
      </c>
    </row>
    <row r="28" spans="4:8" x14ac:dyDescent="0.25">
      <c r="D28" s="14" t="s">
        <v>401</v>
      </c>
      <c r="E28" s="15" t="s">
        <v>118</v>
      </c>
      <c r="F28" s="15" t="s">
        <v>405</v>
      </c>
      <c r="G28" s="15" t="s">
        <v>28</v>
      </c>
      <c r="H28" s="16">
        <v>61988</v>
      </c>
    </row>
    <row r="29" spans="4:8" x14ac:dyDescent="0.25">
      <c r="D29" s="14" t="s">
        <v>402</v>
      </c>
      <c r="E29" s="15" t="s">
        <v>118</v>
      </c>
      <c r="F29" s="15" t="s">
        <v>405</v>
      </c>
      <c r="G29" s="15" t="s">
        <v>28</v>
      </c>
      <c r="H29" s="16">
        <v>142292</v>
      </c>
    </row>
    <row r="30" spans="4:8" x14ac:dyDescent="0.25">
      <c r="D30" s="14" t="s">
        <v>403</v>
      </c>
      <c r="E30" s="15" t="s">
        <v>392</v>
      </c>
      <c r="F30" s="15" t="s">
        <v>71</v>
      </c>
      <c r="G30" s="15" t="s">
        <v>19</v>
      </c>
      <c r="H30" s="16">
        <v>135328</v>
      </c>
    </row>
    <row r="31" spans="4:8" x14ac:dyDescent="0.25">
      <c r="D31" s="14" t="s">
        <v>404</v>
      </c>
      <c r="E31" s="15" t="s">
        <v>392</v>
      </c>
      <c r="F31" s="15" t="s">
        <v>71</v>
      </c>
      <c r="G31" s="15" t="s">
        <v>19</v>
      </c>
      <c r="H31" s="16">
        <v>85819</v>
      </c>
    </row>
    <row r="32" spans="4:8" x14ac:dyDescent="0.25">
      <c r="D32" s="15" t="s">
        <v>408</v>
      </c>
      <c r="E32" s="15" t="s">
        <v>392</v>
      </c>
      <c r="F32" s="15" t="s">
        <v>409</v>
      </c>
      <c r="G32" s="15" t="s">
        <v>19</v>
      </c>
      <c r="H32" s="15">
        <v>856945</v>
      </c>
    </row>
    <row r="33" spans="4:8" x14ac:dyDescent="0.25">
      <c r="D33" s="14" t="s">
        <v>393</v>
      </c>
      <c r="E33" s="15" t="s">
        <v>399</v>
      </c>
      <c r="F33" s="15" t="s">
        <v>71</v>
      </c>
      <c r="G33" s="15" t="s">
        <v>28</v>
      </c>
      <c r="H33" s="16">
        <v>103228</v>
      </c>
    </row>
    <row r="34" spans="4:8" x14ac:dyDescent="0.25">
      <c r="D34" s="14" t="s">
        <v>395</v>
      </c>
      <c r="E34" s="15" t="s">
        <v>392</v>
      </c>
      <c r="F34" s="15" t="s">
        <v>394</v>
      </c>
      <c r="G34" s="15" t="s">
        <v>19</v>
      </c>
      <c r="H34" s="16">
        <v>56765</v>
      </c>
    </row>
    <row r="35" spans="4:8" x14ac:dyDescent="0.25">
      <c r="D35" s="14" t="s">
        <v>396</v>
      </c>
      <c r="E35" s="15" t="s">
        <v>118</v>
      </c>
      <c r="F35" s="15" t="s">
        <v>400</v>
      </c>
      <c r="G35" s="15" t="s">
        <v>19</v>
      </c>
      <c r="H35" s="16">
        <v>122853</v>
      </c>
    </row>
    <row r="36" spans="4:8" x14ac:dyDescent="0.25">
      <c r="D36" s="14" t="s">
        <v>397</v>
      </c>
      <c r="E36" s="15" t="s">
        <v>392</v>
      </c>
      <c r="F36" s="15" t="s">
        <v>400</v>
      </c>
      <c r="G36" s="15" t="s">
        <v>28</v>
      </c>
      <c r="H36" s="16">
        <v>59918</v>
      </c>
    </row>
    <row r="37" spans="4:8" x14ac:dyDescent="0.25">
      <c r="D37" s="14" t="s">
        <v>398</v>
      </c>
      <c r="E37" s="15" t="s">
        <v>392</v>
      </c>
      <c r="F37" s="15" t="s">
        <v>71</v>
      </c>
      <c r="G37" s="15" t="s">
        <v>28</v>
      </c>
      <c r="H37" s="16">
        <v>59303</v>
      </c>
    </row>
    <row r="38" spans="4:8" x14ac:dyDescent="0.25">
      <c r="D38" s="14" t="s">
        <v>401</v>
      </c>
      <c r="E38" s="15" t="s">
        <v>118</v>
      </c>
      <c r="F38" s="15" t="s">
        <v>394</v>
      </c>
      <c r="G38" s="15" t="s">
        <v>19</v>
      </c>
      <c r="H38" s="16">
        <v>105850</v>
      </c>
    </row>
    <row r="39" spans="4:8" x14ac:dyDescent="0.25">
      <c r="D39" s="14" t="s">
        <v>402</v>
      </c>
      <c r="E39" s="15" t="s">
        <v>399</v>
      </c>
      <c r="F39" s="15" t="s">
        <v>405</v>
      </c>
      <c r="G39" s="15" t="s">
        <v>28</v>
      </c>
      <c r="H39" s="16">
        <v>146177</v>
      </c>
    </row>
    <row r="40" spans="4:8" x14ac:dyDescent="0.25">
      <c r="D40" s="14" t="s">
        <v>403</v>
      </c>
      <c r="E40" s="15" t="s">
        <v>399</v>
      </c>
      <c r="F40" s="15" t="s">
        <v>400</v>
      </c>
      <c r="G40" s="15" t="s">
        <v>19</v>
      </c>
      <c r="H40" s="16">
        <v>56078</v>
      </c>
    </row>
    <row r="41" spans="4:8" x14ac:dyDescent="0.25">
      <c r="D41" s="14" t="s">
        <v>404</v>
      </c>
      <c r="E41" s="15" t="s">
        <v>399</v>
      </c>
      <c r="F41" s="15" t="s">
        <v>400</v>
      </c>
      <c r="G41" s="15" t="s">
        <v>28</v>
      </c>
      <c r="H41" s="16">
        <v>109136</v>
      </c>
    </row>
    <row r="42" spans="4:8" x14ac:dyDescent="0.25">
      <c r="D42" s="14" t="s">
        <v>391</v>
      </c>
      <c r="E42" s="15" t="s">
        <v>392</v>
      </c>
      <c r="F42" s="15" t="s">
        <v>71</v>
      </c>
      <c r="G42" s="15" t="s">
        <v>28</v>
      </c>
      <c r="H42" s="16">
        <v>76997</v>
      </c>
    </row>
    <row r="43" spans="4:8" x14ac:dyDescent="0.25">
      <c r="D43" s="14" t="s">
        <v>393</v>
      </c>
      <c r="E43" s="15" t="s">
        <v>118</v>
      </c>
      <c r="F43" s="15" t="s">
        <v>71</v>
      </c>
      <c r="G43" s="15" t="s">
        <v>28</v>
      </c>
      <c r="H43" s="16">
        <v>148442</v>
      </c>
    </row>
    <row r="44" spans="4:8" x14ac:dyDescent="0.25">
      <c r="D44" s="14" t="s">
        <v>395</v>
      </c>
      <c r="E44" s="15" t="s">
        <v>118</v>
      </c>
      <c r="F44" s="15" t="s">
        <v>394</v>
      </c>
      <c r="G44" s="15" t="s">
        <v>28</v>
      </c>
      <c r="H44" s="16">
        <v>129500</v>
      </c>
    </row>
    <row r="45" spans="4:8" x14ac:dyDescent="0.25">
      <c r="D45" s="14" t="s">
        <v>396</v>
      </c>
      <c r="E45" s="15" t="s">
        <v>118</v>
      </c>
      <c r="F45" s="15" t="s">
        <v>405</v>
      </c>
      <c r="G45" s="15" t="s">
        <v>19</v>
      </c>
      <c r="H45" s="16">
        <v>133884</v>
      </c>
    </row>
    <row r="46" spans="4:8" x14ac:dyDescent="0.25">
      <c r="D46" s="14" t="s">
        <v>397</v>
      </c>
      <c r="E46" s="15" t="s">
        <v>392</v>
      </c>
      <c r="F46" s="15" t="s">
        <v>405</v>
      </c>
      <c r="G46" s="15" t="s">
        <v>19</v>
      </c>
      <c r="H46" s="16">
        <v>106065</v>
      </c>
    </row>
    <row r="47" spans="4:8" x14ac:dyDescent="0.25">
      <c r="D47" s="14" t="s">
        <v>398</v>
      </c>
      <c r="E47" s="15" t="s">
        <v>392</v>
      </c>
      <c r="F47" s="15" t="s">
        <v>405</v>
      </c>
      <c r="G47" s="15" t="s">
        <v>19</v>
      </c>
      <c r="H47" s="16">
        <v>82337</v>
      </c>
    </row>
    <row r="48" spans="4:8" x14ac:dyDescent="0.25">
      <c r="D48" s="14" t="s">
        <v>401</v>
      </c>
      <c r="E48" s="15" t="s">
        <v>399</v>
      </c>
      <c r="F48" s="15" t="s">
        <v>394</v>
      </c>
      <c r="G48" s="15" t="s">
        <v>28</v>
      </c>
      <c r="H48" s="16">
        <v>73197</v>
      </c>
    </row>
    <row r="49" spans="4:8" x14ac:dyDescent="0.25">
      <c r="D49" s="14" t="s">
        <v>402</v>
      </c>
      <c r="E49" s="15" t="s">
        <v>399</v>
      </c>
      <c r="F49" s="15" t="s">
        <v>71</v>
      </c>
      <c r="G49" s="15" t="s">
        <v>28</v>
      </c>
      <c r="H49" s="16">
        <v>119829</v>
      </c>
    </row>
    <row r="50" spans="4:8" x14ac:dyDescent="0.25">
      <c r="D50" s="14" t="s">
        <v>403</v>
      </c>
      <c r="E50" s="15" t="s">
        <v>399</v>
      </c>
      <c r="F50" s="15" t="s">
        <v>71</v>
      </c>
      <c r="G50" s="15" t="s">
        <v>28</v>
      </c>
      <c r="H50" s="16">
        <v>92926</v>
      </c>
    </row>
    <row r="51" spans="4:8" x14ac:dyDescent="0.25">
      <c r="D51" s="19" t="s">
        <v>404</v>
      </c>
      <c r="E51" s="20" t="s">
        <v>392</v>
      </c>
      <c r="F51" s="20" t="s">
        <v>400</v>
      </c>
      <c r="G51" s="20" t="s">
        <v>19</v>
      </c>
      <c r="H51" s="21">
        <v>88313</v>
      </c>
    </row>
    <row r="52" spans="4:8" x14ac:dyDescent="0.25">
      <c r="D52" s="17" t="s">
        <v>410</v>
      </c>
      <c r="E52" s="17" t="s">
        <v>118</v>
      </c>
      <c r="F52" s="17" t="s">
        <v>409</v>
      </c>
      <c r="G52" s="17" t="s">
        <v>28</v>
      </c>
      <c r="H52" s="17">
        <v>459868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50DC-92B9-4E65-B15F-B4F32B42894D}">
  <sheetPr>
    <tabColor rgb="FFFFFF00"/>
  </sheetPr>
  <dimension ref="A6:M58"/>
  <sheetViews>
    <sheetView tabSelected="1" topLeftCell="A5" zoomScale="160" zoomScaleNormal="160" workbookViewId="0">
      <selection activeCell="A36" sqref="A36"/>
    </sheetView>
  </sheetViews>
  <sheetFormatPr defaultRowHeight="15" x14ac:dyDescent="0.25"/>
  <cols>
    <col min="1" max="1" width="16.85546875" bestFit="1" customWidth="1"/>
    <col min="2" max="2" width="12.5703125" bestFit="1" customWidth="1"/>
    <col min="3" max="3" width="11.85546875" bestFit="1" customWidth="1"/>
    <col min="4" max="7" width="12.85546875" bestFit="1" customWidth="1"/>
    <col min="8" max="12" width="15.140625" bestFit="1" customWidth="1"/>
    <col min="13" max="14" width="10.7109375" bestFit="1" customWidth="1"/>
    <col min="15" max="22" width="15.140625" bestFit="1" customWidth="1"/>
    <col min="23" max="23" width="10.7109375" bestFit="1" customWidth="1"/>
    <col min="24" max="25" width="7.140625" bestFit="1" customWidth="1"/>
    <col min="26" max="26" width="8.7109375" bestFit="1" customWidth="1"/>
    <col min="27" max="28" width="6.85546875" bestFit="1" customWidth="1"/>
    <col min="29" max="29" width="7.7109375" bestFit="1" customWidth="1"/>
    <col min="30" max="31" width="15.5703125" bestFit="1" customWidth="1"/>
    <col min="32" max="32" width="17.28515625" bestFit="1" customWidth="1"/>
    <col min="33" max="34" width="16.85546875" bestFit="1" customWidth="1"/>
    <col min="35" max="35" width="18.42578125" bestFit="1" customWidth="1"/>
    <col min="36" max="36" width="9.140625" bestFit="1" customWidth="1"/>
    <col min="37" max="37" width="10.85546875" bestFit="1" customWidth="1"/>
    <col min="38" max="39" width="10.7109375" bestFit="1" customWidth="1"/>
    <col min="40" max="40" width="12.28515625" bestFit="1" customWidth="1"/>
    <col min="41" max="42" width="14.28515625" bestFit="1" customWidth="1"/>
    <col min="43" max="43" width="15.85546875" bestFit="1" customWidth="1"/>
    <col min="44" max="45" width="9.7109375" bestFit="1" customWidth="1"/>
    <col min="46" max="46" width="11.28515625" bestFit="1" customWidth="1"/>
    <col min="47" max="48" width="13.140625" bestFit="1" customWidth="1"/>
    <col min="49" max="49" width="14.85546875" bestFit="1" customWidth="1"/>
    <col min="50" max="51" width="9" bestFit="1" customWidth="1"/>
    <col min="52" max="52" width="10.140625" bestFit="1" customWidth="1"/>
    <col min="53" max="54" width="10.7109375" bestFit="1" customWidth="1"/>
    <col min="55" max="55" width="12.28515625" bestFit="1" customWidth="1"/>
    <col min="56" max="57" width="8" bestFit="1" customWidth="1"/>
    <col min="58" max="58" width="9" bestFit="1" customWidth="1"/>
    <col min="59" max="61" width="8" bestFit="1" customWidth="1"/>
    <col min="62" max="63" width="15.5703125" bestFit="1" customWidth="1"/>
    <col min="64" max="64" width="17.28515625" bestFit="1" customWidth="1"/>
    <col min="65" max="65" width="20" bestFit="1" customWidth="1"/>
    <col min="66" max="67" width="21" bestFit="1" customWidth="1"/>
  </cols>
  <sheetData>
    <row r="6" spans="1:7" x14ac:dyDescent="0.25">
      <c r="A6" s="18" t="s">
        <v>5</v>
      </c>
      <c r="B6" t="s">
        <v>416</v>
      </c>
      <c r="E6" s="25" t="s">
        <v>3</v>
      </c>
      <c r="F6" s="25" t="s">
        <v>4</v>
      </c>
      <c r="G6" s="25" t="s">
        <v>416</v>
      </c>
    </row>
    <row r="7" spans="1:7" x14ac:dyDescent="0.25">
      <c r="A7" t="s">
        <v>52</v>
      </c>
      <c r="B7" s="31">
        <v>301266</v>
      </c>
      <c r="E7" s="22" t="s">
        <v>16</v>
      </c>
      <c r="F7" t="s">
        <v>17</v>
      </c>
      <c r="G7" t="e">
        <f>GETPIVOTDATA("Profit",$A$6,"Category",E7,"Product Name",F7)</f>
        <v>#REF!</v>
      </c>
    </row>
    <row r="8" spans="1:7" x14ac:dyDescent="0.25">
      <c r="A8" t="s">
        <v>18</v>
      </c>
      <c r="B8" s="31">
        <v>548403</v>
      </c>
      <c r="E8" s="26" t="s">
        <v>16</v>
      </c>
      <c r="F8" t="s">
        <v>37</v>
      </c>
      <c r="G8" t="e">
        <f t="shared" ref="G8:G18" si="0">GETPIVOTDATA("Profit",$A$6,"Category",E8,"Product Name",F8)</f>
        <v>#REF!</v>
      </c>
    </row>
    <row r="9" spans="1:7" x14ac:dyDescent="0.25">
      <c r="A9" t="s">
        <v>54</v>
      </c>
      <c r="B9" s="31">
        <v>399259</v>
      </c>
      <c r="E9" s="22" t="s">
        <v>46</v>
      </c>
      <c r="F9" t="s">
        <v>133</v>
      </c>
      <c r="G9" t="e">
        <f t="shared" si="0"/>
        <v>#REF!</v>
      </c>
    </row>
    <row r="10" spans="1:7" x14ac:dyDescent="0.25">
      <c r="A10" t="s">
        <v>49</v>
      </c>
      <c r="B10" s="31">
        <v>373255</v>
      </c>
      <c r="E10" s="22" t="s">
        <v>46</v>
      </c>
      <c r="F10" t="s">
        <v>118</v>
      </c>
      <c r="G10" t="e">
        <f t="shared" si="0"/>
        <v>#REF!</v>
      </c>
    </row>
    <row r="11" spans="1:7" x14ac:dyDescent="0.25">
      <c r="A11" t="s">
        <v>23</v>
      </c>
      <c r="B11" s="31">
        <v>596183</v>
      </c>
      <c r="E11" s="22" t="s">
        <v>46</v>
      </c>
      <c r="F11" t="s">
        <v>47</v>
      </c>
      <c r="G11" t="e">
        <f t="shared" si="0"/>
        <v>#REF!</v>
      </c>
    </row>
    <row r="12" spans="1:7" x14ac:dyDescent="0.25">
      <c r="A12" t="s">
        <v>71</v>
      </c>
      <c r="B12" s="31">
        <v>393650</v>
      </c>
      <c r="E12" s="26" t="s">
        <v>46</v>
      </c>
      <c r="F12" t="s">
        <v>63</v>
      </c>
      <c r="G12" t="e">
        <f t="shared" si="0"/>
        <v>#REF!</v>
      </c>
    </row>
    <row r="13" spans="1:7" x14ac:dyDescent="0.25">
      <c r="A13" t="s">
        <v>35</v>
      </c>
      <c r="B13" s="31">
        <v>1008276</v>
      </c>
      <c r="E13" s="22" t="s">
        <v>33</v>
      </c>
      <c r="F13" t="s">
        <v>387</v>
      </c>
      <c r="G13" t="e">
        <f t="shared" si="0"/>
        <v>#REF!</v>
      </c>
    </row>
    <row r="14" spans="1:7" x14ac:dyDescent="0.25">
      <c r="A14" t="s">
        <v>153</v>
      </c>
      <c r="B14" s="31">
        <v>816663</v>
      </c>
      <c r="D14" t="s">
        <v>417</v>
      </c>
      <c r="E14" s="22" t="s">
        <v>33</v>
      </c>
      <c r="F14" t="s">
        <v>163</v>
      </c>
      <c r="G14" t="e">
        <f t="shared" si="0"/>
        <v>#REF!</v>
      </c>
    </row>
    <row r="15" spans="1:7" x14ac:dyDescent="0.25">
      <c r="A15" t="s">
        <v>30</v>
      </c>
      <c r="B15" s="31">
        <v>1133104</v>
      </c>
      <c r="E15" s="22" t="s">
        <v>33</v>
      </c>
      <c r="F15" t="s">
        <v>99</v>
      </c>
      <c r="G15" t="e">
        <f t="shared" si="0"/>
        <v>#REF!</v>
      </c>
    </row>
    <row r="16" spans="1:7" x14ac:dyDescent="0.25">
      <c r="A16" t="s">
        <v>76</v>
      </c>
      <c r="B16" s="31">
        <v>864313</v>
      </c>
      <c r="E16" s="22" t="s">
        <v>33</v>
      </c>
      <c r="F16" t="s">
        <v>120</v>
      </c>
      <c r="G16" t="e">
        <f t="shared" si="0"/>
        <v>#REF!</v>
      </c>
    </row>
    <row r="17" spans="1:7" x14ac:dyDescent="0.25">
      <c r="A17" t="s">
        <v>113</v>
      </c>
      <c r="B17" s="31">
        <v>540922</v>
      </c>
      <c r="E17" s="26" t="s">
        <v>33</v>
      </c>
      <c r="F17" t="s">
        <v>34</v>
      </c>
      <c r="G17" t="e">
        <f t="shared" si="0"/>
        <v>#REF!</v>
      </c>
    </row>
    <row r="18" spans="1:7" x14ac:dyDescent="0.25">
      <c r="A18" t="s">
        <v>27</v>
      </c>
      <c r="B18" s="31">
        <v>836610</v>
      </c>
      <c r="E18" s="26" t="s">
        <v>412</v>
      </c>
      <c r="F18" t="s">
        <v>412</v>
      </c>
      <c r="G18" t="e">
        <f t="shared" si="0"/>
        <v>#REF!</v>
      </c>
    </row>
    <row r="19" spans="1:7" x14ac:dyDescent="0.25">
      <c r="A19" t="s">
        <v>44</v>
      </c>
      <c r="B19" s="31">
        <v>1792706</v>
      </c>
      <c r="E19" s="27" t="s">
        <v>406</v>
      </c>
      <c r="F19" s="27"/>
    </row>
    <row r="20" spans="1:7" x14ac:dyDescent="0.25">
      <c r="A20" t="s">
        <v>21</v>
      </c>
      <c r="B20" s="31">
        <v>782804</v>
      </c>
    </row>
    <row r="21" spans="1:7" x14ac:dyDescent="0.25">
      <c r="A21" t="s">
        <v>60</v>
      </c>
      <c r="B21" s="31">
        <v>913872</v>
      </c>
    </row>
    <row r="22" spans="1:7" x14ac:dyDescent="0.25">
      <c r="A22" t="s">
        <v>64</v>
      </c>
      <c r="B22" s="31">
        <v>1256292</v>
      </c>
      <c r="C22" s="25"/>
    </row>
    <row r="23" spans="1:7" x14ac:dyDescent="0.25">
      <c r="A23" t="s">
        <v>78</v>
      </c>
      <c r="B23" s="31">
        <v>388578</v>
      </c>
    </row>
    <row r="24" spans="1:7" x14ac:dyDescent="0.25">
      <c r="A24" t="s">
        <v>39</v>
      </c>
      <c r="B24" s="31">
        <v>1837718</v>
      </c>
    </row>
    <row r="25" spans="1:7" x14ac:dyDescent="0.25">
      <c r="A25" t="s">
        <v>155</v>
      </c>
      <c r="B25" s="31">
        <v>701022</v>
      </c>
    </row>
    <row r="26" spans="1:7" x14ac:dyDescent="0.25">
      <c r="A26" t="s">
        <v>25</v>
      </c>
      <c r="B26" s="31">
        <v>1877109</v>
      </c>
    </row>
    <row r="27" spans="1:7" x14ac:dyDescent="0.25">
      <c r="A27" t="s">
        <v>412</v>
      </c>
      <c r="B27" s="31"/>
    </row>
    <row r="28" spans="1:7" x14ac:dyDescent="0.25">
      <c r="A28" t="s">
        <v>406</v>
      </c>
      <c r="B28" s="31">
        <v>17362005</v>
      </c>
    </row>
    <row r="33" spans="1:13" x14ac:dyDescent="0.25">
      <c r="I33" s="24"/>
      <c r="J33" s="24"/>
      <c r="K33" s="24"/>
      <c r="L33" s="24"/>
      <c r="M33" s="24"/>
    </row>
    <row r="34" spans="1:13" x14ac:dyDescent="0.25">
      <c r="I34" s="24"/>
      <c r="J34" s="24"/>
      <c r="K34" s="24"/>
      <c r="L34" s="24"/>
      <c r="M34" s="24"/>
    </row>
    <row r="35" spans="1:13" x14ac:dyDescent="0.25">
      <c r="B35" s="27"/>
      <c r="C35" s="27"/>
      <c r="I35" s="24"/>
      <c r="J35" s="24"/>
      <c r="K35" s="24"/>
      <c r="L35" s="24"/>
      <c r="M35" s="24"/>
    </row>
    <row r="36" spans="1:13" x14ac:dyDescent="0.25">
      <c r="A36" s="25" t="s">
        <v>5</v>
      </c>
      <c r="I36" s="24"/>
      <c r="J36" s="24"/>
      <c r="K36" s="24"/>
      <c r="L36" s="24"/>
      <c r="M36" s="24"/>
    </row>
    <row r="37" spans="1:13" x14ac:dyDescent="0.25">
      <c r="A37" t="s">
        <v>52</v>
      </c>
      <c r="B37">
        <f>GETPIVOTDATA("Profit",$A$6,"State",A37)</f>
        <v>301266</v>
      </c>
      <c r="I37" s="24"/>
      <c r="J37" s="24"/>
      <c r="K37" s="24"/>
      <c r="L37" s="24"/>
      <c r="M37" s="24"/>
    </row>
    <row r="38" spans="1:13" x14ac:dyDescent="0.25">
      <c r="A38" t="s">
        <v>18</v>
      </c>
      <c r="B38">
        <f t="shared" ref="B38:B57" si="1">GETPIVOTDATA("Profit",$A$6,"State",A38)</f>
        <v>548403</v>
      </c>
      <c r="I38" s="24"/>
      <c r="J38" s="24"/>
      <c r="K38" s="24"/>
      <c r="L38" s="24"/>
      <c r="M38" s="24"/>
    </row>
    <row r="39" spans="1:13" x14ac:dyDescent="0.25">
      <c r="A39" t="s">
        <v>54</v>
      </c>
      <c r="B39">
        <f t="shared" si="1"/>
        <v>399259</v>
      </c>
      <c r="G39" s="24"/>
      <c r="H39" s="24"/>
      <c r="I39" s="24"/>
      <c r="J39" s="24"/>
      <c r="K39" s="24"/>
      <c r="L39" s="24"/>
      <c r="M39" s="24"/>
    </row>
    <row r="40" spans="1:13" x14ac:dyDescent="0.25">
      <c r="A40" t="s">
        <v>49</v>
      </c>
      <c r="B40">
        <f t="shared" si="1"/>
        <v>373255</v>
      </c>
      <c r="G40" s="24"/>
      <c r="H40" s="24"/>
      <c r="I40" s="24"/>
      <c r="J40" s="24"/>
      <c r="K40" s="24"/>
      <c r="L40" s="24"/>
      <c r="M40" s="24"/>
    </row>
    <row r="41" spans="1:13" x14ac:dyDescent="0.25">
      <c r="A41" t="s">
        <v>23</v>
      </c>
      <c r="B41">
        <f t="shared" si="1"/>
        <v>596183</v>
      </c>
      <c r="G41" s="24"/>
      <c r="H41" s="24"/>
      <c r="I41" s="24"/>
      <c r="J41" s="24"/>
      <c r="K41" s="24"/>
      <c r="L41" s="24"/>
      <c r="M41" s="24"/>
    </row>
    <row r="42" spans="1:13" x14ac:dyDescent="0.25">
      <c r="A42" t="s">
        <v>71</v>
      </c>
      <c r="B42">
        <f t="shared" si="1"/>
        <v>393650</v>
      </c>
    </row>
    <row r="43" spans="1:13" x14ac:dyDescent="0.25">
      <c r="A43" t="s">
        <v>35</v>
      </c>
      <c r="B43">
        <f t="shared" si="1"/>
        <v>1008276</v>
      </c>
    </row>
    <row r="44" spans="1:13" x14ac:dyDescent="0.25">
      <c r="A44" t="s">
        <v>153</v>
      </c>
      <c r="B44">
        <f t="shared" si="1"/>
        <v>816663</v>
      </c>
    </row>
    <row r="45" spans="1:13" x14ac:dyDescent="0.25">
      <c r="A45" t="s">
        <v>30</v>
      </c>
      <c r="B45">
        <f t="shared" si="1"/>
        <v>1133104</v>
      </c>
    </row>
    <row r="46" spans="1:13" x14ac:dyDescent="0.25">
      <c r="A46" t="s">
        <v>76</v>
      </c>
      <c r="B46">
        <f t="shared" si="1"/>
        <v>864313</v>
      </c>
    </row>
    <row r="47" spans="1:13" x14ac:dyDescent="0.25">
      <c r="A47" t="s">
        <v>113</v>
      </c>
      <c r="B47">
        <f t="shared" si="1"/>
        <v>540922</v>
      </c>
    </row>
    <row r="48" spans="1:13" x14ac:dyDescent="0.25">
      <c r="A48" t="s">
        <v>27</v>
      </c>
      <c r="B48">
        <f t="shared" si="1"/>
        <v>836610</v>
      </c>
    </row>
    <row r="49" spans="1:2" x14ac:dyDescent="0.25">
      <c r="A49" t="s">
        <v>44</v>
      </c>
      <c r="B49">
        <f t="shared" si="1"/>
        <v>1792706</v>
      </c>
    </row>
    <row r="50" spans="1:2" x14ac:dyDescent="0.25">
      <c r="A50" t="s">
        <v>21</v>
      </c>
      <c r="B50">
        <f t="shared" si="1"/>
        <v>782804</v>
      </c>
    </row>
    <row r="51" spans="1:2" x14ac:dyDescent="0.25">
      <c r="A51" t="s">
        <v>60</v>
      </c>
      <c r="B51">
        <f t="shared" si="1"/>
        <v>913872</v>
      </c>
    </row>
    <row r="52" spans="1:2" x14ac:dyDescent="0.25">
      <c r="A52" t="s">
        <v>64</v>
      </c>
      <c r="B52">
        <f t="shared" si="1"/>
        <v>1256292</v>
      </c>
    </row>
    <row r="53" spans="1:2" x14ac:dyDescent="0.25">
      <c r="A53" t="s">
        <v>78</v>
      </c>
      <c r="B53">
        <f t="shared" si="1"/>
        <v>388578</v>
      </c>
    </row>
    <row r="54" spans="1:2" x14ac:dyDescent="0.25">
      <c r="A54" t="s">
        <v>39</v>
      </c>
      <c r="B54">
        <f t="shared" si="1"/>
        <v>1837718</v>
      </c>
    </row>
    <row r="55" spans="1:2" x14ac:dyDescent="0.25">
      <c r="A55" t="s">
        <v>155</v>
      </c>
      <c r="B55">
        <f t="shared" si="1"/>
        <v>701022</v>
      </c>
    </row>
    <row r="56" spans="1:2" x14ac:dyDescent="0.25">
      <c r="A56" t="s">
        <v>25</v>
      </c>
      <c r="B56">
        <f t="shared" si="1"/>
        <v>1877109</v>
      </c>
    </row>
    <row r="57" spans="1:2" x14ac:dyDescent="0.25">
      <c r="A57" t="s">
        <v>412</v>
      </c>
      <c r="B57">
        <f t="shared" si="1"/>
        <v>0</v>
      </c>
    </row>
    <row r="58" spans="1:2" x14ac:dyDescent="0.25">
      <c r="A58" s="27" t="s">
        <v>406</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Sheet9</vt:lpstr>
      <vt:lpstr>Main Data</vt:lpstr>
      <vt:lpstr>Main Pivot</vt:lpstr>
      <vt:lpstr>Detail1</vt:lpstr>
      <vt:lpstr>Pivot</vt:lpstr>
      <vt:lpstr>Male</vt:lpstr>
      <vt:lpstr>Detail2</vt:lpstr>
      <vt:lpstr>Detail3</vt:lpstr>
      <vt:lpstr>Sheet8</vt:lpstr>
      <vt:lpstr>Main Short Data</vt:lpstr>
      <vt:lpstr>Main pivot Final</vt:lpstr>
      <vt:lpstr>'Main pivot Final'!Print_Titles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tannu singhal</dc:creator>
  <cp:lastModifiedBy>gee2629</cp:lastModifiedBy>
  <cp:lastPrinted>2025-04-04T07:03:45Z</cp:lastPrinted>
  <dcterms:created xsi:type="dcterms:W3CDTF">2025-03-27T16:47:31Z</dcterms:created>
  <dcterms:modified xsi:type="dcterms:W3CDTF">2026-08-24T05:40:32Z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2026-03-24T10:01:49Z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a06dd71b-4c85-454e-ab83-ce4e2bea12f2</vt:lpwstr>
  </property>
  <property fmtid="{D5CDD505-2E9C-101B-9397-08002B2CF9AE}" pid="7" name="MSIP_Label_defa4170-0d19-0005-0004-bc88714345d2_ActionId">
    <vt:lpwstr>9b56ac57-511d-47cb-bf52-1d1d7b030e7a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